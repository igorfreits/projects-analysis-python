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egomoreira\Desktop\DOCS2\data-analysis-python\Integration-Quality\"/>
    </mc:Choice>
  </mc:AlternateContent>
  <xr:revisionPtr revIDLastSave="0" documentId="13_ncr:1_{82341CA7-5B41-4C70-90B0-35FFFBE9D029}" xr6:coauthVersionLast="47" xr6:coauthVersionMax="47" xr10:uidLastSave="{00000000-0000-0000-0000-000000000000}"/>
  <bookViews>
    <workbookView xWindow="-120" yWindow="-120" windowWidth="29040" windowHeight="15720" xr2:uid="{D75BC1B1-7288-40FD-BF3A-933CC05BE184}"/>
  </bookViews>
  <sheets>
    <sheet name="quero passagem 08.09" sheetId="1" r:id="rId1"/>
  </sheets>
  <definedNames>
    <definedName name="_xlnm._FilterDatabase" localSheetId="0" hidden="1">'quero passagem 08.09'!$A$1:$AH$21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5" i="1" l="1"/>
  <c r="E125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3" i="1"/>
  <c r="A4" i="1"/>
  <c r="A5" i="1"/>
  <c r="A6" i="1"/>
  <c r="A7" i="1"/>
  <c r="A8" i="1"/>
  <c r="A11" i="1"/>
  <c r="A13" i="1"/>
  <c r="A15" i="1"/>
  <c r="A16" i="1"/>
  <c r="A17" i="1"/>
  <c r="A20" i="1"/>
  <c r="A21" i="1"/>
  <c r="A22" i="1"/>
  <c r="A23" i="1"/>
  <c r="A25" i="1"/>
  <c r="A26" i="1"/>
  <c r="A27" i="1"/>
  <c r="A28" i="1"/>
  <c r="A30" i="1"/>
  <c r="A32" i="1"/>
  <c r="A33" i="1"/>
  <c r="A36" i="1"/>
  <c r="A37" i="1"/>
  <c r="A42" i="1"/>
  <c r="A43" i="1"/>
  <c r="A44" i="1"/>
  <c r="A45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50" i="1"/>
  <c r="A49" i="1"/>
  <c r="A48" i="1"/>
  <c r="A47" i="1"/>
  <c r="A46" i="1"/>
  <c r="A41" i="1"/>
  <c r="A40" i="1"/>
  <c r="A39" i="1"/>
  <c r="A38" i="1"/>
  <c r="A35" i="1"/>
  <c r="A34" i="1"/>
  <c r="A31" i="1"/>
  <c r="A29" i="1"/>
  <c r="A24" i="1"/>
  <c r="A19" i="1"/>
  <c r="A18" i="1"/>
  <c r="A14" i="1"/>
  <c r="A12" i="1"/>
  <c r="A10" i="1"/>
  <c r="A9" i="1"/>
  <c r="A2" i="1"/>
</calcChain>
</file>

<file path=xl/sharedStrings.xml><?xml version="1.0" encoding="utf-8"?>
<sst xmlns="http://schemas.openxmlformats.org/spreadsheetml/2006/main" count="1775" uniqueCount="461">
  <si>
    <t>Cód. Lemontech</t>
  </si>
  <si>
    <t>Cód. Argo</t>
  </si>
  <si>
    <t>Cód. QP</t>
  </si>
  <si>
    <t>Localizador</t>
  </si>
  <si>
    <t>Data da Compra</t>
  </si>
  <si>
    <t>Pagamento</t>
  </si>
  <si>
    <t>Cód. Self-booking</t>
  </si>
  <si>
    <t>Atendente</t>
  </si>
  <si>
    <t>Passageiro</t>
  </si>
  <si>
    <t>Documento</t>
  </si>
  <si>
    <t>Venda</t>
  </si>
  <si>
    <t>GDS de origem</t>
  </si>
  <si>
    <t>Viação</t>
  </si>
  <si>
    <t>Origem da Venda</t>
  </si>
  <si>
    <t>Whitelist</t>
  </si>
  <si>
    <t>Nº Passagens</t>
  </si>
  <si>
    <t>Data Cancelamento</t>
  </si>
  <si>
    <t>Data Partida</t>
  </si>
  <si>
    <t>Data Chegada</t>
  </si>
  <si>
    <t>CLX Mesmo dia</t>
  </si>
  <si>
    <t>Tipo</t>
  </si>
  <si>
    <t>Valor Total</t>
  </si>
  <si>
    <t>Valor da Tarifa</t>
  </si>
  <si>
    <t>Devolvido</t>
  </si>
  <si>
    <t>Taxa Seguro</t>
  </si>
  <si>
    <t>Taxa Serviço</t>
  </si>
  <si>
    <t>Valor Compra</t>
  </si>
  <si>
    <t>Origem</t>
  </si>
  <si>
    <t>Destino</t>
  </si>
  <si>
    <t>Trecho</t>
  </si>
  <si>
    <t>Cód. Seguros</t>
  </si>
  <si>
    <t>Analista</t>
  </si>
  <si>
    <t>Pagamento Efetuado</t>
  </si>
  <si>
    <t>Faturado</t>
  </si>
  <si>
    <t>J3</t>
  </si>
  <si>
    <t>Site Desktop</t>
  </si>
  <si>
    <t>Não</t>
  </si>
  <si>
    <t>Direto</t>
  </si>
  <si>
    <t>Niterói, RJ - Gov. Roberto Silveira</t>
  </si>
  <si>
    <t>IDA</t>
  </si>
  <si>
    <t>ODLOWRJW</t>
  </si>
  <si>
    <t>Alexandre Fernando Papa</t>
  </si>
  <si>
    <t>RODRIGO OLIVEIRA ARAUJO</t>
  </si>
  <si>
    <t>Macaé, RJ - Rodoviária</t>
  </si>
  <si>
    <t>04TVR0</t>
  </si>
  <si>
    <t>Maria Eugenia Oliva</t>
  </si>
  <si>
    <t>MIKAELLY SILVA GOMES</t>
  </si>
  <si>
    <t>Cartão</t>
  </si>
  <si>
    <t>GV</t>
  </si>
  <si>
    <t>Progresso</t>
  </si>
  <si>
    <t>João Pessoa, PB - Severino Camelo</t>
  </si>
  <si>
    <t>Natal, RN - Rodoviária</t>
  </si>
  <si>
    <t>Rodrigo Palheta Picano,Rodrigo Palheta Picano</t>
  </si>
  <si>
    <t>Comporte, Distribusion</t>
  </si>
  <si>
    <t>Expresso Nossa Senhora da Penha , Expresso Nordeste</t>
  </si>
  <si>
    <t>Londrina, PR - Terminal José Garcia Villar</t>
  </si>
  <si>
    <t>Cascavel, PR - Rodoviária</t>
  </si>
  <si>
    <t>IDA E VOLTA</t>
  </si>
  <si>
    <t>10143618879, 10143618872</t>
  </si>
  <si>
    <t>Flavia Luques Laino</t>
  </si>
  <si>
    <t>Cuiabá, MT - Rodoviária</t>
  </si>
  <si>
    <t>Marcia Fernandes De Sousa</t>
  </si>
  <si>
    <t>J3RO</t>
  </si>
  <si>
    <t>Real Expresso</t>
  </si>
  <si>
    <t>Goiânia, GO - Rodoviária</t>
  </si>
  <si>
    <t>São Paulo, SP - Tietê</t>
  </si>
  <si>
    <t>Natalia Barral de Oliveira</t>
  </si>
  <si>
    <t>Renata Watanabe Prado,Renata Watanabe Prado</t>
  </si>
  <si>
    <t xml:space="preserve">Expresso de Prata  , Expresso de Prata  </t>
  </si>
  <si>
    <t>Sim</t>
  </si>
  <si>
    <t>Bauru, SP</t>
  </si>
  <si>
    <t>São Paulo, SP - Barra Funda</t>
  </si>
  <si>
    <t>10143615968, 10143615978</t>
  </si>
  <si>
    <t>ALEXANDER MASUTTI VELHO,ALEXANDER MASUTTI VELHO</t>
  </si>
  <si>
    <t>Distribusion</t>
  </si>
  <si>
    <t>Unesul</t>
  </si>
  <si>
    <t>Guaporé, RS</t>
  </si>
  <si>
    <t>Passo Fundo, RS</t>
  </si>
  <si>
    <t>10143615930, 10143615915</t>
  </si>
  <si>
    <t>Cometa</t>
  </si>
  <si>
    <t>AAPGKMI</t>
  </si>
  <si>
    <t>Tamara Michels Behn</t>
  </si>
  <si>
    <t>Wallace da Silva Barbosa</t>
  </si>
  <si>
    <t>Águia Branca</t>
  </si>
  <si>
    <t>Petrolina, PE</t>
  </si>
  <si>
    <t>Salvador, BA - Rodoviária</t>
  </si>
  <si>
    <t>Expresso Guanabara</t>
  </si>
  <si>
    <t>Fortaleza, CE - Terminal João Thomé</t>
  </si>
  <si>
    <t>Campinas, SP - Terminal Ramos de Azevedo</t>
  </si>
  <si>
    <t>1D1AVG</t>
  </si>
  <si>
    <t>MAO</t>
  </si>
  <si>
    <t>04TTGB</t>
  </si>
  <si>
    <t>JOSINALDO MARCOS DE SOUSA</t>
  </si>
  <si>
    <t>Recife, PE - Rodoviária (TIP)</t>
  </si>
  <si>
    <t>Catarinense</t>
  </si>
  <si>
    <t>RICIERI CARLOS CORDONI</t>
  </si>
  <si>
    <t>Porto Alegre, RS - Terminal Veppo</t>
  </si>
  <si>
    <t>1D18S3</t>
  </si>
  <si>
    <t>HELDON LIST COELHO SOARES</t>
  </si>
  <si>
    <t>Gurupi, TO - Rodoviária</t>
  </si>
  <si>
    <t>1D18N2</t>
  </si>
  <si>
    <t>Ourinhos, SP</t>
  </si>
  <si>
    <t>BRUNA PAULA SCHMIDT,BRUNA PAULA SCHMIDT</t>
  </si>
  <si>
    <t>Erechim, RS</t>
  </si>
  <si>
    <t>10143614358, 10143614364</t>
  </si>
  <si>
    <t>Reembolso Efetuado</t>
  </si>
  <si>
    <t>HELDON LIST COELHO SOARES,HELDON LIST COELHO SOARES</t>
  </si>
  <si>
    <t>TI, Distribusion</t>
  </si>
  <si>
    <t>Vip Brasil, Itapemirim</t>
  </si>
  <si>
    <t>1D16K8</t>
  </si>
  <si>
    <t>FRANCISCO DE ASSIS CESARIO SOUZA</t>
  </si>
  <si>
    <t>Rápido Federal</t>
  </si>
  <si>
    <t>Luís Eduardo Magalhães, BA</t>
  </si>
  <si>
    <t>Seabra, BA</t>
  </si>
  <si>
    <t>Maria Gabriela Stella Azevedo Neves</t>
  </si>
  <si>
    <t>VAGNER DO ESPIRITO SANTO</t>
  </si>
  <si>
    <t>Princesa dos Campos</t>
  </si>
  <si>
    <t>Ponta Grossa, PR - Rodoviária</t>
  </si>
  <si>
    <t>Curitiba, PR - Rodoviária</t>
  </si>
  <si>
    <t>Araruama, RJ - Rodoviária</t>
  </si>
  <si>
    <t>Rio de Janeiro, RJ - Novo Rio</t>
  </si>
  <si>
    <t>Campos dos Goytacazes, RJ - Shopping Estrada</t>
  </si>
  <si>
    <t>LEONIDAS WINCK RODENBUSCH,LEONIDAS WINCK RODENBUSCH</t>
  </si>
  <si>
    <t>Distribusion, J3</t>
  </si>
  <si>
    <t>Unesul, Planalto</t>
  </si>
  <si>
    <t>Caxias do Sul, RS</t>
  </si>
  <si>
    <t>RENATA ROSENTHAL DOS SANTOS</t>
  </si>
  <si>
    <t>Manuella da Silva Brito,Manuella da Silva Brito</t>
  </si>
  <si>
    <t>Juazeiro do Norte, CE</t>
  </si>
  <si>
    <t>10143612595, 10143612599</t>
  </si>
  <si>
    <t>Demilson Goncalves da Silva,Demilson Goncalves da Silva</t>
  </si>
  <si>
    <t>Totalbus</t>
  </si>
  <si>
    <t>Xavante</t>
  </si>
  <si>
    <t>Barra do Garças, MT</t>
  </si>
  <si>
    <t>10143612582, 10143612802</t>
  </si>
  <si>
    <t>Adler Goncalves Elias,Adler Goncalves Elias</t>
  </si>
  <si>
    <t>10143614413, 10143614619</t>
  </si>
  <si>
    <t>Jose Francisco Goncalves Elias,Jose Francisco Goncalves Elias</t>
  </si>
  <si>
    <t>05/09/2025 18:28:38 (2)</t>
  </si>
  <si>
    <t>Praxio</t>
  </si>
  <si>
    <t>Itapemirim</t>
  </si>
  <si>
    <t>Vitória, ES - Rodoviária</t>
  </si>
  <si>
    <t>Emanuele Albuquerque Gomes,Emanuele Albuquerque Gomes</t>
  </si>
  <si>
    <t>3455663SSP,3455663SSP</t>
  </si>
  <si>
    <t>MAO, Distribusion</t>
  </si>
  <si>
    <t>Real Expresso, Guerino Seiscento</t>
  </si>
  <si>
    <t>Brasília, DF - Terminal Interestadual</t>
  </si>
  <si>
    <t>10143612110, 10143611766</t>
  </si>
  <si>
    <t>FERNANDO MARTINEZ MAUTONE,FERNANDO MARTINEZ MAUTONE</t>
  </si>
  <si>
    <t>Ouro e Prata</t>
  </si>
  <si>
    <t>Santana do Livramento, RS</t>
  </si>
  <si>
    <t>10143611201, 10143611207</t>
  </si>
  <si>
    <t>Lucas de Albuquerque Gomes,Lucas de Albuquerque Gomes</t>
  </si>
  <si>
    <t>3455706SSPD,3455706SSPD</t>
  </si>
  <si>
    <t>MAO, Praxio</t>
  </si>
  <si>
    <t>Real Expresso, Catedral Turismo</t>
  </si>
  <si>
    <t>10143610986, 10143610782</t>
  </si>
  <si>
    <t>ODMBNFEN</t>
  </si>
  <si>
    <t>ANTONIO CARVALHO DE SOUZA FILHO</t>
  </si>
  <si>
    <t>Joaçaba, SC - Rodoviária</t>
  </si>
  <si>
    <t>Joinville, SC - Terminal Harold Nielson</t>
  </si>
  <si>
    <t>NAIRO FERNANDO DE SOUSA CARR,NAIRO FERNANDO DE SOUSA CARR</t>
  </si>
  <si>
    <t>10143605788, 10143605773</t>
  </si>
  <si>
    <t>CELSO EDUARDO BUENO GAVIRA,CELSO EDUARDO BUENO GAVIRA</t>
  </si>
  <si>
    <t>Guerino Seiscento, Reunidas Paulista</t>
  </si>
  <si>
    <t>Penápolis, SP</t>
  </si>
  <si>
    <t>10143605782, 10143605771</t>
  </si>
  <si>
    <t>Rota Transportes</t>
  </si>
  <si>
    <t>Diego Pereira de Souza</t>
  </si>
  <si>
    <t>JONES CALLEGARO</t>
  </si>
  <si>
    <t>JULIO ALVIENE DE OLIVEIRA</t>
  </si>
  <si>
    <t>Maicon Gonalves Centeno</t>
  </si>
  <si>
    <t>GDMIDGLE</t>
  </si>
  <si>
    <t>Loizy Lima de Oliveira</t>
  </si>
  <si>
    <t>Felipe Pacheco Sisley</t>
  </si>
  <si>
    <t>CARLOS HENRIQUE LEANDRO DE SOUZA,CARLOS HENRIQUE LEANDRO DE SOUZA</t>
  </si>
  <si>
    <t>1D08TK</t>
  </si>
  <si>
    <t>Johnny Gomes da Silva</t>
  </si>
  <si>
    <t>Juiz de Fora, MG - Terminal São Dimas</t>
  </si>
  <si>
    <t>1D08QJ</t>
  </si>
  <si>
    <t>JALISSON BATISTA DOS SANTOS</t>
  </si>
  <si>
    <t>Campo Grande, MS - Rodoviária</t>
  </si>
  <si>
    <t>Cidade Sol</t>
  </si>
  <si>
    <t>Expresso Nordeste</t>
  </si>
  <si>
    <t>EVERTON ILTON DOS SANTOS,EVERTON ILTON DOS SANTOS</t>
  </si>
  <si>
    <t>10143597778, 10143597776</t>
  </si>
  <si>
    <t xml:space="preserve">Araraquara, SP - Rodoviária  </t>
  </si>
  <si>
    <t>FRANCINNE LEITE DIEHL,FRANCINNE LEITE DIEHL</t>
  </si>
  <si>
    <t>10143596770, 10143596777</t>
  </si>
  <si>
    <t>Andrew da Paz Henrique,Andrew da Paz Henrique</t>
  </si>
  <si>
    <t>Distribusion, Comporte</t>
  </si>
  <si>
    <t>10143596285, 10143596282</t>
  </si>
  <si>
    <t>MARCOS DIONE SOUSA DE OLIVEIRA,MARCOS DIONE SOUSA DE OLIVEIRA</t>
  </si>
  <si>
    <t>Juliana Santos Ramos,Juliana Santos Ramos</t>
  </si>
  <si>
    <t>38703495X,38703495X</t>
  </si>
  <si>
    <t xml:space="preserve">Expresso de Prata  </t>
  </si>
  <si>
    <t>10143594331, 10143594349</t>
  </si>
  <si>
    <t>SIDNEY VICTOR TEIXEIRA DO ESPIRITO SANTO,SIDNEY VICTOR TEIXEIRA DO ESPIRITO SANTO</t>
  </si>
  <si>
    <t>Luxor, Cometa</t>
  </si>
  <si>
    <t>Ribeirão Preto, SP - Sala VIP Levare</t>
  </si>
  <si>
    <t>São Paulo, SP - Sala VIP Levare</t>
  </si>
  <si>
    <t>10143594154, 10143594149</t>
  </si>
  <si>
    <t>SARAH SCHIAVO,SARAH SCHIAVO</t>
  </si>
  <si>
    <t>Comporte, J3</t>
  </si>
  <si>
    <t>Piracicabana, Cometa</t>
  </si>
  <si>
    <t>10143593944, 10143593940</t>
  </si>
  <si>
    <t>Edimeia Santana dos Santos</t>
  </si>
  <si>
    <t>FERNANDA PIRES MUNIZ,FERNANDA PIRES MUNIZ</t>
  </si>
  <si>
    <t>Motta</t>
  </si>
  <si>
    <t>Dourados, MS - Rodoviária</t>
  </si>
  <si>
    <t>PRSDLAX</t>
  </si>
  <si>
    <t>Sergio Ferreira Santana</t>
  </si>
  <si>
    <t>Guanambi, BA</t>
  </si>
  <si>
    <t>R4S3FXP4</t>
  </si>
  <si>
    <t>LUIZ ANTONIO DE SOUZA SALVADOR</t>
  </si>
  <si>
    <t>VICTOR NOGUEIRA BENEDITO</t>
  </si>
  <si>
    <t>WILLIAN DE JESUS CAETANO</t>
  </si>
  <si>
    <t>UALDSON DA SILVA SANTANA,UALDSON DA SILVA SANTANA</t>
  </si>
  <si>
    <t>Itabuna, BA - Rodoviária</t>
  </si>
  <si>
    <t>Teixeira de Freitas, BA - Rodoviária</t>
  </si>
  <si>
    <t>10143580270, 10143580262</t>
  </si>
  <si>
    <t>MATHEUS PEREIRA SALOMAO,MATHEUS PEREIRA SALOMAO</t>
  </si>
  <si>
    <t>Rápido Fênix</t>
  </si>
  <si>
    <t>Serra Negra, SP</t>
  </si>
  <si>
    <t>10143578770, 10143578769</t>
  </si>
  <si>
    <t>Responsável</t>
  </si>
  <si>
    <t>Tipo de Erro</t>
  </si>
  <si>
    <t>10290782803</t>
  </si>
  <si>
    <t>10290738306</t>
  </si>
  <si>
    <t>468134365</t>
  </si>
  <si>
    <t>468120159</t>
  </si>
  <si>
    <t>10178</t>
  </si>
  <si>
    <t>468110073</t>
  </si>
  <si>
    <t>1D12VC</t>
  </si>
  <si>
    <t>10015112151</t>
  </si>
  <si>
    <t>10015114147</t>
  </si>
  <si>
    <t>1D11A4</t>
  </si>
  <si>
    <t>1029702160019</t>
  </si>
  <si>
    <t>1D0XVK</t>
  </si>
  <si>
    <t>10043190397</t>
  </si>
  <si>
    <t>10012937483</t>
  </si>
  <si>
    <t>GDMYCUXK</t>
  </si>
  <si>
    <t>10043176955</t>
  </si>
  <si>
    <t>467985603</t>
  </si>
  <si>
    <t>10290500965</t>
  </si>
  <si>
    <t>9969</t>
  </si>
  <si>
    <t>10290477470</t>
  </si>
  <si>
    <t>010002473520</t>
  </si>
  <si>
    <t>010290473150</t>
  </si>
  <si>
    <t>07AW7R</t>
  </si>
  <si>
    <t>PVSYBEF</t>
  </si>
  <si>
    <t>4803258</t>
  </si>
  <si>
    <t>Não contabilizado</t>
  </si>
  <si>
    <t>Fornecedor</t>
  </si>
  <si>
    <t>ISABELLE BERNARDO GARCIA</t>
  </si>
  <si>
    <t>Ribeirão Preto, SP - Rodoviária</t>
  </si>
  <si>
    <t>Comporte</t>
  </si>
  <si>
    <t>Expresso União</t>
  </si>
  <si>
    <t>São Sebastião do Paraíso, MG</t>
  </si>
  <si>
    <t xml:space="preserve">Expresso Nossa Senhora da Penha , Expresso Nossa Senhora da Penha </t>
  </si>
  <si>
    <t xml:space="preserve">Blumenau, SC - Rodoviária </t>
  </si>
  <si>
    <t>AJC3AF</t>
  </si>
  <si>
    <t>Jessica Soares Teixeira</t>
  </si>
  <si>
    <t>GILSON LIMA GOMES</t>
  </si>
  <si>
    <t>Realbus</t>
  </si>
  <si>
    <t>Campina Grande, PB - Rodoviária</t>
  </si>
  <si>
    <t>Uberlândia, MG - Rodoviária</t>
  </si>
  <si>
    <t>Piracicabana</t>
  </si>
  <si>
    <t>São Paulo, SP - Jabaquara</t>
  </si>
  <si>
    <t>Praia Grande, SP - Vila Mirim</t>
  </si>
  <si>
    <t>04UB2P</t>
  </si>
  <si>
    <t>10143643777, 10143643945</t>
  </si>
  <si>
    <t>1D48R9</t>
  </si>
  <si>
    <t>Manuella da Silva Brito</t>
  </si>
  <si>
    <t>Catedral Turismo</t>
  </si>
  <si>
    <t>Jamjoy</t>
  </si>
  <si>
    <t>São Luís, MA - Rodoviária</t>
  </si>
  <si>
    <t>Teresina, PI</t>
  </si>
  <si>
    <t>GV, Distribusion</t>
  </si>
  <si>
    <t>153980-153980@2241</t>
  </si>
  <si>
    <t>Reembolso Parcial Efetuado</t>
  </si>
  <si>
    <t>Lucas de Albuquerque Gomes</t>
  </si>
  <si>
    <t>3455706SSPD</t>
  </si>
  <si>
    <t>09/09/2025 17:52:32 (1)</t>
  </si>
  <si>
    <t>Guerino Seiscento</t>
  </si>
  <si>
    <t>AACQHRG</t>
  </si>
  <si>
    <t>ALEXANDRE DE OLIVEIRA SIQUARA ROCHA</t>
  </si>
  <si>
    <t>ALEXANDRE DE OLIVEIRA SIQUARA ROCHA,ALEXANDRE DE OLIVEIRA SIQUARA ROCHA</t>
  </si>
  <si>
    <t>Rota Transportes, Rota Transportes</t>
  </si>
  <si>
    <t>Juazeiro, BA</t>
  </si>
  <si>
    <t>10143650956, 10143650953</t>
  </si>
  <si>
    <t>AACQRWQ</t>
  </si>
  <si>
    <t>LUCAS KOSMANN QUOOS</t>
  </si>
  <si>
    <t xml:space="preserve">Real Alagoas </t>
  </si>
  <si>
    <t>Pelotas, RS</t>
  </si>
  <si>
    <t>ANA LAURA DE SOUZA MEDINA RODRIGUES,ANA LAURA DE SOUZA MEDINA RODRIGUES</t>
  </si>
  <si>
    <t>10143655198, 10143655199</t>
  </si>
  <si>
    <t>Ana Carolina Silva</t>
  </si>
  <si>
    <t>Leandro de Oliveira,Leandro de Oliveira</t>
  </si>
  <si>
    <t>10143659003, 10143658997</t>
  </si>
  <si>
    <t>Serro</t>
  </si>
  <si>
    <t>Belo Horizonte, MG - Terminal Gov. Israel Pinheiro (Tergip)</t>
  </si>
  <si>
    <t>Conceição do Mato Dentro, MG</t>
  </si>
  <si>
    <t>Robson Amaro Santos da Silva</t>
  </si>
  <si>
    <t>Juliana Santos Ramos</t>
  </si>
  <si>
    <t>38703495X</t>
  </si>
  <si>
    <t>Andrew da Paz Henrique</t>
  </si>
  <si>
    <t>Pagamento Efetuado (Reenvio)</t>
  </si>
  <si>
    <t>CLEMENTINA ALMEIDA DE ALENCAR GARCIA,CLEMENTINA ALMEIDA DE ALENCAR GARCIA</t>
  </si>
  <si>
    <t>Amatur</t>
  </si>
  <si>
    <t>Porto Velho, RO - Rodoviária</t>
  </si>
  <si>
    <t>Rio Branco, AC</t>
  </si>
  <si>
    <t>Flora Villas Carvalho</t>
  </si>
  <si>
    <t>MG15635971</t>
  </si>
  <si>
    <t>Amanda Brabo de Oliveira</t>
  </si>
  <si>
    <t>Gadotti</t>
  </si>
  <si>
    <t>10143669394, 10143669386</t>
  </si>
  <si>
    <t>10143669517, 10143669530</t>
  </si>
  <si>
    <t>Marcia Pereira Dos Santos Soares</t>
  </si>
  <si>
    <t>ROSANGELA DE ALMEIDA,ROSANGELA DE ALMEIDA</t>
  </si>
  <si>
    <t>10143670413, 10143670411</t>
  </si>
  <si>
    <t>624442-624439@99991</t>
  </si>
  <si>
    <t>Jones Teles Gomes</t>
  </si>
  <si>
    <t>Expresso São Luiz</t>
  </si>
  <si>
    <t>DOUGLAS MONTANHA GIORDANO,DOUGLAS MONTANHA GIORDANO</t>
  </si>
  <si>
    <t>Planalto</t>
  </si>
  <si>
    <t>Santa Maria, RS</t>
  </si>
  <si>
    <t>10143673374, 10143673397</t>
  </si>
  <si>
    <t>Felipe Marques de Freitas,Felipe Marques de Freitas</t>
  </si>
  <si>
    <t>Princesa do Norte</t>
  </si>
  <si>
    <t>Jaú, SP</t>
  </si>
  <si>
    <t>10143673609, 10143673602</t>
  </si>
  <si>
    <t>Micaella Cattaneo Larson,Micaella Cattaneo Larson</t>
  </si>
  <si>
    <t>Santana Da Boa Vista, RS</t>
  </si>
  <si>
    <t>GDHNXKRV</t>
  </si>
  <si>
    <t>FERNANDO NAZRIO</t>
  </si>
  <si>
    <t>Lindsey Marilyn da Silva Larson,Lindsey Marilyn da Silva Larson</t>
  </si>
  <si>
    <t>FELIPE BRUNO JESUS DOS SANTOS COUBE</t>
  </si>
  <si>
    <t>10143695054, 10143695063</t>
  </si>
  <si>
    <t>29673548, 29663829</t>
  </si>
  <si>
    <t>LUIZ HENRIQUE MOREIRA NUNES</t>
  </si>
  <si>
    <t>Valeria Bottino da Silva</t>
  </si>
  <si>
    <t>CLEITON CARLOS DA SILVA SANTOS,CLEITON CARLOS DA SILVA SANTOS</t>
  </si>
  <si>
    <t>Distribusion, MAO</t>
  </si>
  <si>
    <t>Jamjoy, Expresso Guanabara</t>
  </si>
  <si>
    <t>10143696883, 10143697199</t>
  </si>
  <si>
    <t>Eduardo Cebollada Carvalho,Eduardo Cebollada Carvalho</t>
  </si>
  <si>
    <t>Ultra, Rápido Brasil</t>
  </si>
  <si>
    <t>Guarujá, SP - Rodoviária</t>
  </si>
  <si>
    <t>10143697735, 10143697741</t>
  </si>
  <si>
    <t>1D8ZTP</t>
  </si>
  <si>
    <t>Robertt Tayon Yoshie de Alcantara</t>
  </si>
  <si>
    <t>430630-430630@137</t>
  </si>
  <si>
    <t>Daniel Souza Filho</t>
  </si>
  <si>
    <t xml:space="preserve">Belém, PA - Rodoviária   </t>
  </si>
  <si>
    <t>UELINTON DOS SANTOS,UELINTON DOS SANTOS</t>
  </si>
  <si>
    <t>10143700232, 10143700246</t>
  </si>
  <si>
    <t>DEX ARI SANTOS DA SILVA,DEX ARI SANTOS DA SILVA</t>
  </si>
  <si>
    <t>TI, GV</t>
  </si>
  <si>
    <t>Real Maia, Jarlentur</t>
  </si>
  <si>
    <t>Marabá, PA</t>
  </si>
  <si>
    <t>Colinas do Tocantins, TO</t>
  </si>
  <si>
    <t>10143700367, 10143700368</t>
  </si>
  <si>
    <t>Rápido Brasil</t>
  </si>
  <si>
    <t>ISAC SILVA DE GOIS</t>
  </si>
  <si>
    <t>GABRIEL FERNANDES,GABRIEL FERNANDES</t>
  </si>
  <si>
    <t>10143704951, 10143704946</t>
  </si>
  <si>
    <t>Edinaldo Carvalho de Souza,Edinaldo Carvalho de Souza</t>
  </si>
  <si>
    <t>Moraes de Almeida, PA</t>
  </si>
  <si>
    <t>Rurópolis, PA</t>
  </si>
  <si>
    <t>JOSEANE CASTRO ALMEIDA,JOSEANE CASTRO ALMEIDA</t>
  </si>
  <si>
    <t>Andorinha</t>
  </si>
  <si>
    <t xml:space="preserve">Assis, SP -  Rodoviária  </t>
  </si>
  <si>
    <t>Presidente Prudente, SP - Rodoviária</t>
  </si>
  <si>
    <t>10143707172, 10143707174</t>
  </si>
  <si>
    <t>Mayara de Oliveira Alencar</t>
  </si>
  <si>
    <t>Renato Saad Panunzio</t>
  </si>
  <si>
    <t>Lagoa Santa, MG</t>
  </si>
  <si>
    <t>Reunidas Paulista</t>
  </si>
  <si>
    <t>10143708046, 10143708051</t>
  </si>
  <si>
    <t>Flaviano Silva de Oliveira</t>
  </si>
  <si>
    <t>ANDREA MARQUES BASTOS COSTA,ANDREA MARQUES BASTOS COSTA</t>
  </si>
  <si>
    <t>Águia Branca, Águia Branca</t>
  </si>
  <si>
    <t>GABRIELA OLIVEIRA BARCELOS,GABRIELA OLIVEIRA BARCELOS</t>
  </si>
  <si>
    <t>Tramandaí, RS - Rodoviária</t>
  </si>
  <si>
    <t>10143712765, 10143712772</t>
  </si>
  <si>
    <t>Maceió, AL - Terminal João Paulo II</t>
  </si>
  <si>
    <t>JOSINALDO MARCOS DE SOUSA,JOSINALDO MARCOS DE SOUSA</t>
  </si>
  <si>
    <t>10143714958, 10143714957</t>
  </si>
  <si>
    <t>GDSZNFOB</t>
  </si>
  <si>
    <t>Fabiana do Couto Alves Moreira</t>
  </si>
  <si>
    <t>Resende, RJ - Graal Resende</t>
  </si>
  <si>
    <t>Ygor Patrick de Souza Santos</t>
  </si>
  <si>
    <t>Jundiaí, SP</t>
  </si>
  <si>
    <t>Fabio Dutra da Costa,Fabio Dutra da Costa</t>
  </si>
  <si>
    <t>10143715281, 10143715283</t>
  </si>
  <si>
    <t>ANDREIA SEBASTIAO,ANDREIA SEBASTIAO</t>
  </si>
  <si>
    <t>10143715365, 10143715363</t>
  </si>
  <si>
    <t>GUILHERME KEITI INOUE BARRETO,GUILHERME KEITI INOUE BARRETO</t>
  </si>
  <si>
    <t>10143715786, 10143715782</t>
  </si>
  <si>
    <t>ARTUR HENRIQUE NUNES DA SILVA,ARTUR HENRIQUE NUNES DA SILVA</t>
  </si>
  <si>
    <t>10143716019, 10143716036</t>
  </si>
  <si>
    <t>PPOZBFF</t>
  </si>
  <si>
    <t>GDUQEHGC</t>
  </si>
  <si>
    <t>11465368129615</t>
  </si>
  <si>
    <t>10291477100</t>
  </si>
  <si>
    <t>12705371022509</t>
  </si>
  <si>
    <t>12705371022518</t>
  </si>
  <si>
    <t>430335-430335@137</t>
  </si>
  <si>
    <t>10018973312</t>
  </si>
  <si>
    <t>XXKMYDB</t>
  </si>
  <si>
    <t>1326806</t>
  </si>
  <si>
    <t>10291882447</t>
  </si>
  <si>
    <t>JJHEBGD</t>
  </si>
  <si>
    <t>10021356076</t>
  </si>
  <si>
    <t>10029394441</t>
  </si>
  <si>
    <t>DFICBB</t>
  </si>
  <si>
    <t>468811431</t>
  </si>
  <si>
    <t>10006927457</t>
  </si>
  <si>
    <t>45465</t>
  </si>
  <si>
    <t>10292021803</t>
  </si>
  <si>
    <t>10292028545</t>
  </si>
  <si>
    <t>1DB0QV</t>
  </si>
  <si>
    <t>Davi Gilioti de Oliveira Levorato</t>
  </si>
  <si>
    <t>Vincius Dias Biel</t>
  </si>
  <si>
    <t>38235493X</t>
  </si>
  <si>
    <t>GDNBGTLK</t>
  </si>
  <si>
    <t>Maria Clara Rangel Soares de Oliveira</t>
  </si>
  <si>
    <t>Thais Peixoto De Melo</t>
  </si>
  <si>
    <t>LUIZ GUILHERME BASILIO DE NOVAIS,LUIZ GUILHERME BASILIO DE NOVAIS</t>
  </si>
  <si>
    <t>São Carlos, SP</t>
  </si>
  <si>
    <t>10143720236, 10143720244</t>
  </si>
  <si>
    <t>Florianópolis, SC - Rodoviária</t>
  </si>
  <si>
    <t>Karen Caroline de Oliveira</t>
  </si>
  <si>
    <t>Angela Rodrigues da Silva,Manuela Irene Ruiz Vasques,Maria Luiza Ruiz Vasques,Angela Rodrigues da Silva,Manuela Irene Ruiz Vasques,Maria Luiza Ruiz Vasques</t>
  </si>
  <si>
    <t>264398609,647748137,607178887,264398609,647748137,607178887</t>
  </si>
  <si>
    <t>Pássaro Marron</t>
  </si>
  <si>
    <t>Ubatuba, SP - Rodoviária</t>
  </si>
  <si>
    <t>10143722884, 29699871, 10143722885, 10143722874, 10143722872, 10143722876</t>
  </si>
  <si>
    <t>CARLA VIVIANE HOTTL,CARLA VIVIANE HOTTL</t>
  </si>
  <si>
    <t>10143732540, 10143732534</t>
  </si>
  <si>
    <t>ABXMCBR</t>
  </si>
  <si>
    <t>FERNANDO CAPPIO PEREIRA FERNANDES,FERNANDO CAPPIO PEREIRA FERNANDES</t>
  </si>
  <si>
    <t>Princesa dos Campos, Guerino Seiscento</t>
  </si>
  <si>
    <t>Campo Largo, PR</t>
  </si>
  <si>
    <t>1DCN7C</t>
  </si>
  <si>
    <t>ODRTISBV</t>
  </si>
  <si>
    <t>RHD7D95B</t>
  </si>
  <si>
    <t>NATAN JUNIOR SANTOS NASCIMENTO</t>
  </si>
  <si>
    <t>Juina</t>
  </si>
  <si>
    <t>Campo Novo Do Parecis, MT</t>
  </si>
  <si>
    <t>GERSON CAES,GERSON CAES,GERSON CAES,GERSON CAES</t>
  </si>
  <si>
    <t>72369688,72369688,72369688,72369688</t>
  </si>
  <si>
    <t>Distribusion, GV</t>
  </si>
  <si>
    <t>Ouro e Prata, VB Transportes, Eucatur</t>
  </si>
  <si>
    <t>10143742558, 10143742574</t>
  </si>
  <si>
    <t>10292094776</t>
  </si>
  <si>
    <t>010231128231</t>
  </si>
  <si>
    <t>468943206</t>
  </si>
  <si>
    <t>10043417542</t>
  </si>
  <si>
    <t>MJNBCZJ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</si>
</sst>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0" fontId="18" fillId="33" borderId="0" xfId="0" applyFont="1" applyFill="1" applyAlignment="1">
      <alignment horizontal="left"/>
    </xf>
    <xf numFmtId="0" fontId="19" fillId="34" borderId="0" xfId="0" applyFont="1" applyFill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Kontik Business Trave &amp; Grupo Kontik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49F28F"/>
      </a:accent1>
      <a:accent2>
        <a:srgbClr val="410254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BB9-0AD2-4392-A7AF-DE599BB79562}">
  <dimension ref="A1:AH125"/>
  <sheetViews>
    <sheetView tabSelected="1" workbookViewId="0">
      <pane ySplit="1" topLeftCell="A2" activePane="bottomLeft" state="frozenSplit"/>
      <selection pane="bottomLeft" activeCell="B6" sqref="B6"/>
    </sheetView>
  </sheetViews>
  <sheetFormatPr defaultRowHeight="15" x14ac:dyDescent="0.25"/>
  <cols>
    <col min="1" max="1" width="14.5703125" style="1" customWidth="1"/>
    <col min="2" max="2" width="27.5703125" style="1" customWidth="1"/>
    <col min="3" max="3" width="17.7109375" style="1" bestFit="1" customWidth="1"/>
    <col min="4" max="4" width="32.42578125" style="1" bestFit="1" customWidth="1"/>
    <col min="5" max="5" width="11" style="1" bestFit="1" customWidth="1"/>
    <col min="6" max="6" width="56.28515625" style="1" bestFit="1" customWidth="1"/>
    <col min="7" max="7" width="17.28515625" style="1" bestFit="1" customWidth="1"/>
    <col min="8" max="8" width="20.85546875" style="1" bestFit="1" customWidth="1"/>
    <col min="9" max="9" width="32.42578125" style="1" bestFit="1" customWidth="1"/>
    <col min="10" max="10" width="34.28515625" style="1" bestFit="1" customWidth="1"/>
    <col min="11" max="11" width="156.28515625" style="1" bestFit="1" customWidth="1"/>
    <col min="12" max="12" width="35.5703125" style="1" bestFit="1" customWidth="1"/>
    <col min="13" max="13" width="9" style="1" bestFit="1" customWidth="1"/>
    <col min="14" max="14" width="22" style="1" bestFit="1" customWidth="1"/>
    <col min="15" max="15" width="55" style="1" bestFit="1" customWidth="1"/>
    <col min="16" max="16" width="18.7109375" style="1" bestFit="1" customWidth="1"/>
    <col min="17" max="17" width="11.42578125" style="1" bestFit="1" customWidth="1"/>
    <col min="18" max="18" width="15" style="1" bestFit="1" customWidth="1"/>
    <col min="19" max="19" width="21.5703125" style="1" bestFit="1" customWidth="1"/>
    <col min="20" max="21" width="15.85546875" style="1" bestFit="1" customWidth="1"/>
    <col min="22" max="22" width="16.7109375" style="1" bestFit="1" customWidth="1"/>
    <col min="23" max="23" width="7.140625" style="1" bestFit="1" customWidth="1"/>
    <col min="24" max="24" width="12.85546875" style="1" bestFit="1" customWidth="1"/>
    <col min="25" max="25" width="16.140625" style="1" bestFit="1" customWidth="1"/>
    <col min="26" max="26" width="12.28515625" style="1" bestFit="1" customWidth="1"/>
    <col min="27" max="27" width="13.85546875" style="1" bestFit="1" customWidth="1"/>
    <col min="28" max="28" width="14.140625" style="1" bestFit="1" customWidth="1"/>
    <col min="29" max="29" width="15.42578125" style="1" bestFit="1" customWidth="1"/>
    <col min="30" max="30" width="49" style="1" bestFit="1" customWidth="1"/>
    <col min="31" max="31" width="54.140625" style="1" bestFit="1" customWidth="1"/>
    <col min="32" max="32" width="11.85546875" style="1" bestFit="1" customWidth="1"/>
    <col min="33" max="33" width="26.5703125" style="1" bestFit="1" customWidth="1"/>
    <col min="34" max="34" width="10.42578125" style="1" bestFit="1" customWidth="1"/>
    <col min="35" max="16384" width="9.140625" style="1"/>
  </cols>
  <sheetData>
    <row r="1" spans="1:34" x14ac:dyDescent="0.25">
      <c r="A1" s="4" t="s">
        <v>225</v>
      </c>
      <c r="B1" s="4" t="s">
        <v>226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</row>
    <row r="2" spans="1:34" x14ac:dyDescent="0.25">
      <c r="A2" s="1" t="str">
        <f>IF(P2="site desktop","Operações","Suporte KCS")</f>
        <v>Operações</v>
      </c>
      <c r="B2" s="1" t="s">
        <v>252</v>
      </c>
      <c r="E2" s="1">
        <v>16182936</v>
      </c>
      <c r="F2" s="1" t="s">
        <v>251</v>
      </c>
      <c r="G2" s="2">
        <v>45901.564108796294</v>
      </c>
      <c r="H2" s="1" t="s">
        <v>32</v>
      </c>
      <c r="J2" s="1" t="s">
        <v>66</v>
      </c>
      <c r="K2" s="1" t="s">
        <v>221</v>
      </c>
      <c r="L2" s="1">
        <v>428175739.42817497</v>
      </c>
      <c r="M2" s="1" t="s">
        <v>33</v>
      </c>
      <c r="N2" s="1" t="s">
        <v>48</v>
      </c>
      <c r="O2" s="1" t="s">
        <v>222</v>
      </c>
      <c r="P2" s="1" t="s">
        <v>35</v>
      </c>
      <c r="Q2" s="1" t="s">
        <v>69</v>
      </c>
      <c r="R2" s="1">
        <v>2</v>
      </c>
      <c r="T2" s="2">
        <v>45903.25</v>
      </c>
      <c r="U2" s="2">
        <v>45903.375</v>
      </c>
      <c r="V2" s="1" t="s">
        <v>36</v>
      </c>
      <c r="W2" s="1" t="s">
        <v>37</v>
      </c>
      <c r="X2" s="3">
        <v>215.65</v>
      </c>
      <c r="Y2" s="3">
        <v>165.9</v>
      </c>
      <c r="AA2" s="3">
        <v>19.899999999999999</v>
      </c>
      <c r="AB2" s="3">
        <v>29.85</v>
      </c>
      <c r="AC2" s="3">
        <v>215.65</v>
      </c>
      <c r="AD2" s="1" t="s">
        <v>223</v>
      </c>
      <c r="AE2" s="1" t="s">
        <v>65</v>
      </c>
      <c r="AF2" s="1" t="s">
        <v>57</v>
      </c>
      <c r="AG2" s="1" t="s">
        <v>224</v>
      </c>
    </row>
    <row r="3" spans="1:34" x14ac:dyDescent="0.25">
      <c r="A3" s="1" t="str">
        <f>IF(P3="site desktop","Operações","Suporte KCS")</f>
        <v>Operações</v>
      </c>
      <c r="B3" s="1" t="s">
        <v>253</v>
      </c>
      <c r="E3" s="1">
        <v>16185230</v>
      </c>
      <c r="F3" s="1" t="s">
        <v>250</v>
      </c>
      <c r="G3" s="2">
        <v>45901.672465277778</v>
      </c>
      <c r="H3" s="1" t="s">
        <v>32</v>
      </c>
      <c r="J3" s="1" t="s">
        <v>114</v>
      </c>
      <c r="K3" s="1" t="s">
        <v>217</v>
      </c>
      <c r="L3" s="1">
        <v>413591271.41359103</v>
      </c>
      <c r="M3" s="1" t="s">
        <v>33</v>
      </c>
      <c r="N3" s="1" t="s">
        <v>48</v>
      </c>
      <c r="O3" s="1" t="s">
        <v>167</v>
      </c>
      <c r="P3" s="1" t="s">
        <v>35</v>
      </c>
      <c r="R3" s="1">
        <v>2</v>
      </c>
      <c r="T3" s="2">
        <v>45902.291666666664</v>
      </c>
      <c r="U3" s="2">
        <v>45902.638888888891</v>
      </c>
      <c r="V3" s="1" t="s">
        <v>36</v>
      </c>
      <c r="W3" s="1" t="s">
        <v>37</v>
      </c>
      <c r="X3" s="3">
        <v>200.61</v>
      </c>
      <c r="Y3" s="3">
        <v>151.63</v>
      </c>
      <c r="AA3" s="3">
        <v>19.899999999999999</v>
      </c>
      <c r="AB3" s="3">
        <v>29.08</v>
      </c>
      <c r="AC3" s="3">
        <v>200.61</v>
      </c>
      <c r="AD3" s="1" t="s">
        <v>218</v>
      </c>
      <c r="AE3" s="1" t="s">
        <v>219</v>
      </c>
      <c r="AF3" s="1" t="s">
        <v>39</v>
      </c>
      <c r="AG3" s="1" t="s">
        <v>220</v>
      </c>
    </row>
    <row r="4" spans="1:34" x14ac:dyDescent="0.25">
      <c r="A4" s="1" t="str">
        <f>IF(P4="site desktop","Operações","Suporte KCS")</f>
        <v>Operações</v>
      </c>
      <c r="B4" s="1" t="s">
        <v>253</v>
      </c>
      <c r="E4" s="1">
        <v>16185808</v>
      </c>
      <c r="F4" s="1">
        <v>10008358753</v>
      </c>
      <c r="G4" s="2">
        <v>45901.696759259263</v>
      </c>
      <c r="H4" s="1" t="s">
        <v>32</v>
      </c>
      <c r="J4" s="1" t="s">
        <v>114</v>
      </c>
      <c r="K4" s="1" t="s">
        <v>216</v>
      </c>
      <c r="L4" s="1">
        <v>47809142801</v>
      </c>
      <c r="M4" s="1" t="s">
        <v>33</v>
      </c>
      <c r="N4" s="1" t="s">
        <v>34</v>
      </c>
      <c r="O4" s="1" t="s">
        <v>183</v>
      </c>
      <c r="P4" s="1" t="s">
        <v>35</v>
      </c>
      <c r="R4" s="1">
        <v>1</v>
      </c>
      <c r="T4" s="2">
        <v>45905.583333333336</v>
      </c>
      <c r="U4" s="2">
        <v>45905.923611111109</v>
      </c>
      <c r="V4" s="1" t="s">
        <v>36</v>
      </c>
      <c r="W4" s="1" t="s">
        <v>37</v>
      </c>
      <c r="X4" s="3">
        <v>233.02</v>
      </c>
      <c r="Y4" s="3">
        <v>189.05</v>
      </c>
      <c r="AA4" s="3">
        <v>9.9499999999999993</v>
      </c>
      <c r="AB4" s="3">
        <v>34.020000000000003</v>
      </c>
      <c r="AC4" s="3">
        <v>233.02</v>
      </c>
      <c r="AD4" s="1" t="s">
        <v>118</v>
      </c>
      <c r="AE4" s="1" t="s">
        <v>88</v>
      </c>
      <c r="AF4" s="1" t="s">
        <v>39</v>
      </c>
      <c r="AG4" s="1">
        <v>10143580548</v>
      </c>
    </row>
    <row r="5" spans="1:34" x14ac:dyDescent="0.25">
      <c r="A5" s="1" t="str">
        <f>IF(P5="site desktop","Operações","Suporte KCS")</f>
        <v>Operações</v>
      </c>
      <c r="B5" s="1" t="s">
        <v>253</v>
      </c>
      <c r="E5" s="1">
        <v>16186738</v>
      </c>
      <c r="F5" s="1">
        <v>88852</v>
      </c>
      <c r="G5" s="2">
        <v>45901.73809027778</v>
      </c>
      <c r="H5" s="1" t="s">
        <v>32</v>
      </c>
      <c r="J5" s="1" t="s">
        <v>81</v>
      </c>
      <c r="K5" s="1" t="s">
        <v>215</v>
      </c>
      <c r="L5" s="1">
        <v>207996240</v>
      </c>
      <c r="M5" s="1" t="s">
        <v>33</v>
      </c>
      <c r="N5" s="1" t="s">
        <v>48</v>
      </c>
      <c r="O5" s="1" t="s">
        <v>140</v>
      </c>
      <c r="P5" s="1" t="s">
        <v>35</v>
      </c>
      <c r="R5" s="1">
        <v>1</v>
      </c>
      <c r="T5" s="2">
        <v>45902.375</v>
      </c>
      <c r="U5" s="2">
        <v>45902.645833333336</v>
      </c>
      <c r="V5" s="1" t="s">
        <v>36</v>
      </c>
      <c r="W5" s="1" t="s">
        <v>37</v>
      </c>
      <c r="X5" s="3">
        <v>293.13</v>
      </c>
      <c r="Y5" s="3">
        <v>239.99</v>
      </c>
      <c r="AA5" s="3">
        <v>9.9499999999999993</v>
      </c>
      <c r="AB5" s="3">
        <v>43.19</v>
      </c>
      <c r="AC5" s="3">
        <v>293.13</v>
      </c>
      <c r="AD5" s="1" t="s">
        <v>65</v>
      </c>
      <c r="AE5" s="1" t="s">
        <v>120</v>
      </c>
      <c r="AF5" s="1" t="s">
        <v>39</v>
      </c>
      <c r="AG5" s="1">
        <v>10143581121</v>
      </c>
    </row>
    <row r="6" spans="1:34" x14ac:dyDescent="0.25">
      <c r="A6" s="1" t="str">
        <f>IF(P6="site desktop","Operações","Suporte KCS")</f>
        <v>Operações</v>
      </c>
      <c r="B6" s="1" t="s">
        <v>253</v>
      </c>
      <c r="E6" s="1">
        <v>16186901</v>
      </c>
      <c r="F6" s="1" t="s">
        <v>213</v>
      </c>
      <c r="G6" s="2">
        <v>45901.746134259258</v>
      </c>
      <c r="H6" s="1" t="s">
        <v>32</v>
      </c>
      <c r="J6" s="1" t="s">
        <v>81</v>
      </c>
      <c r="K6" s="1" t="s">
        <v>214</v>
      </c>
      <c r="L6" s="1">
        <v>115311672</v>
      </c>
      <c r="M6" s="1" t="s">
        <v>33</v>
      </c>
      <c r="N6" s="1" t="s">
        <v>74</v>
      </c>
      <c r="O6" s="1" t="s">
        <v>140</v>
      </c>
      <c r="P6" s="1" t="s">
        <v>35</v>
      </c>
      <c r="R6" s="1">
        <v>1</v>
      </c>
      <c r="T6" s="2">
        <v>45902.333333333336</v>
      </c>
      <c r="U6" s="2">
        <v>45902.729166666664</v>
      </c>
      <c r="V6" s="1" t="s">
        <v>36</v>
      </c>
      <c r="W6" s="1" t="s">
        <v>37</v>
      </c>
      <c r="X6" s="3">
        <v>363.58</v>
      </c>
      <c r="Y6" s="3">
        <v>299.69</v>
      </c>
      <c r="AA6" s="3">
        <v>9.9499999999999993</v>
      </c>
      <c r="AB6" s="3">
        <v>53.94</v>
      </c>
      <c r="AC6" s="3">
        <v>363.58</v>
      </c>
      <c r="AD6" s="1" t="s">
        <v>120</v>
      </c>
      <c r="AE6" s="1" t="s">
        <v>141</v>
      </c>
      <c r="AF6" s="1" t="s">
        <v>39</v>
      </c>
      <c r="AG6" s="1">
        <v>10143581201</v>
      </c>
    </row>
    <row r="7" spans="1:34" x14ac:dyDescent="0.25">
      <c r="A7" s="1" t="str">
        <f>IF(P7="site desktop","Operações","Suporte KCS")</f>
        <v>Operações</v>
      </c>
      <c r="B7" s="1" t="s">
        <v>253</v>
      </c>
      <c r="E7" s="1">
        <v>16187858</v>
      </c>
      <c r="F7" s="1" t="s">
        <v>210</v>
      </c>
      <c r="G7" s="2">
        <v>45901.805497685185</v>
      </c>
      <c r="H7" s="1" t="s">
        <v>32</v>
      </c>
      <c r="J7" s="1" t="s">
        <v>114</v>
      </c>
      <c r="K7" s="1" t="s">
        <v>211</v>
      </c>
      <c r="L7" s="1">
        <v>1203888554</v>
      </c>
      <c r="M7" s="1" t="s">
        <v>33</v>
      </c>
      <c r="N7" s="1" t="s">
        <v>74</v>
      </c>
      <c r="O7" s="1" t="s">
        <v>182</v>
      </c>
      <c r="P7" s="1" t="s">
        <v>35</v>
      </c>
      <c r="R7" s="1">
        <v>1</v>
      </c>
      <c r="T7" s="2">
        <v>45905.770833333336</v>
      </c>
      <c r="U7" s="2">
        <v>45906.25</v>
      </c>
      <c r="V7" s="1" t="s">
        <v>36</v>
      </c>
      <c r="W7" s="1" t="s">
        <v>37</v>
      </c>
      <c r="X7" s="3">
        <v>289.97000000000003</v>
      </c>
      <c r="Y7" s="3">
        <v>236.46</v>
      </c>
      <c r="AA7" s="3">
        <v>10.95</v>
      </c>
      <c r="AB7" s="3">
        <v>42.56</v>
      </c>
      <c r="AC7" s="3">
        <v>289.97000000000003</v>
      </c>
      <c r="AD7" s="1" t="s">
        <v>212</v>
      </c>
      <c r="AE7" s="1" t="s">
        <v>85</v>
      </c>
      <c r="AF7" s="1" t="s">
        <v>39</v>
      </c>
      <c r="AG7" s="1">
        <v>10143581803</v>
      </c>
    </row>
    <row r="8" spans="1:34" x14ac:dyDescent="0.25">
      <c r="A8" s="1" t="str">
        <f>IF(P8="site desktop","Operações","Suporte KCS")</f>
        <v>Operações</v>
      </c>
      <c r="B8" s="1" t="s">
        <v>253</v>
      </c>
      <c r="E8" s="1">
        <v>16197017</v>
      </c>
      <c r="F8" s="1" t="s">
        <v>249</v>
      </c>
      <c r="G8" s="2">
        <v>45902.695023148146</v>
      </c>
      <c r="H8" s="1" t="s">
        <v>32</v>
      </c>
      <c r="J8" s="1" t="s">
        <v>206</v>
      </c>
      <c r="K8" s="1" t="s">
        <v>207</v>
      </c>
      <c r="L8" s="1">
        <v>2293024.2293023998</v>
      </c>
      <c r="M8" s="1" t="s">
        <v>33</v>
      </c>
      <c r="N8" s="1" t="s">
        <v>74</v>
      </c>
      <c r="O8" s="1" t="s">
        <v>208</v>
      </c>
      <c r="P8" s="1" t="s">
        <v>35</v>
      </c>
      <c r="R8" s="1">
        <v>2</v>
      </c>
      <c r="T8" s="2">
        <v>45903.34375</v>
      </c>
      <c r="U8" s="2">
        <v>45903.503472222219</v>
      </c>
      <c r="V8" s="1" t="s">
        <v>36</v>
      </c>
      <c r="W8" s="1" t="s">
        <v>37</v>
      </c>
      <c r="X8" s="3">
        <v>223.89</v>
      </c>
      <c r="Y8" s="3">
        <v>189.75</v>
      </c>
      <c r="AA8" s="3">
        <v>0</v>
      </c>
      <c r="AB8" s="3">
        <v>34.14</v>
      </c>
      <c r="AC8" s="3">
        <v>223.89</v>
      </c>
      <c r="AD8" s="1" t="s">
        <v>181</v>
      </c>
      <c r="AE8" s="1" t="s">
        <v>209</v>
      </c>
      <c r="AF8" s="1" t="s">
        <v>39</v>
      </c>
    </row>
    <row r="9" spans="1:34" x14ac:dyDescent="0.25">
      <c r="A9" s="1" t="str">
        <f>IF(P9="site desktop","Operações","Suporte KCS")</f>
        <v>Operações</v>
      </c>
      <c r="B9" s="1" t="s">
        <v>252</v>
      </c>
      <c r="E9" s="1">
        <v>16205638</v>
      </c>
      <c r="F9" s="1" t="s">
        <v>248</v>
      </c>
      <c r="G9" s="2">
        <v>45903.583113425928</v>
      </c>
      <c r="H9" s="1" t="s">
        <v>32</v>
      </c>
      <c r="J9" s="1" t="s">
        <v>66</v>
      </c>
      <c r="K9" s="1" t="s">
        <v>202</v>
      </c>
      <c r="L9" s="1">
        <v>416730498.41672999</v>
      </c>
      <c r="M9" s="1" t="s">
        <v>33</v>
      </c>
      <c r="N9" s="1" t="s">
        <v>203</v>
      </c>
      <c r="O9" s="1" t="s">
        <v>204</v>
      </c>
      <c r="P9" s="1" t="s">
        <v>35</v>
      </c>
      <c r="Q9" s="1" t="s">
        <v>69</v>
      </c>
      <c r="R9" s="1">
        <v>2</v>
      </c>
      <c r="T9" s="2">
        <v>45908.75</v>
      </c>
      <c r="U9" s="2">
        <v>45908.954861111109</v>
      </c>
      <c r="V9" s="1" t="s">
        <v>36</v>
      </c>
      <c r="W9" s="1" t="s">
        <v>37</v>
      </c>
      <c r="X9" s="3">
        <v>326.33</v>
      </c>
      <c r="Y9" s="3">
        <v>259.7</v>
      </c>
      <c r="AA9" s="3">
        <v>19.899999999999999</v>
      </c>
      <c r="AB9" s="3">
        <v>46.73</v>
      </c>
      <c r="AC9" s="3">
        <v>326.33</v>
      </c>
      <c r="AD9" s="1" t="s">
        <v>186</v>
      </c>
      <c r="AE9" s="1" t="s">
        <v>65</v>
      </c>
      <c r="AF9" s="1" t="s">
        <v>39</v>
      </c>
      <c r="AG9" s="1" t="s">
        <v>205</v>
      </c>
    </row>
    <row r="10" spans="1:34" x14ac:dyDescent="0.25">
      <c r="A10" s="1" t="str">
        <f>IF(P10="site desktop","Operações","Suporte KCS")</f>
        <v>Operações</v>
      </c>
      <c r="B10" s="1" t="s">
        <v>252</v>
      </c>
      <c r="E10" s="1">
        <v>16205938</v>
      </c>
      <c r="F10" s="1" t="s">
        <v>247</v>
      </c>
      <c r="G10" s="2">
        <v>45903.596967592595</v>
      </c>
      <c r="H10" s="1" t="s">
        <v>32</v>
      </c>
      <c r="J10" s="1" t="s">
        <v>66</v>
      </c>
      <c r="K10" s="1" t="s">
        <v>197</v>
      </c>
      <c r="L10" s="1">
        <v>14622527.146225199</v>
      </c>
      <c r="M10" s="1" t="s">
        <v>33</v>
      </c>
      <c r="N10" s="1" t="s">
        <v>123</v>
      </c>
      <c r="O10" s="1" t="s">
        <v>198</v>
      </c>
      <c r="P10" s="1" t="s">
        <v>35</v>
      </c>
      <c r="Q10" s="1" t="s">
        <v>69</v>
      </c>
      <c r="R10" s="1">
        <v>2</v>
      </c>
      <c r="T10" s="2">
        <v>45923.291666666664</v>
      </c>
      <c r="U10" s="2">
        <v>45923.458333333336</v>
      </c>
      <c r="V10" s="1" t="s">
        <v>36</v>
      </c>
      <c r="W10" s="1" t="s">
        <v>37</v>
      </c>
      <c r="X10" s="3">
        <v>612.96</v>
      </c>
      <c r="Y10" s="3">
        <v>502.6</v>
      </c>
      <c r="AA10" s="3">
        <v>19.899999999999999</v>
      </c>
      <c r="AB10" s="3">
        <v>90.46</v>
      </c>
      <c r="AC10" s="3">
        <v>612.96</v>
      </c>
      <c r="AD10" s="1" t="s">
        <v>199</v>
      </c>
      <c r="AE10" s="1" t="s">
        <v>200</v>
      </c>
      <c r="AF10" s="1" t="s">
        <v>57</v>
      </c>
      <c r="AG10" s="1" t="s">
        <v>201</v>
      </c>
    </row>
    <row r="11" spans="1:34" x14ac:dyDescent="0.25">
      <c r="A11" s="1" t="str">
        <f>IF(P11="site desktop","Operações","Suporte KCS")</f>
        <v>Operações</v>
      </c>
      <c r="B11" s="1" t="s">
        <v>253</v>
      </c>
      <c r="E11" s="1">
        <v>16206227</v>
      </c>
      <c r="F11" s="1" t="s">
        <v>246</v>
      </c>
      <c r="G11" s="2">
        <v>45903.609236111108</v>
      </c>
      <c r="H11" s="1" t="s">
        <v>32</v>
      </c>
      <c r="J11" s="1" t="s">
        <v>114</v>
      </c>
      <c r="K11" s="1" t="s">
        <v>193</v>
      </c>
      <c r="L11" s="1" t="s">
        <v>194</v>
      </c>
      <c r="M11" s="1" t="s">
        <v>47</v>
      </c>
      <c r="N11" s="1" t="s">
        <v>74</v>
      </c>
      <c r="O11" s="1" t="s">
        <v>195</v>
      </c>
      <c r="P11" s="1" t="s">
        <v>35</v>
      </c>
      <c r="R11" s="1">
        <v>2</v>
      </c>
      <c r="T11" s="2">
        <v>45908.291666666664</v>
      </c>
      <c r="U11" s="2">
        <v>45908.493055555555</v>
      </c>
      <c r="V11" s="1" t="s">
        <v>36</v>
      </c>
      <c r="W11" s="1" t="s">
        <v>37</v>
      </c>
      <c r="X11" s="3">
        <v>601.44000000000005</v>
      </c>
      <c r="Y11" s="3">
        <v>470.89</v>
      </c>
      <c r="AA11" s="3">
        <v>19.899999999999999</v>
      </c>
      <c r="AB11" s="3">
        <v>110.65</v>
      </c>
      <c r="AC11" s="3">
        <v>601.44000000000005</v>
      </c>
      <c r="AD11" s="1" t="s">
        <v>71</v>
      </c>
      <c r="AE11" s="1" t="s">
        <v>70</v>
      </c>
      <c r="AF11" s="1" t="s">
        <v>39</v>
      </c>
      <c r="AG11" s="1" t="s">
        <v>196</v>
      </c>
    </row>
    <row r="12" spans="1:34" x14ac:dyDescent="0.25">
      <c r="A12" s="1" t="str">
        <f>IF(P12="site desktop","Operações","Suporte KCS")</f>
        <v>Operações</v>
      </c>
      <c r="B12" s="1" t="s">
        <v>252</v>
      </c>
      <c r="E12" s="1">
        <v>16208599</v>
      </c>
      <c r="F12" s="1" t="s">
        <v>245</v>
      </c>
      <c r="G12" s="2">
        <v>45903.706620370373</v>
      </c>
      <c r="H12" s="1" t="s">
        <v>32</v>
      </c>
      <c r="J12" s="1" t="s">
        <v>61</v>
      </c>
      <c r="K12" s="1" t="s">
        <v>192</v>
      </c>
      <c r="L12" s="1">
        <v>394778.39477800002</v>
      </c>
      <c r="M12" s="1" t="s">
        <v>33</v>
      </c>
      <c r="N12" s="1" t="s">
        <v>107</v>
      </c>
      <c r="O12" s="1" t="s">
        <v>108</v>
      </c>
      <c r="P12" s="1" t="s">
        <v>35</v>
      </c>
      <c r="R12" s="1">
        <v>2</v>
      </c>
      <c r="T12" s="2">
        <v>45907.216666666667</v>
      </c>
      <c r="U12" s="2">
        <v>45907.736111111109</v>
      </c>
      <c r="V12" s="1" t="s">
        <v>36</v>
      </c>
      <c r="W12" s="1" t="s">
        <v>37</v>
      </c>
      <c r="X12" s="3">
        <v>440.92</v>
      </c>
      <c r="Y12" s="3">
        <v>364.39</v>
      </c>
      <c r="AA12" s="3">
        <v>10.95</v>
      </c>
      <c r="AB12" s="3">
        <v>65.58</v>
      </c>
      <c r="AC12" s="3">
        <v>440.92</v>
      </c>
      <c r="AD12" s="1" t="s">
        <v>99</v>
      </c>
      <c r="AE12" s="1" t="s">
        <v>64</v>
      </c>
      <c r="AF12" s="1" t="s">
        <v>57</v>
      </c>
      <c r="AG12" s="1">
        <v>10143595676</v>
      </c>
    </row>
    <row r="13" spans="1:34" x14ac:dyDescent="0.25">
      <c r="A13" s="1" t="str">
        <f>IF(P13="site desktop","Operações","Suporte KCS")</f>
        <v>Operações</v>
      </c>
      <c r="B13" s="1" t="s">
        <v>253</v>
      </c>
      <c r="E13" s="1">
        <v>16209671</v>
      </c>
      <c r="F13" s="1" t="s">
        <v>244</v>
      </c>
      <c r="G13" s="2">
        <v>45903.754479166666</v>
      </c>
      <c r="H13" s="1" t="s">
        <v>32</v>
      </c>
      <c r="J13" s="1" t="s">
        <v>114</v>
      </c>
      <c r="K13" s="1" t="s">
        <v>189</v>
      </c>
      <c r="L13" s="1">
        <v>540252335.54025197</v>
      </c>
      <c r="M13" s="1" t="s">
        <v>47</v>
      </c>
      <c r="N13" s="1" t="s">
        <v>190</v>
      </c>
      <c r="O13" s="1" t="s">
        <v>68</v>
      </c>
      <c r="P13" s="1" t="s">
        <v>35</v>
      </c>
      <c r="R13" s="1">
        <v>2</v>
      </c>
      <c r="T13" s="2">
        <v>45908.291666666664</v>
      </c>
      <c r="U13" s="2">
        <v>45908.493055555555</v>
      </c>
      <c r="V13" s="1" t="s">
        <v>36</v>
      </c>
      <c r="W13" s="1" t="s">
        <v>37</v>
      </c>
      <c r="X13" s="3">
        <v>507.35</v>
      </c>
      <c r="Y13" s="3">
        <v>394.59</v>
      </c>
      <c r="AA13" s="3">
        <v>19.899999999999999</v>
      </c>
      <c r="AB13" s="3">
        <v>92.86</v>
      </c>
      <c r="AC13" s="3">
        <v>507.35</v>
      </c>
      <c r="AD13" s="1" t="s">
        <v>71</v>
      </c>
      <c r="AE13" s="1" t="s">
        <v>70</v>
      </c>
      <c r="AF13" s="1" t="s">
        <v>57</v>
      </c>
      <c r="AG13" s="1" t="s">
        <v>191</v>
      </c>
    </row>
    <row r="14" spans="1:34" x14ac:dyDescent="0.25">
      <c r="A14" s="1" t="str">
        <f>IF(P14="site desktop","Operações","Suporte KCS")</f>
        <v>Operações</v>
      </c>
      <c r="B14" s="1" t="s">
        <v>252</v>
      </c>
      <c r="E14" s="1">
        <v>16210193</v>
      </c>
      <c r="F14" s="1" t="s">
        <v>243</v>
      </c>
      <c r="G14" s="2">
        <v>45903.781608796293</v>
      </c>
      <c r="H14" s="1" t="s">
        <v>32</v>
      </c>
      <c r="J14" s="1" t="s">
        <v>66</v>
      </c>
      <c r="K14" s="1" t="s">
        <v>187</v>
      </c>
      <c r="L14" s="1">
        <v>2105649756.2105601</v>
      </c>
      <c r="M14" s="1" t="s">
        <v>33</v>
      </c>
      <c r="N14" s="1" t="s">
        <v>74</v>
      </c>
      <c r="O14" s="1" t="s">
        <v>75</v>
      </c>
      <c r="P14" s="1" t="s">
        <v>35</v>
      </c>
      <c r="Q14" s="1" t="s">
        <v>69</v>
      </c>
      <c r="R14" s="1">
        <v>2</v>
      </c>
      <c r="T14" s="2">
        <v>45926.291666666664</v>
      </c>
      <c r="U14" s="2">
        <v>45926.5</v>
      </c>
      <c r="V14" s="1" t="s">
        <v>36</v>
      </c>
      <c r="W14" s="1" t="s">
        <v>37</v>
      </c>
      <c r="X14" s="3">
        <v>472.78</v>
      </c>
      <c r="Y14" s="3">
        <v>383.8</v>
      </c>
      <c r="AA14" s="3">
        <v>19.899999999999999</v>
      </c>
      <c r="AB14" s="3">
        <v>69.08</v>
      </c>
      <c r="AC14" s="3">
        <v>472.78</v>
      </c>
      <c r="AD14" s="1" t="s">
        <v>77</v>
      </c>
      <c r="AE14" s="1" t="s">
        <v>96</v>
      </c>
      <c r="AF14" s="1" t="s">
        <v>39</v>
      </c>
      <c r="AG14" s="1" t="s">
        <v>188</v>
      </c>
    </row>
    <row r="15" spans="1:34" x14ac:dyDescent="0.25">
      <c r="A15" s="1" t="str">
        <f>IF(P15="site desktop","Operações","Suporte KCS")</f>
        <v>Operações</v>
      </c>
      <c r="B15" s="1" t="s">
        <v>253</v>
      </c>
      <c r="E15" s="1">
        <v>16211459</v>
      </c>
      <c r="F15" s="1" t="s">
        <v>242</v>
      </c>
      <c r="G15" s="2">
        <v>45903.876770833333</v>
      </c>
      <c r="H15" s="1" t="s">
        <v>32</v>
      </c>
      <c r="J15" s="1" t="s">
        <v>114</v>
      </c>
      <c r="K15" s="1" t="s">
        <v>184</v>
      </c>
      <c r="L15" s="1">
        <v>125514537.125514</v>
      </c>
      <c r="M15" s="1" t="s">
        <v>47</v>
      </c>
      <c r="N15" s="1" t="s">
        <v>74</v>
      </c>
      <c r="O15" s="1" t="s">
        <v>116</v>
      </c>
      <c r="P15" s="1" t="s">
        <v>35</v>
      </c>
      <c r="R15" s="1">
        <v>2</v>
      </c>
      <c r="T15" s="2">
        <v>45908.319444444445</v>
      </c>
      <c r="U15" s="2">
        <v>45908.65625</v>
      </c>
      <c r="V15" s="1" t="s">
        <v>36</v>
      </c>
      <c r="W15" s="1" t="s">
        <v>37</v>
      </c>
      <c r="X15" s="3">
        <v>691.84</v>
      </c>
      <c r="Y15" s="3">
        <v>543.35</v>
      </c>
      <c r="AA15" s="3">
        <v>20.9</v>
      </c>
      <c r="AB15" s="3">
        <v>127.59</v>
      </c>
      <c r="AC15" s="3">
        <v>691.84</v>
      </c>
      <c r="AD15" s="1" t="s">
        <v>117</v>
      </c>
      <c r="AE15" s="1" t="s">
        <v>56</v>
      </c>
      <c r="AF15" s="1" t="s">
        <v>39</v>
      </c>
      <c r="AG15" s="1" t="s">
        <v>185</v>
      </c>
    </row>
    <row r="16" spans="1:34" x14ac:dyDescent="0.25">
      <c r="A16" s="1" t="str">
        <f>IF(P16="site desktop","Operações","Suporte KCS")</f>
        <v>Operações</v>
      </c>
      <c r="B16" s="1" t="s">
        <v>253</v>
      </c>
      <c r="E16" s="1">
        <v>16219486</v>
      </c>
      <c r="F16" s="1" t="s">
        <v>179</v>
      </c>
      <c r="G16" s="2">
        <v>45904.643796296295</v>
      </c>
      <c r="H16" s="1" t="s">
        <v>32</v>
      </c>
      <c r="J16" s="1" t="s">
        <v>114</v>
      </c>
      <c r="K16" s="1" t="s">
        <v>180</v>
      </c>
      <c r="L16" s="1">
        <v>280329731</v>
      </c>
      <c r="M16" s="1" t="s">
        <v>47</v>
      </c>
      <c r="N16" s="1" t="s">
        <v>62</v>
      </c>
      <c r="O16" s="1" t="s">
        <v>111</v>
      </c>
      <c r="P16" s="1" t="s">
        <v>35</v>
      </c>
      <c r="R16" s="1">
        <v>1</v>
      </c>
      <c r="T16" s="2">
        <v>45904.729166666664</v>
      </c>
      <c r="U16" s="2">
        <v>45904.864583333336</v>
      </c>
      <c r="V16" s="1" t="s">
        <v>36</v>
      </c>
      <c r="W16" s="1" t="s">
        <v>37</v>
      </c>
      <c r="X16" s="3">
        <v>121.38</v>
      </c>
      <c r="Y16" s="3">
        <v>90</v>
      </c>
      <c r="AA16" s="3">
        <v>9.9499999999999993</v>
      </c>
      <c r="AB16" s="3">
        <v>21.43</v>
      </c>
      <c r="AC16" s="3">
        <v>121.38</v>
      </c>
      <c r="AD16" s="1" t="s">
        <v>178</v>
      </c>
      <c r="AE16" s="1" t="s">
        <v>120</v>
      </c>
      <c r="AF16" s="1" t="s">
        <v>39</v>
      </c>
      <c r="AG16" s="1">
        <v>10143603700</v>
      </c>
    </row>
    <row r="17" spans="1:33" x14ac:dyDescent="0.25">
      <c r="A17" s="1" t="str">
        <f>IF(P17="site desktop","Operações","Suporte KCS")</f>
        <v>Operações</v>
      </c>
      <c r="B17" s="1" t="s">
        <v>253</v>
      </c>
      <c r="E17" s="1">
        <v>16219540</v>
      </c>
      <c r="F17" s="1" t="s">
        <v>176</v>
      </c>
      <c r="G17" s="2">
        <v>45904.645682870374</v>
      </c>
      <c r="H17" s="1" t="s">
        <v>32</v>
      </c>
      <c r="J17" s="1" t="s">
        <v>114</v>
      </c>
      <c r="K17" s="1" t="s">
        <v>177</v>
      </c>
      <c r="L17" s="1">
        <v>210047833</v>
      </c>
      <c r="M17" s="1" t="s">
        <v>47</v>
      </c>
      <c r="N17" s="1" t="s">
        <v>62</v>
      </c>
      <c r="O17" s="1" t="s">
        <v>111</v>
      </c>
      <c r="P17" s="1" t="s">
        <v>35</v>
      </c>
      <c r="R17" s="1">
        <v>1</v>
      </c>
      <c r="T17" s="2">
        <v>45904.729166666664</v>
      </c>
      <c r="U17" s="2">
        <v>45904.864583333336</v>
      </c>
      <c r="V17" s="1" t="s">
        <v>36</v>
      </c>
      <c r="W17" s="1" t="s">
        <v>37</v>
      </c>
      <c r="X17" s="3">
        <v>121.38</v>
      </c>
      <c r="Y17" s="3">
        <v>90</v>
      </c>
      <c r="AA17" s="3">
        <v>9.9499999999999993</v>
      </c>
      <c r="AB17" s="3">
        <v>21.43</v>
      </c>
      <c r="AC17" s="3">
        <v>121.38</v>
      </c>
      <c r="AD17" s="1" t="s">
        <v>178</v>
      </c>
      <c r="AE17" s="1" t="s">
        <v>120</v>
      </c>
      <c r="AF17" s="1" t="s">
        <v>39</v>
      </c>
      <c r="AG17" s="1">
        <v>10143603752</v>
      </c>
    </row>
    <row r="18" spans="1:33" x14ac:dyDescent="0.25">
      <c r="A18" s="1" t="str">
        <f>IF(P18="site desktop","Operações","Suporte KCS")</f>
        <v>Operações</v>
      </c>
      <c r="B18" s="1" t="s">
        <v>252</v>
      </c>
      <c r="E18" s="1">
        <v>16219737</v>
      </c>
      <c r="F18" s="1" t="s">
        <v>241</v>
      </c>
      <c r="G18" s="2">
        <v>45904.65415509259</v>
      </c>
      <c r="H18" s="1" t="s">
        <v>32</v>
      </c>
      <c r="J18" s="1" t="s">
        <v>173</v>
      </c>
      <c r="K18" s="1" t="s">
        <v>175</v>
      </c>
      <c r="L18" s="1">
        <v>302222344.30222201</v>
      </c>
      <c r="M18" s="1" t="s">
        <v>33</v>
      </c>
      <c r="N18" s="1" t="s">
        <v>34</v>
      </c>
      <c r="O18" s="1">
        <v>1001</v>
      </c>
      <c r="P18" s="1" t="s">
        <v>35</v>
      </c>
      <c r="R18" s="1">
        <v>2</v>
      </c>
      <c r="T18" s="2">
        <v>45908.416666666664</v>
      </c>
      <c r="U18" s="2">
        <v>45908.534722222219</v>
      </c>
      <c r="V18" s="1" t="s">
        <v>36</v>
      </c>
      <c r="W18" s="1" t="s">
        <v>37</v>
      </c>
      <c r="X18" s="3">
        <v>109.44</v>
      </c>
      <c r="Y18" s="3">
        <v>84.32</v>
      </c>
      <c r="AA18" s="3">
        <v>9.9499999999999993</v>
      </c>
      <c r="AB18" s="3">
        <v>15.17</v>
      </c>
      <c r="AC18" s="3">
        <v>109.44</v>
      </c>
      <c r="AD18" s="1" t="s">
        <v>119</v>
      </c>
      <c r="AE18" s="1" t="s">
        <v>43</v>
      </c>
      <c r="AF18" s="1" t="s">
        <v>57</v>
      </c>
      <c r="AG18" s="1">
        <v>10143603905</v>
      </c>
    </row>
    <row r="19" spans="1:33" x14ac:dyDescent="0.25">
      <c r="A19" s="1" t="str">
        <f>IF(P19="site desktop","Operações","Suporte KCS")</f>
        <v>Operações</v>
      </c>
      <c r="B19" s="1" t="s">
        <v>252</v>
      </c>
      <c r="E19" s="1">
        <v>16219990</v>
      </c>
      <c r="F19" s="1" t="s">
        <v>172</v>
      </c>
      <c r="G19" s="2">
        <v>45904.6643287037</v>
      </c>
      <c r="H19" s="1" t="s">
        <v>32</v>
      </c>
      <c r="J19" s="1" t="s">
        <v>173</v>
      </c>
      <c r="K19" s="1" t="s">
        <v>174</v>
      </c>
      <c r="L19" s="1">
        <v>258076793</v>
      </c>
      <c r="M19" s="1" t="s">
        <v>33</v>
      </c>
      <c r="N19" s="1" t="s">
        <v>34</v>
      </c>
      <c r="O19" s="1">
        <v>1001</v>
      </c>
      <c r="P19" s="1" t="s">
        <v>35</v>
      </c>
      <c r="R19" s="1">
        <v>1</v>
      </c>
      <c r="T19" s="2">
        <v>45910.4375</v>
      </c>
      <c r="U19" s="2">
        <v>45910.604166666664</v>
      </c>
      <c r="V19" s="1" t="s">
        <v>36</v>
      </c>
      <c r="W19" s="1" t="s">
        <v>37</v>
      </c>
      <c r="X19" s="3">
        <v>206.89</v>
      </c>
      <c r="Y19" s="3">
        <v>166.9</v>
      </c>
      <c r="AA19" s="3">
        <v>9.9499999999999993</v>
      </c>
      <c r="AB19" s="3">
        <v>30.04</v>
      </c>
      <c r="AC19" s="3">
        <v>206.89</v>
      </c>
      <c r="AD19" s="1" t="s">
        <v>121</v>
      </c>
      <c r="AE19" s="1" t="s">
        <v>38</v>
      </c>
      <c r="AF19" s="1" t="s">
        <v>39</v>
      </c>
      <c r="AG19" s="1">
        <v>10143604067</v>
      </c>
    </row>
    <row r="20" spans="1:33" x14ac:dyDescent="0.25">
      <c r="A20" s="1" t="str">
        <f>IF(P20="site desktop","Operações","Suporte KCS")</f>
        <v>Operações</v>
      </c>
      <c r="B20" s="1" t="s">
        <v>253</v>
      </c>
      <c r="E20" s="1">
        <v>16220194</v>
      </c>
      <c r="F20" s="1">
        <v>11175360152273</v>
      </c>
      <c r="G20" s="2">
        <v>45904.671539351853</v>
      </c>
      <c r="H20" s="1" t="s">
        <v>32</v>
      </c>
      <c r="J20" s="1" t="s">
        <v>81</v>
      </c>
      <c r="K20" s="1" t="s">
        <v>171</v>
      </c>
      <c r="L20" s="1">
        <v>9121381868</v>
      </c>
      <c r="M20" s="1" t="s">
        <v>33</v>
      </c>
      <c r="N20" s="1" t="s">
        <v>74</v>
      </c>
      <c r="O20" s="1" t="s">
        <v>75</v>
      </c>
      <c r="P20" s="1" t="s">
        <v>35</v>
      </c>
      <c r="R20" s="1">
        <v>1</v>
      </c>
      <c r="T20" s="2">
        <v>45906.291666666664</v>
      </c>
      <c r="U20" s="2">
        <v>45906.472222222219</v>
      </c>
      <c r="V20" s="1" t="s">
        <v>36</v>
      </c>
      <c r="W20" s="1" t="s">
        <v>37</v>
      </c>
      <c r="X20" s="3">
        <v>184.76</v>
      </c>
      <c r="Y20" s="3">
        <v>148.15</v>
      </c>
      <c r="AA20" s="3">
        <v>9.9499999999999993</v>
      </c>
      <c r="AB20" s="3">
        <v>26.66</v>
      </c>
      <c r="AC20" s="3">
        <v>184.76</v>
      </c>
      <c r="AD20" s="1" t="s">
        <v>77</v>
      </c>
      <c r="AE20" s="1" t="s">
        <v>96</v>
      </c>
      <c r="AF20" s="1" t="s">
        <v>39</v>
      </c>
      <c r="AG20" s="1">
        <v>10143604202</v>
      </c>
    </row>
    <row r="21" spans="1:33" x14ac:dyDescent="0.25">
      <c r="A21" s="1" t="str">
        <f>IF(P21="site desktop","Operações","Suporte KCS")</f>
        <v>Operações</v>
      </c>
      <c r="B21" s="1" t="s">
        <v>253</v>
      </c>
      <c r="E21" s="1">
        <v>16220278</v>
      </c>
      <c r="F21" s="1">
        <v>11175360152291</v>
      </c>
      <c r="G21" s="2">
        <v>45904.674722222226</v>
      </c>
      <c r="H21" s="1" t="s">
        <v>32</v>
      </c>
      <c r="J21" s="1" t="s">
        <v>81</v>
      </c>
      <c r="K21" s="1" t="s">
        <v>170</v>
      </c>
      <c r="L21" s="1">
        <v>6097426388</v>
      </c>
      <c r="M21" s="1" t="s">
        <v>47</v>
      </c>
      <c r="N21" s="1" t="s">
        <v>74</v>
      </c>
      <c r="O21" s="1" t="s">
        <v>75</v>
      </c>
      <c r="P21" s="1" t="s">
        <v>35</v>
      </c>
      <c r="R21" s="1">
        <v>1</v>
      </c>
      <c r="T21" s="2">
        <v>45906.291666666664</v>
      </c>
      <c r="U21" s="2">
        <v>45906.472222222219</v>
      </c>
      <c r="V21" s="1" t="s">
        <v>36</v>
      </c>
      <c r="W21" s="1" t="s">
        <v>37</v>
      </c>
      <c r="X21" s="3">
        <v>193.07</v>
      </c>
      <c r="Y21" s="3">
        <v>148.15</v>
      </c>
      <c r="AA21" s="3">
        <v>9.9499999999999993</v>
      </c>
      <c r="AB21" s="3">
        <v>34.97</v>
      </c>
      <c r="AC21" s="3">
        <v>193.07</v>
      </c>
      <c r="AD21" s="1" t="s">
        <v>77</v>
      </c>
      <c r="AE21" s="1" t="s">
        <v>96</v>
      </c>
      <c r="AF21" s="1" t="s">
        <v>39</v>
      </c>
      <c r="AG21" s="1">
        <v>10143604253</v>
      </c>
    </row>
    <row r="22" spans="1:33" x14ac:dyDescent="0.25">
      <c r="A22" s="1" t="str">
        <f>IF(P22="site desktop","Operações","Suporte KCS")</f>
        <v>Operações</v>
      </c>
      <c r="B22" s="1" t="s">
        <v>253</v>
      </c>
      <c r="E22" s="1">
        <v>16220325</v>
      </c>
      <c r="F22" s="1">
        <v>468038065</v>
      </c>
      <c r="G22" s="2">
        <v>45904.677175925928</v>
      </c>
      <c r="H22" s="1" t="s">
        <v>32</v>
      </c>
      <c r="J22" s="1" t="s">
        <v>114</v>
      </c>
      <c r="K22" s="1" t="s">
        <v>169</v>
      </c>
      <c r="L22" s="1">
        <v>1077599866</v>
      </c>
      <c r="M22" s="1" t="s">
        <v>47</v>
      </c>
      <c r="N22" s="1" t="s">
        <v>74</v>
      </c>
      <c r="O22" s="1" t="s">
        <v>75</v>
      </c>
      <c r="P22" s="1" t="s">
        <v>35</v>
      </c>
      <c r="R22" s="1">
        <v>1</v>
      </c>
      <c r="T22" s="2">
        <v>45908.291666666664</v>
      </c>
      <c r="U22" s="2">
        <v>45908.493055555555</v>
      </c>
      <c r="V22" s="1" t="s">
        <v>36</v>
      </c>
      <c r="W22" s="1" t="s">
        <v>37</v>
      </c>
      <c r="X22" s="3">
        <v>193.07</v>
      </c>
      <c r="Y22" s="3">
        <v>148.15</v>
      </c>
      <c r="AA22" s="3">
        <v>9.9499999999999993</v>
      </c>
      <c r="AB22" s="3">
        <v>34.97</v>
      </c>
      <c r="AC22" s="3">
        <v>193.07</v>
      </c>
      <c r="AD22" s="1" t="s">
        <v>96</v>
      </c>
      <c r="AE22" s="1" t="s">
        <v>77</v>
      </c>
      <c r="AF22" s="1" t="s">
        <v>39</v>
      </c>
      <c r="AG22" s="1">
        <v>10143604291</v>
      </c>
    </row>
    <row r="23" spans="1:33" x14ac:dyDescent="0.25">
      <c r="A23" s="1" t="str">
        <f>IF(P23="site desktop","Operações","Suporte KCS")</f>
        <v>Operações</v>
      </c>
      <c r="B23" s="1" t="s">
        <v>253</v>
      </c>
      <c r="E23" s="1">
        <v>16220575</v>
      </c>
      <c r="F23" s="1">
        <v>468039718</v>
      </c>
      <c r="G23" s="2">
        <v>45904.688611111109</v>
      </c>
      <c r="H23" s="1" t="s">
        <v>32</v>
      </c>
      <c r="J23" s="1" t="s">
        <v>114</v>
      </c>
      <c r="K23" s="1" t="s">
        <v>168</v>
      </c>
      <c r="L23" s="1">
        <v>4085742148</v>
      </c>
      <c r="M23" s="1" t="s">
        <v>47</v>
      </c>
      <c r="N23" s="1" t="s">
        <v>74</v>
      </c>
      <c r="O23" s="1" t="s">
        <v>75</v>
      </c>
      <c r="P23" s="1" t="s">
        <v>35</v>
      </c>
      <c r="R23" s="1">
        <v>1</v>
      </c>
      <c r="T23" s="2">
        <v>45908.291666666664</v>
      </c>
      <c r="U23" s="2">
        <v>45908.493055555555</v>
      </c>
      <c r="V23" s="1" t="s">
        <v>36</v>
      </c>
      <c r="W23" s="1" t="s">
        <v>37</v>
      </c>
      <c r="X23" s="3">
        <v>193.07</v>
      </c>
      <c r="Y23" s="3">
        <v>148.15</v>
      </c>
      <c r="AA23" s="3">
        <v>9.9499999999999993</v>
      </c>
      <c r="AB23" s="3">
        <v>34.97</v>
      </c>
      <c r="AC23" s="3">
        <v>193.07</v>
      </c>
      <c r="AD23" s="1" t="s">
        <v>96</v>
      </c>
      <c r="AE23" s="1" t="s">
        <v>77</v>
      </c>
      <c r="AF23" s="1" t="s">
        <v>39</v>
      </c>
      <c r="AG23" s="1">
        <v>10143604436</v>
      </c>
    </row>
    <row r="24" spans="1:33" x14ac:dyDescent="0.25">
      <c r="A24" s="1" t="str">
        <f>IF(P24="site desktop","Operações","Suporte KCS")</f>
        <v>Operações</v>
      </c>
      <c r="B24" s="1" t="s">
        <v>252</v>
      </c>
      <c r="E24" s="1">
        <v>16222595</v>
      </c>
      <c r="F24" s="1" t="s">
        <v>240</v>
      </c>
      <c r="G24" s="2">
        <v>45904.768148148149</v>
      </c>
      <c r="H24" s="1" t="s">
        <v>32</v>
      </c>
      <c r="J24" s="1" t="s">
        <v>66</v>
      </c>
      <c r="K24" s="1" t="s">
        <v>163</v>
      </c>
      <c r="L24" s="1">
        <v>296873147.29687297</v>
      </c>
      <c r="M24" s="1" t="s">
        <v>33</v>
      </c>
      <c r="N24" s="1" t="s">
        <v>74</v>
      </c>
      <c r="O24" s="1" t="s">
        <v>164</v>
      </c>
      <c r="P24" s="1" t="s">
        <v>35</v>
      </c>
      <c r="Q24" s="1" t="s">
        <v>69</v>
      </c>
      <c r="R24" s="1">
        <v>2</v>
      </c>
      <c r="T24" s="2">
        <v>45918.583333333336</v>
      </c>
      <c r="U24" s="2">
        <v>45918.895833333336</v>
      </c>
      <c r="V24" s="1" t="s">
        <v>36</v>
      </c>
      <c r="W24" s="1" t="s">
        <v>37</v>
      </c>
      <c r="X24" s="3">
        <v>765.9</v>
      </c>
      <c r="Y24" s="3">
        <v>631.36</v>
      </c>
      <c r="AA24" s="3">
        <v>20.9</v>
      </c>
      <c r="AB24" s="3">
        <v>113.64</v>
      </c>
      <c r="AC24" s="3">
        <v>765.9</v>
      </c>
      <c r="AD24" s="1" t="s">
        <v>165</v>
      </c>
      <c r="AE24" s="1" t="s">
        <v>71</v>
      </c>
      <c r="AF24" s="1" t="s">
        <v>39</v>
      </c>
      <c r="AG24" s="1" t="s">
        <v>166</v>
      </c>
    </row>
    <row r="25" spans="1:33" x14ac:dyDescent="0.25">
      <c r="A25" s="1" t="str">
        <f>IF(P25="site desktop","Operações","Suporte KCS")</f>
        <v>Operações</v>
      </c>
      <c r="B25" s="1" t="s">
        <v>253</v>
      </c>
      <c r="E25" s="1">
        <v>16222614</v>
      </c>
      <c r="F25" s="1" t="s">
        <v>239</v>
      </c>
      <c r="G25" s="2">
        <v>45904.768993055557</v>
      </c>
      <c r="H25" s="1" t="s">
        <v>32</v>
      </c>
      <c r="J25" s="1" t="s">
        <v>114</v>
      </c>
      <c r="K25" s="1" t="s">
        <v>161</v>
      </c>
      <c r="L25" s="1">
        <v>99169249.991692394</v>
      </c>
      <c r="M25" s="1" t="s">
        <v>47</v>
      </c>
      <c r="N25" s="1" t="s">
        <v>74</v>
      </c>
      <c r="O25" s="1" t="s">
        <v>116</v>
      </c>
      <c r="P25" s="1" t="s">
        <v>35</v>
      </c>
      <c r="R25" s="1">
        <v>2</v>
      </c>
      <c r="T25" s="2">
        <v>45908.319444444445</v>
      </c>
      <c r="U25" s="2">
        <v>45908.65625</v>
      </c>
      <c r="V25" s="1" t="s">
        <v>36</v>
      </c>
      <c r="W25" s="1" t="s">
        <v>37</v>
      </c>
      <c r="X25" s="3">
        <v>691.84</v>
      </c>
      <c r="Y25" s="3">
        <v>543.35</v>
      </c>
      <c r="AA25" s="3">
        <v>20.9</v>
      </c>
      <c r="AB25" s="3">
        <v>127.59</v>
      </c>
      <c r="AC25" s="3">
        <v>691.84</v>
      </c>
      <c r="AD25" s="1" t="s">
        <v>117</v>
      </c>
      <c r="AE25" s="1" t="s">
        <v>56</v>
      </c>
      <c r="AF25" s="1" t="s">
        <v>39</v>
      </c>
      <c r="AG25" s="1" t="s">
        <v>162</v>
      </c>
    </row>
    <row r="26" spans="1:33" x14ac:dyDescent="0.25">
      <c r="A26" s="1" t="str">
        <f>IF(P26="site desktop","Operações","Suporte KCS")</f>
        <v>Operações</v>
      </c>
      <c r="B26" s="1" t="s">
        <v>253</v>
      </c>
      <c r="E26" s="1">
        <v>16228773</v>
      </c>
      <c r="F26" s="1">
        <v>468086017</v>
      </c>
      <c r="G26" s="2">
        <v>45905.453541666669</v>
      </c>
      <c r="H26" s="1" t="s">
        <v>32</v>
      </c>
      <c r="J26" s="1" t="s">
        <v>81</v>
      </c>
      <c r="K26" s="1" t="s">
        <v>95</v>
      </c>
      <c r="L26" s="1">
        <v>6062787533</v>
      </c>
      <c r="M26" s="1" t="s">
        <v>47</v>
      </c>
      <c r="N26" s="1" t="s">
        <v>74</v>
      </c>
      <c r="O26" s="1" t="s">
        <v>75</v>
      </c>
      <c r="P26" s="1" t="s">
        <v>35</v>
      </c>
      <c r="R26" s="1">
        <v>1</v>
      </c>
      <c r="T26" s="2">
        <v>45906.291666666664</v>
      </c>
      <c r="U26" s="2">
        <v>45906.493055555555</v>
      </c>
      <c r="V26" s="1" t="s">
        <v>36</v>
      </c>
      <c r="W26" s="1" t="s">
        <v>37</v>
      </c>
      <c r="X26" s="3">
        <v>193.07</v>
      </c>
      <c r="Y26" s="3">
        <v>148.15</v>
      </c>
      <c r="AA26" s="3">
        <v>9.9499999999999993</v>
      </c>
      <c r="AB26" s="3">
        <v>34.97</v>
      </c>
      <c r="AC26" s="3">
        <v>193.07</v>
      </c>
      <c r="AD26" s="1" t="s">
        <v>96</v>
      </c>
      <c r="AE26" s="1" t="s">
        <v>77</v>
      </c>
      <c r="AF26" s="1" t="s">
        <v>39</v>
      </c>
      <c r="AG26" s="1">
        <v>10143610297</v>
      </c>
    </row>
    <row r="27" spans="1:33" x14ac:dyDescent="0.25">
      <c r="A27" s="1" t="str">
        <f>IF(P27="site desktop","Operações","Suporte KCS")</f>
        <v>Operações</v>
      </c>
      <c r="B27" s="1" t="s">
        <v>253</v>
      </c>
      <c r="E27" s="1">
        <v>16228934</v>
      </c>
      <c r="F27" s="1" t="s">
        <v>157</v>
      </c>
      <c r="G27" s="2">
        <v>45905.460520833331</v>
      </c>
      <c r="H27" s="1" t="s">
        <v>32</v>
      </c>
      <c r="J27" s="1" t="s">
        <v>81</v>
      </c>
      <c r="K27" s="1" t="s">
        <v>158</v>
      </c>
      <c r="L27" s="1">
        <v>23488069</v>
      </c>
      <c r="M27" s="1" t="s">
        <v>47</v>
      </c>
      <c r="N27" s="1" t="s">
        <v>34</v>
      </c>
      <c r="O27" s="1" t="s">
        <v>94</v>
      </c>
      <c r="P27" s="1" t="s">
        <v>35</v>
      </c>
      <c r="R27" s="1">
        <v>1</v>
      </c>
      <c r="T27" s="2">
        <v>45905.864583333336</v>
      </c>
      <c r="U27" s="2">
        <v>45906.246527777781</v>
      </c>
      <c r="V27" s="1" t="s">
        <v>36</v>
      </c>
      <c r="W27" s="1" t="s">
        <v>37</v>
      </c>
      <c r="X27" s="3">
        <v>248.25</v>
      </c>
      <c r="Y27" s="3">
        <v>192.05</v>
      </c>
      <c r="AA27" s="3">
        <v>10.95</v>
      </c>
      <c r="AB27" s="3">
        <v>45.25</v>
      </c>
      <c r="AC27" s="3">
        <v>248.25</v>
      </c>
      <c r="AD27" s="1" t="s">
        <v>159</v>
      </c>
      <c r="AE27" s="1" t="s">
        <v>160</v>
      </c>
      <c r="AF27" s="1" t="s">
        <v>39</v>
      </c>
      <c r="AG27" s="1">
        <v>10143610416</v>
      </c>
    </row>
    <row r="28" spans="1:33" x14ac:dyDescent="0.25">
      <c r="A28" s="1" t="str">
        <f>IF(P28="site desktop","Operações","Suporte KCS")</f>
        <v>Operações</v>
      </c>
      <c r="B28" s="1" t="s">
        <v>253</v>
      </c>
      <c r="E28" s="1">
        <v>16229637</v>
      </c>
      <c r="F28" s="1" t="s">
        <v>238</v>
      </c>
      <c r="G28" s="2">
        <v>45905.485509259262</v>
      </c>
      <c r="H28" s="1" t="s">
        <v>32</v>
      </c>
      <c r="J28" s="1" t="s">
        <v>81</v>
      </c>
      <c r="K28" s="1" t="s">
        <v>152</v>
      </c>
      <c r="L28" s="1" t="s">
        <v>153</v>
      </c>
      <c r="M28" s="1" t="s">
        <v>47</v>
      </c>
      <c r="N28" s="1" t="s">
        <v>154</v>
      </c>
      <c r="O28" s="1" t="s">
        <v>155</v>
      </c>
      <c r="P28" s="1" t="s">
        <v>35</v>
      </c>
      <c r="R28" s="1">
        <v>2</v>
      </c>
      <c r="T28" s="2">
        <v>45922.583333333336</v>
      </c>
      <c r="U28" s="2">
        <v>45922.743055555555</v>
      </c>
      <c r="V28" s="1" t="s">
        <v>36</v>
      </c>
      <c r="W28" s="1" t="s">
        <v>37</v>
      </c>
      <c r="X28" s="3">
        <v>228.45</v>
      </c>
      <c r="Y28" s="3">
        <v>168.41</v>
      </c>
      <c r="AA28" s="3">
        <v>19.899999999999999</v>
      </c>
      <c r="AB28" s="3">
        <v>40.14</v>
      </c>
      <c r="AC28" s="3">
        <v>228.45</v>
      </c>
      <c r="AD28" s="1" t="s">
        <v>146</v>
      </c>
      <c r="AE28" s="1" t="s">
        <v>64</v>
      </c>
      <c r="AF28" s="1" t="s">
        <v>57</v>
      </c>
      <c r="AG28" s="1" t="s">
        <v>156</v>
      </c>
    </row>
    <row r="29" spans="1:33" x14ac:dyDescent="0.25">
      <c r="A29" s="1" t="str">
        <f>IF(P29="site desktop","Operações","Suporte KCS")</f>
        <v>Operações</v>
      </c>
      <c r="B29" s="1" t="s">
        <v>252</v>
      </c>
      <c r="E29" s="1">
        <v>16229755</v>
      </c>
      <c r="F29" s="1" t="s">
        <v>237</v>
      </c>
      <c r="G29" s="2">
        <v>45905.490381944444</v>
      </c>
      <c r="H29" s="1" t="s">
        <v>32</v>
      </c>
      <c r="J29" s="1" t="s">
        <v>61</v>
      </c>
      <c r="K29" s="1" t="s">
        <v>148</v>
      </c>
      <c r="L29" s="1">
        <v>2094293582.20942</v>
      </c>
      <c r="M29" s="1" t="s">
        <v>33</v>
      </c>
      <c r="N29" s="1" t="s">
        <v>90</v>
      </c>
      <c r="O29" s="1" t="s">
        <v>149</v>
      </c>
      <c r="P29" s="1" t="s">
        <v>35</v>
      </c>
      <c r="R29" s="1">
        <v>2</v>
      </c>
      <c r="T29" s="2">
        <v>45912.520833333336</v>
      </c>
      <c r="U29" s="2">
        <v>45912.895833333336</v>
      </c>
      <c r="V29" s="1" t="s">
        <v>36</v>
      </c>
      <c r="W29" s="1" t="s">
        <v>37</v>
      </c>
      <c r="X29" s="3">
        <v>865.38</v>
      </c>
      <c r="Y29" s="3">
        <v>716.52</v>
      </c>
      <c r="AA29" s="3">
        <v>19.899999999999999</v>
      </c>
      <c r="AB29" s="3">
        <v>128.96</v>
      </c>
      <c r="AC29" s="3">
        <v>865.38</v>
      </c>
      <c r="AD29" s="1" t="s">
        <v>96</v>
      </c>
      <c r="AE29" s="1" t="s">
        <v>150</v>
      </c>
      <c r="AF29" s="1" t="s">
        <v>39</v>
      </c>
      <c r="AG29" s="1" t="s">
        <v>151</v>
      </c>
    </row>
    <row r="30" spans="1:33" x14ac:dyDescent="0.25">
      <c r="A30" s="1" t="str">
        <f>IF(P30="site desktop","Operações","Suporte KCS")</f>
        <v>Operações</v>
      </c>
      <c r="B30" s="1" t="s">
        <v>253</v>
      </c>
      <c r="E30" s="1">
        <v>16231123</v>
      </c>
      <c r="F30" s="1" t="s">
        <v>236</v>
      </c>
      <c r="G30" s="2">
        <v>45905.550856481481</v>
      </c>
      <c r="H30" s="1" t="s">
        <v>32</v>
      </c>
      <c r="J30" s="1" t="s">
        <v>114</v>
      </c>
      <c r="K30" s="1" t="s">
        <v>142</v>
      </c>
      <c r="L30" s="1" t="s">
        <v>143</v>
      </c>
      <c r="M30" s="1" t="s">
        <v>47</v>
      </c>
      <c r="N30" s="1" t="s">
        <v>144</v>
      </c>
      <c r="O30" s="1" t="s">
        <v>145</v>
      </c>
      <c r="P30" s="1" t="s">
        <v>35</v>
      </c>
      <c r="R30" s="1">
        <v>2</v>
      </c>
      <c r="T30" s="2">
        <v>45922.583333333336</v>
      </c>
      <c r="U30" s="2">
        <v>45922.743055555555</v>
      </c>
      <c r="V30" s="1" t="s">
        <v>36</v>
      </c>
      <c r="W30" s="1" t="s">
        <v>37</v>
      </c>
      <c r="X30" s="3">
        <v>228.47</v>
      </c>
      <c r="Y30" s="3">
        <v>168.42</v>
      </c>
      <c r="AA30" s="3">
        <v>19.899999999999999</v>
      </c>
      <c r="AB30" s="3">
        <v>40.15</v>
      </c>
      <c r="AC30" s="3">
        <v>228.47</v>
      </c>
      <c r="AD30" s="1" t="s">
        <v>146</v>
      </c>
      <c r="AE30" s="1" t="s">
        <v>64</v>
      </c>
      <c r="AF30" s="1" t="s">
        <v>57</v>
      </c>
      <c r="AG30" s="1" t="s">
        <v>147</v>
      </c>
    </row>
    <row r="31" spans="1:33" x14ac:dyDescent="0.25">
      <c r="A31" s="1" t="str">
        <f>IF(P31="site desktop","Operações","Suporte KCS")</f>
        <v>Operações</v>
      </c>
      <c r="B31" s="1" t="s">
        <v>252</v>
      </c>
      <c r="E31" s="1">
        <v>16231599</v>
      </c>
      <c r="F31" s="1">
        <v>10015113954</v>
      </c>
      <c r="G31" s="2">
        <v>45905.570960648147</v>
      </c>
      <c r="H31" s="1" t="s">
        <v>105</v>
      </c>
      <c r="J31" s="1" t="s">
        <v>114</v>
      </c>
      <c r="K31" s="1" t="s">
        <v>137</v>
      </c>
      <c r="L31" s="1">
        <v>31129293.311292902</v>
      </c>
      <c r="M31" s="1" t="s">
        <v>47</v>
      </c>
      <c r="N31" s="1" t="s">
        <v>131</v>
      </c>
      <c r="O31" s="1" t="s">
        <v>132</v>
      </c>
      <c r="P31" s="1" t="s">
        <v>35</v>
      </c>
      <c r="R31" s="1">
        <v>0</v>
      </c>
      <c r="S31" s="1" t="s">
        <v>138</v>
      </c>
      <c r="T31" s="2">
        <v>45922.4375</v>
      </c>
      <c r="U31" s="2">
        <v>45922.78125</v>
      </c>
      <c r="V31" s="1" t="s">
        <v>69</v>
      </c>
      <c r="W31" s="1" t="s">
        <v>37</v>
      </c>
      <c r="X31" s="3">
        <v>422.41</v>
      </c>
      <c r="Y31" s="3">
        <v>-96.7</v>
      </c>
      <c r="AA31" s="3">
        <v>19.899999999999999</v>
      </c>
      <c r="AB31" s="3">
        <v>76.8</v>
      </c>
      <c r="AC31" s="3">
        <v>402.51</v>
      </c>
      <c r="AD31" s="1" t="s">
        <v>133</v>
      </c>
      <c r="AE31" s="1" t="s">
        <v>64</v>
      </c>
      <c r="AF31" s="1" t="s">
        <v>57</v>
      </c>
      <c r="AG31" s="1">
        <v>10143614235</v>
      </c>
    </row>
    <row r="32" spans="1:33" x14ac:dyDescent="0.25">
      <c r="A32" s="1" t="str">
        <f>IF(P32="site desktop","Operações","Suporte KCS")</f>
        <v>Operações</v>
      </c>
      <c r="B32" s="1" t="s">
        <v>253</v>
      </c>
      <c r="E32" s="1">
        <v>16232143</v>
      </c>
      <c r="F32" s="1" t="s">
        <v>235</v>
      </c>
      <c r="G32" s="2">
        <v>45905.592291666668</v>
      </c>
      <c r="H32" s="1" t="s">
        <v>32</v>
      </c>
      <c r="J32" s="1" t="s">
        <v>114</v>
      </c>
      <c r="K32" s="1" t="s">
        <v>135</v>
      </c>
      <c r="L32" s="1">
        <v>27774023.277740199</v>
      </c>
      <c r="M32" s="1" t="s">
        <v>47</v>
      </c>
      <c r="N32" s="1" t="s">
        <v>131</v>
      </c>
      <c r="O32" s="1" t="s">
        <v>132</v>
      </c>
      <c r="P32" s="1" t="s">
        <v>35</v>
      </c>
      <c r="R32" s="1">
        <v>2</v>
      </c>
      <c r="T32" s="2">
        <v>45922.4375</v>
      </c>
      <c r="U32" s="2">
        <v>45922.78125</v>
      </c>
      <c r="V32" s="1" t="s">
        <v>36</v>
      </c>
      <c r="W32" s="1" t="s">
        <v>37</v>
      </c>
      <c r="X32" s="3">
        <v>422.41</v>
      </c>
      <c r="Y32" s="3">
        <v>325.70999999999998</v>
      </c>
      <c r="AA32" s="3">
        <v>19.899999999999999</v>
      </c>
      <c r="AB32" s="3">
        <v>76.8</v>
      </c>
      <c r="AC32" s="3">
        <v>422.41</v>
      </c>
      <c r="AD32" s="1" t="s">
        <v>133</v>
      </c>
      <c r="AE32" s="1" t="s">
        <v>64</v>
      </c>
      <c r="AF32" s="1" t="s">
        <v>57</v>
      </c>
      <c r="AG32" s="1" t="s">
        <v>136</v>
      </c>
    </row>
    <row r="33" spans="1:33" x14ac:dyDescent="0.25">
      <c r="A33" s="1" t="str">
        <f>IF(P33="site desktop","Operações","Suporte KCS")</f>
        <v>Operações</v>
      </c>
      <c r="B33" s="1" t="s">
        <v>253</v>
      </c>
      <c r="E33" s="1">
        <v>16232245</v>
      </c>
      <c r="F33" s="1" t="s">
        <v>234</v>
      </c>
      <c r="G33" s="2">
        <v>45905.596342592595</v>
      </c>
      <c r="H33" s="1" t="s">
        <v>32</v>
      </c>
      <c r="J33" s="1" t="s">
        <v>114</v>
      </c>
      <c r="K33" s="1" t="s">
        <v>130</v>
      </c>
      <c r="L33" s="1">
        <v>10544755.105447499</v>
      </c>
      <c r="M33" s="1" t="s">
        <v>47</v>
      </c>
      <c r="N33" s="1" t="s">
        <v>131</v>
      </c>
      <c r="O33" s="1" t="s">
        <v>132</v>
      </c>
      <c r="P33" s="1" t="s">
        <v>35</v>
      </c>
      <c r="R33" s="1">
        <v>2</v>
      </c>
      <c r="T33" s="2">
        <v>45922.4375</v>
      </c>
      <c r="U33" s="2">
        <v>45922.78125</v>
      </c>
      <c r="V33" s="1" t="s">
        <v>36</v>
      </c>
      <c r="W33" s="1" t="s">
        <v>37</v>
      </c>
      <c r="X33" s="3">
        <v>422.41</v>
      </c>
      <c r="Y33" s="3">
        <v>325.70999999999998</v>
      </c>
      <c r="AA33" s="3">
        <v>19.899999999999999</v>
      </c>
      <c r="AB33" s="3">
        <v>76.8</v>
      </c>
      <c r="AC33" s="3">
        <v>422.41</v>
      </c>
      <c r="AD33" s="1" t="s">
        <v>133</v>
      </c>
      <c r="AE33" s="1" t="s">
        <v>64</v>
      </c>
      <c r="AF33" s="1" t="s">
        <v>57</v>
      </c>
      <c r="AG33" s="1" t="s">
        <v>134</v>
      </c>
    </row>
    <row r="34" spans="1:33" x14ac:dyDescent="0.25">
      <c r="A34" s="1" t="str">
        <f>IF(P34="site desktop","Operações","Suporte KCS")</f>
        <v>Operações</v>
      </c>
      <c r="B34" s="1" t="s">
        <v>252</v>
      </c>
      <c r="E34" s="1">
        <v>16232378</v>
      </c>
      <c r="F34" s="1" t="s">
        <v>233</v>
      </c>
      <c r="G34" s="2">
        <v>45905.601226851853</v>
      </c>
      <c r="H34" s="1" t="s">
        <v>32</v>
      </c>
      <c r="J34" s="1" t="s">
        <v>126</v>
      </c>
      <c r="K34" s="1" t="s">
        <v>127</v>
      </c>
      <c r="L34" s="1">
        <v>20090264392.200901</v>
      </c>
      <c r="M34" s="1" t="s">
        <v>47</v>
      </c>
      <c r="N34" s="1" t="s">
        <v>62</v>
      </c>
      <c r="O34" s="1" t="s">
        <v>86</v>
      </c>
      <c r="P34" s="1" t="s">
        <v>35</v>
      </c>
      <c r="R34" s="1">
        <v>2</v>
      </c>
      <c r="T34" s="2">
        <v>45918.916666666664</v>
      </c>
      <c r="U34" s="2">
        <v>45919.31527777778</v>
      </c>
      <c r="V34" s="1" t="s">
        <v>36</v>
      </c>
      <c r="W34" s="1" t="s">
        <v>37</v>
      </c>
      <c r="X34" s="3">
        <v>539.86</v>
      </c>
      <c r="Y34" s="3">
        <v>419.25</v>
      </c>
      <c r="AA34" s="3">
        <v>21.9</v>
      </c>
      <c r="AB34" s="3">
        <v>98.71</v>
      </c>
      <c r="AC34" s="3">
        <v>539.86</v>
      </c>
      <c r="AD34" s="1" t="s">
        <v>128</v>
      </c>
      <c r="AE34" s="1" t="s">
        <v>87</v>
      </c>
      <c r="AF34" s="1" t="s">
        <v>57</v>
      </c>
      <c r="AG34" s="1" t="s">
        <v>129</v>
      </c>
    </row>
    <row r="35" spans="1:33" x14ac:dyDescent="0.25">
      <c r="A35" s="1" t="str">
        <f>IF(P35="site desktop","Operações","Suporte KCS")</f>
        <v>Operações</v>
      </c>
      <c r="B35" s="1" t="s">
        <v>252</v>
      </c>
      <c r="E35" s="1">
        <v>16233118</v>
      </c>
      <c r="F35" s="1" t="s">
        <v>232</v>
      </c>
      <c r="G35" s="2">
        <v>45905.626111111109</v>
      </c>
      <c r="H35" s="1" t="s">
        <v>32</v>
      </c>
      <c r="J35" s="1" t="s">
        <v>66</v>
      </c>
      <c r="K35" s="1" t="s">
        <v>122</v>
      </c>
      <c r="L35" s="1">
        <v>5898689.5898689004</v>
      </c>
      <c r="M35" s="1" t="s">
        <v>33</v>
      </c>
      <c r="N35" s="1" t="s">
        <v>123</v>
      </c>
      <c r="O35" s="1" t="s">
        <v>124</v>
      </c>
      <c r="P35" s="1" t="s">
        <v>35</v>
      </c>
      <c r="R35" s="1">
        <v>2</v>
      </c>
      <c r="T35" s="2">
        <v>45905.84375</v>
      </c>
      <c r="U35" s="2">
        <v>45905.947916666664</v>
      </c>
      <c r="V35" s="1" t="s">
        <v>36</v>
      </c>
      <c r="W35" s="1" t="s">
        <v>37</v>
      </c>
      <c r="X35" s="3">
        <v>189.35</v>
      </c>
      <c r="Y35" s="3">
        <v>151.19999999999999</v>
      </c>
      <c r="AA35" s="3">
        <v>10.95</v>
      </c>
      <c r="AB35" s="3">
        <v>27.2</v>
      </c>
      <c r="AC35" s="3">
        <v>189.35</v>
      </c>
      <c r="AD35" s="1" t="s">
        <v>96</v>
      </c>
      <c r="AE35" s="1" t="s">
        <v>125</v>
      </c>
      <c r="AF35" s="1" t="s">
        <v>57</v>
      </c>
      <c r="AG35" s="1">
        <v>10143613073</v>
      </c>
    </row>
    <row r="36" spans="1:33" x14ac:dyDescent="0.25">
      <c r="A36" s="1" t="str">
        <f>IF(P36="site desktop","Operações","Suporte KCS")</f>
        <v>Operações</v>
      </c>
      <c r="B36" s="1" t="s">
        <v>253</v>
      </c>
      <c r="E36" s="1">
        <v>16234635</v>
      </c>
      <c r="F36" s="1">
        <v>10043204777</v>
      </c>
      <c r="G36" s="2">
        <v>45905.671967592592</v>
      </c>
      <c r="H36" s="1" t="s">
        <v>32</v>
      </c>
      <c r="J36" s="1" t="s">
        <v>114</v>
      </c>
      <c r="K36" s="1" t="s">
        <v>115</v>
      </c>
      <c r="L36" s="1">
        <v>66858790</v>
      </c>
      <c r="M36" s="1" t="s">
        <v>47</v>
      </c>
      <c r="N36" s="1" t="s">
        <v>74</v>
      </c>
      <c r="O36" s="1" t="s">
        <v>116</v>
      </c>
      <c r="P36" s="1" t="s">
        <v>35</v>
      </c>
      <c r="R36" s="1">
        <v>1</v>
      </c>
      <c r="T36" s="2">
        <v>45906.458333333336</v>
      </c>
      <c r="U36" s="2">
        <v>45906.5625</v>
      </c>
      <c r="V36" s="1" t="s">
        <v>36</v>
      </c>
      <c r="W36" s="1" t="s">
        <v>37</v>
      </c>
      <c r="X36" s="3">
        <v>85.02</v>
      </c>
      <c r="Y36" s="3">
        <v>60.52</v>
      </c>
      <c r="AA36" s="3">
        <v>9.9499999999999993</v>
      </c>
      <c r="AB36" s="3">
        <v>14.55</v>
      </c>
      <c r="AC36" s="3">
        <v>85.02</v>
      </c>
      <c r="AD36" s="1" t="s">
        <v>117</v>
      </c>
      <c r="AE36" s="1" t="s">
        <v>118</v>
      </c>
      <c r="AF36" s="1" t="s">
        <v>39</v>
      </c>
      <c r="AG36" s="1">
        <v>10143614017</v>
      </c>
    </row>
    <row r="37" spans="1:33" x14ac:dyDescent="0.25">
      <c r="A37" s="1" t="str">
        <f>IF(P37="site desktop","Operações","Suporte KCS")</f>
        <v>Operações</v>
      </c>
      <c r="B37" s="1" t="s">
        <v>253</v>
      </c>
      <c r="E37" s="1">
        <v>16234673</v>
      </c>
      <c r="F37" s="1" t="s">
        <v>109</v>
      </c>
      <c r="G37" s="2">
        <v>45905.673657407409</v>
      </c>
      <c r="H37" s="1" t="s">
        <v>32</v>
      </c>
      <c r="J37" s="1" t="s">
        <v>81</v>
      </c>
      <c r="K37" s="1" t="s">
        <v>110</v>
      </c>
      <c r="L37" s="1">
        <v>668999748</v>
      </c>
      <c r="M37" s="1" t="s">
        <v>47</v>
      </c>
      <c r="N37" s="1" t="s">
        <v>62</v>
      </c>
      <c r="O37" s="1" t="s">
        <v>111</v>
      </c>
      <c r="P37" s="1" t="s">
        <v>35</v>
      </c>
      <c r="R37" s="1">
        <v>1</v>
      </c>
      <c r="T37" s="2">
        <v>45908.583333333336</v>
      </c>
      <c r="U37" s="2">
        <v>45908.954861111109</v>
      </c>
      <c r="V37" s="1" t="s">
        <v>36</v>
      </c>
      <c r="W37" s="1" t="s">
        <v>37</v>
      </c>
      <c r="X37" s="3">
        <v>400.04</v>
      </c>
      <c r="Y37" s="3">
        <v>315.99</v>
      </c>
      <c r="AA37" s="3">
        <v>9.9499999999999993</v>
      </c>
      <c r="AB37" s="3">
        <v>74.099999999999994</v>
      </c>
      <c r="AC37" s="3">
        <v>400.04</v>
      </c>
      <c r="AD37" s="1" t="s">
        <v>112</v>
      </c>
      <c r="AE37" s="1" t="s">
        <v>113</v>
      </c>
      <c r="AF37" s="1" t="s">
        <v>39</v>
      </c>
      <c r="AG37" s="1">
        <v>10143614064</v>
      </c>
    </row>
    <row r="38" spans="1:33" x14ac:dyDescent="0.25">
      <c r="A38" s="1" t="str">
        <f>IF(P38="site desktop","Operações","Suporte KCS")</f>
        <v>Operações</v>
      </c>
      <c r="B38" s="1" t="s">
        <v>252</v>
      </c>
      <c r="E38" s="1">
        <v>16234874</v>
      </c>
      <c r="F38" s="1" t="s">
        <v>231</v>
      </c>
      <c r="G38" s="2">
        <v>45905.680335648147</v>
      </c>
      <c r="H38" s="1" t="s">
        <v>32</v>
      </c>
      <c r="J38" s="1" t="s">
        <v>61</v>
      </c>
      <c r="K38" s="1" t="s">
        <v>106</v>
      </c>
      <c r="L38" s="1">
        <v>1037232.1037232</v>
      </c>
      <c r="M38" s="1" t="s">
        <v>33</v>
      </c>
      <c r="N38" s="1" t="s">
        <v>107</v>
      </c>
      <c r="O38" s="1" t="s">
        <v>108</v>
      </c>
      <c r="P38" s="1" t="s">
        <v>35</v>
      </c>
      <c r="R38" s="1">
        <v>2</v>
      </c>
      <c r="T38" s="2">
        <v>45907.216666666667</v>
      </c>
      <c r="U38" s="2">
        <v>45907.736111111109</v>
      </c>
      <c r="V38" s="1" t="s">
        <v>36</v>
      </c>
      <c r="W38" s="1" t="s">
        <v>37</v>
      </c>
      <c r="X38" s="3">
        <v>460.18</v>
      </c>
      <c r="Y38" s="3">
        <v>380.71</v>
      </c>
      <c r="AA38" s="3">
        <v>10.95</v>
      </c>
      <c r="AB38" s="3">
        <v>68.52</v>
      </c>
      <c r="AC38" s="3">
        <v>460.18</v>
      </c>
      <c r="AD38" s="1" t="s">
        <v>99</v>
      </c>
      <c r="AE38" s="1" t="s">
        <v>64</v>
      </c>
      <c r="AF38" s="1" t="s">
        <v>57</v>
      </c>
      <c r="AG38" s="1">
        <v>10143614149</v>
      </c>
    </row>
    <row r="39" spans="1:33" x14ac:dyDescent="0.25">
      <c r="A39" s="1" t="str">
        <f>IF(P39="site desktop","Operações","Suporte KCS")</f>
        <v>Operações</v>
      </c>
      <c r="B39" s="1" t="s">
        <v>252</v>
      </c>
      <c r="E39" s="1">
        <v>16235255</v>
      </c>
      <c r="F39" s="1" t="s">
        <v>230</v>
      </c>
      <c r="G39" s="2">
        <v>45905.692662037036</v>
      </c>
      <c r="H39" s="1" t="s">
        <v>32</v>
      </c>
      <c r="J39" s="1" t="s">
        <v>66</v>
      </c>
      <c r="K39" s="1" t="s">
        <v>102</v>
      </c>
      <c r="L39" s="1">
        <v>4091670184.4091601</v>
      </c>
      <c r="M39" s="1" t="s">
        <v>33</v>
      </c>
      <c r="N39" s="1" t="s">
        <v>74</v>
      </c>
      <c r="O39" s="1" t="s">
        <v>75</v>
      </c>
      <c r="P39" s="1" t="s">
        <v>35</v>
      </c>
      <c r="Q39" s="1" t="s">
        <v>69</v>
      </c>
      <c r="R39" s="1">
        <v>2</v>
      </c>
      <c r="T39" s="2">
        <v>45908.291666666664</v>
      </c>
      <c r="U39" s="2">
        <v>45908.364583333336</v>
      </c>
      <c r="V39" s="1" t="s">
        <v>36</v>
      </c>
      <c r="W39" s="1" t="s">
        <v>37</v>
      </c>
      <c r="X39" s="3">
        <v>134.77000000000001</v>
      </c>
      <c r="Y39" s="3">
        <v>97.35</v>
      </c>
      <c r="AA39" s="3">
        <v>19.899999999999999</v>
      </c>
      <c r="AB39" s="3">
        <v>17.52</v>
      </c>
      <c r="AC39" s="3">
        <v>134.77000000000001</v>
      </c>
      <c r="AD39" s="1" t="s">
        <v>77</v>
      </c>
      <c r="AE39" s="1" t="s">
        <v>103</v>
      </c>
      <c r="AF39" s="1" t="s">
        <v>39</v>
      </c>
      <c r="AG39" s="1" t="s">
        <v>104</v>
      </c>
    </row>
    <row r="40" spans="1:33" x14ac:dyDescent="0.25">
      <c r="A40" s="1" t="str">
        <f>IF(P40="site desktop","Operações","Suporte KCS")</f>
        <v>Operações</v>
      </c>
      <c r="B40" s="1" t="s">
        <v>252</v>
      </c>
      <c r="E40" s="1">
        <v>16235832</v>
      </c>
      <c r="F40" s="1" t="s">
        <v>100</v>
      </c>
      <c r="G40" s="2">
        <v>45905.713206018518</v>
      </c>
      <c r="H40" s="1" t="s">
        <v>32</v>
      </c>
      <c r="J40" s="1" t="s">
        <v>61</v>
      </c>
      <c r="K40" s="1" t="s">
        <v>98</v>
      </c>
      <c r="L40" s="1">
        <v>1037232</v>
      </c>
      <c r="M40" s="1" t="s">
        <v>33</v>
      </c>
      <c r="N40" s="1" t="s">
        <v>62</v>
      </c>
      <c r="O40" s="1" t="s">
        <v>63</v>
      </c>
      <c r="P40" s="1" t="s">
        <v>35</v>
      </c>
      <c r="R40" s="1">
        <v>1</v>
      </c>
      <c r="T40" s="2">
        <v>45918.767361111109</v>
      </c>
      <c r="U40" s="2">
        <v>45919.364583333336</v>
      </c>
      <c r="V40" s="1" t="s">
        <v>36</v>
      </c>
      <c r="W40" s="1" t="s">
        <v>37</v>
      </c>
      <c r="X40" s="3">
        <v>435.1</v>
      </c>
      <c r="Y40" s="3">
        <v>359.45</v>
      </c>
      <c r="AA40" s="3">
        <v>10.95</v>
      </c>
      <c r="AB40" s="3">
        <v>64.7</v>
      </c>
      <c r="AC40" s="3">
        <v>435.1</v>
      </c>
      <c r="AD40" s="1" t="s">
        <v>101</v>
      </c>
      <c r="AE40" s="1" t="s">
        <v>64</v>
      </c>
      <c r="AF40" s="1" t="s">
        <v>39</v>
      </c>
      <c r="AG40" s="1">
        <v>10143614772</v>
      </c>
    </row>
    <row r="41" spans="1:33" x14ac:dyDescent="0.25">
      <c r="A41" s="1" t="str">
        <f>IF(P41="site desktop","Operações","Suporte KCS")</f>
        <v>Operações</v>
      </c>
      <c r="B41" s="1" t="s">
        <v>252</v>
      </c>
      <c r="E41" s="1">
        <v>16235895</v>
      </c>
      <c r="F41" s="1" t="s">
        <v>97</v>
      </c>
      <c r="G41" s="2">
        <v>45905.715555555558</v>
      </c>
      <c r="H41" s="1" t="s">
        <v>32</v>
      </c>
      <c r="J41" s="1" t="s">
        <v>61</v>
      </c>
      <c r="K41" s="1" t="s">
        <v>98</v>
      </c>
      <c r="L41" s="1">
        <v>1037232</v>
      </c>
      <c r="M41" s="1" t="s">
        <v>33</v>
      </c>
      <c r="N41" s="1" t="s">
        <v>62</v>
      </c>
      <c r="O41" s="1" t="s">
        <v>63</v>
      </c>
      <c r="P41" s="1" t="s">
        <v>35</v>
      </c>
      <c r="R41" s="1">
        <v>1</v>
      </c>
      <c r="T41" s="2">
        <v>45919.520833333336</v>
      </c>
      <c r="U41" s="2">
        <v>45920.013888888891</v>
      </c>
      <c r="V41" s="1" t="s">
        <v>36</v>
      </c>
      <c r="W41" s="1" t="s">
        <v>37</v>
      </c>
      <c r="X41" s="3">
        <v>166.69</v>
      </c>
      <c r="Y41" s="3">
        <v>131.99</v>
      </c>
      <c r="AA41" s="3">
        <v>10.95</v>
      </c>
      <c r="AB41" s="3">
        <v>23.75</v>
      </c>
      <c r="AC41" s="3">
        <v>166.69</v>
      </c>
      <c r="AD41" s="1" t="s">
        <v>64</v>
      </c>
      <c r="AE41" s="1" t="s">
        <v>99</v>
      </c>
      <c r="AF41" s="1" t="s">
        <v>39</v>
      </c>
      <c r="AG41" s="1">
        <v>10143614822</v>
      </c>
    </row>
    <row r="42" spans="1:33" x14ac:dyDescent="0.25">
      <c r="A42" s="1" t="str">
        <f>IF(P42="site desktop","Operações","Suporte KCS")</f>
        <v>Operações</v>
      </c>
      <c r="B42" s="1" t="s">
        <v>253</v>
      </c>
      <c r="E42" s="1">
        <v>16235913</v>
      </c>
      <c r="F42" s="1">
        <v>468124168</v>
      </c>
      <c r="G42" s="2">
        <v>45905.716423611113</v>
      </c>
      <c r="H42" s="1" t="s">
        <v>32</v>
      </c>
      <c r="J42" s="1" t="s">
        <v>81</v>
      </c>
      <c r="K42" s="1" t="s">
        <v>95</v>
      </c>
      <c r="L42" s="1">
        <v>6062787533</v>
      </c>
      <c r="M42" s="1" t="s">
        <v>33</v>
      </c>
      <c r="N42" s="1" t="s">
        <v>74</v>
      </c>
      <c r="O42" s="1" t="s">
        <v>75</v>
      </c>
      <c r="P42" s="1" t="s">
        <v>35</v>
      </c>
      <c r="R42" s="1">
        <v>1</v>
      </c>
      <c r="T42" s="2">
        <v>45908.291666666664</v>
      </c>
      <c r="U42" s="2">
        <v>45908.5</v>
      </c>
      <c r="V42" s="1" t="s">
        <v>36</v>
      </c>
      <c r="W42" s="1" t="s">
        <v>37</v>
      </c>
      <c r="X42" s="3">
        <v>236.39</v>
      </c>
      <c r="Y42" s="3">
        <v>191.9</v>
      </c>
      <c r="AA42" s="3">
        <v>9.9499999999999993</v>
      </c>
      <c r="AB42" s="3">
        <v>34.54</v>
      </c>
      <c r="AC42" s="3">
        <v>236.39</v>
      </c>
      <c r="AD42" s="1" t="s">
        <v>77</v>
      </c>
      <c r="AE42" s="1" t="s">
        <v>96</v>
      </c>
      <c r="AF42" s="1" t="s">
        <v>39</v>
      </c>
      <c r="AG42" s="1">
        <v>10143614843</v>
      </c>
    </row>
    <row r="43" spans="1:33" x14ac:dyDescent="0.25">
      <c r="A43" s="1" t="str">
        <f>IF(P43="site desktop","Operações","Suporte KCS")</f>
        <v>Operações</v>
      </c>
      <c r="B43" s="1" t="s">
        <v>253</v>
      </c>
      <c r="E43" s="1">
        <v>16236000</v>
      </c>
      <c r="F43" s="1" t="s">
        <v>91</v>
      </c>
      <c r="G43" s="2">
        <v>45905.720127314817</v>
      </c>
      <c r="H43" s="1" t="s">
        <v>32</v>
      </c>
      <c r="J43" s="1" t="s">
        <v>81</v>
      </c>
      <c r="K43" s="1" t="s">
        <v>92</v>
      </c>
      <c r="L43" s="1">
        <v>4670795</v>
      </c>
      <c r="M43" s="1" t="s">
        <v>33</v>
      </c>
      <c r="N43" s="1" t="s">
        <v>48</v>
      </c>
      <c r="O43" s="1" t="s">
        <v>49</v>
      </c>
      <c r="P43" s="1" t="s">
        <v>35</v>
      </c>
      <c r="R43" s="1">
        <v>1</v>
      </c>
      <c r="T43" s="2">
        <v>45906.3125</v>
      </c>
      <c r="U43" s="2">
        <v>45906.53125</v>
      </c>
      <c r="V43" s="1" t="s">
        <v>36</v>
      </c>
      <c r="W43" s="1" t="s">
        <v>37</v>
      </c>
      <c r="X43" s="3">
        <v>132.55000000000001</v>
      </c>
      <c r="Y43" s="3">
        <v>103.9</v>
      </c>
      <c r="AA43" s="3">
        <v>9.9499999999999993</v>
      </c>
      <c r="AB43" s="3">
        <v>18.7</v>
      </c>
      <c r="AC43" s="3">
        <v>132.55000000000001</v>
      </c>
      <c r="AD43" s="1" t="s">
        <v>51</v>
      </c>
      <c r="AE43" s="1" t="s">
        <v>93</v>
      </c>
      <c r="AF43" s="1" t="s">
        <v>39</v>
      </c>
      <c r="AG43" s="1">
        <v>10143614888</v>
      </c>
    </row>
    <row r="44" spans="1:33" x14ac:dyDescent="0.25">
      <c r="A44" s="1" t="str">
        <f>IF(P44="site desktop","Operações","Suporte KCS")</f>
        <v>Operações</v>
      </c>
      <c r="B44" s="1" t="s">
        <v>253</v>
      </c>
      <c r="E44" s="1">
        <v>16236202</v>
      </c>
      <c r="F44" s="1" t="s">
        <v>89</v>
      </c>
      <c r="G44" s="2">
        <v>45905.72824074074</v>
      </c>
      <c r="H44" s="1" t="s">
        <v>32</v>
      </c>
      <c r="J44" s="1" t="s">
        <v>81</v>
      </c>
      <c r="K44" s="1" t="s">
        <v>46</v>
      </c>
      <c r="L44" s="1">
        <v>8685015</v>
      </c>
      <c r="M44" s="1" t="s">
        <v>33</v>
      </c>
      <c r="N44" s="1" t="s">
        <v>90</v>
      </c>
      <c r="O44" s="1" t="s">
        <v>86</v>
      </c>
      <c r="P44" s="1" t="s">
        <v>35</v>
      </c>
      <c r="R44" s="1">
        <v>1</v>
      </c>
      <c r="T44" s="2">
        <v>45906.760416666664</v>
      </c>
      <c r="U44" s="2">
        <v>45907.231249999997</v>
      </c>
      <c r="V44" s="1" t="s">
        <v>36</v>
      </c>
      <c r="W44" s="1" t="s">
        <v>37</v>
      </c>
      <c r="X44" s="3">
        <v>307.48</v>
      </c>
      <c r="Y44" s="3">
        <v>251.3</v>
      </c>
      <c r="AA44" s="3">
        <v>10.95</v>
      </c>
      <c r="AB44" s="3">
        <v>45.23</v>
      </c>
      <c r="AC44" s="3">
        <v>307.48</v>
      </c>
      <c r="AD44" s="1" t="s">
        <v>87</v>
      </c>
      <c r="AE44" s="1" t="s">
        <v>50</v>
      </c>
      <c r="AF44" s="1" t="s">
        <v>39</v>
      </c>
      <c r="AG44" s="1">
        <v>10143615563</v>
      </c>
    </row>
    <row r="45" spans="1:33" x14ac:dyDescent="0.25">
      <c r="A45" s="1" t="str">
        <f>IF(P45="site desktop","Operações","Suporte KCS")</f>
        <v>Operações</v>
      </c>
      <c r="B45" s="1" t="s">
        <v>253</v>
      </c>
      <c r="E45" s="1">
        <v>16237455</v>
      </c>
      <c r="F45" s="1" t="s">
        <v>80</v>
      </c>
      <c r="G45" s="2">
        <v>45905.781759259262</v>
      </c>
      <c r="H45" s="1" t="s">
        <v>32</v>
      </c>
      <c r="J45" s="1" t="s">
        <v>81</v>
      </c>
      <c r="K45" s="1" t="s">
        <v>82</v>
      </c>
      <c r="L45" s="1">
        <v>1449869509</v>
      </c>
      <c r="M45" s="1" t="s">
        <v>47</v>
      </c>
      <c r="N45" s="1" t="s">
        <v>74</v>
      </c>
      <c r="O45" s="1" t="s">
        <v>83</v>
      </c>
      <c r="P45" s="1" t="s">
        <v>35</v>
      </c>
      <c r="R45" s="1">
        <v>1</v>
      </c>
      <c r="T45" s="2">
        <v>45910.916666666664</v>
      </c>
      <c r="U45" s="2">
        <v>45911.25</v>
      </c>
      <c r="V45" s="1" t="s">
        <v>36</v>
      </c>
      <c r="W45" s="1" t="s">
        <v>37</v>
      </c>
      <c r="X45" s="3">
        <v>467.56</v>
      </c>
      <c r="Y45" s="3">
        <v>369.9</v>
      </c>
      <c r="AA45" s="3">
        <v>10.95</v>
      </c>
      <c r="AB45" s="3">
        <v>86.71</v>
      </c>
      <c r="AC45" s="3">
        <v>467.56</v>
      </c>
      <c r="AD45" s="1" t="s">
        <v>84</v>
      </c>
      <c r="AE45" s="1" t="s">
        <v>85</v>
      </c>
      <c r="AF45" s="1" t="s">
        <v>39</v>
      </c>
      <c r="AG45" s="1">
        <v>10143615839</v>
      </c>
    </row>
    <row r="46" spans="1:33" x14ac:dyDescent="0.25">
      <c r="A46" s="1" t="str">
        <f>IF(P46="site desktop","Operações","Suporte KCS")</f>
        <v>Operações</v>
      </c>
      <c r="B46" s="1" t="s">
        <v>252</v>
      </c>
      <c r="E46" s="1">
        <v>16237550</v>
      </c>
      <c r="F46" s="1" t="s">
        <v>229</v>
      </c>
      <c r="G46" s="2">
        <v>45905.786747685182</v>
      </c>
      <c r="H46" s="1" t="s">
        <v>32</v>
      </c>
      <c r="J46" s="1" t="s">
        <v>66</v>
      </c>
      <c r="K46" s="1" t="s">
        <v>73</v>
      </c>
      <c r="L46" s="1">
        <v>657016111.65701604</v>
      </c>
      <c r="M46" s="1" t="s">
        <v>33</v>
      </c>
      <c r="N46" s="1" t="s">
        <v>74</v>
      </c>
      <c r="O46" s="1" t="s">
        <v>75</v>
      </c>
      <c r="P46" s="1" t="s">
        <v>35</v>
      </c>
      <c r="Q46" s="1" t="s">
        <v>69</v>
      </c>
      <c r="R46" s="1">
        <v>2</v>
      </c>
      <c r="T46" s="2">
        <v>45908.291666666664</v>
      </c>
      <c r="U46" s="2">
        <v>45908.395833333336</v>
      </c>
      <c r="V46" s="1" t="s">
        <v>36</v>
      </c>
      <c r="W46" s="1" t="s">
        <v>37</v>
      </c>
      <c r="X46" s="3">
        <v>140.96</v>
      </c>
      <c r="Y46" s="3">
        <v>102.6</v>
      </c>
      <c r="AA46" s="3">
        <v>19.899999999999999</v>
      </c>
      <c r="AB46" s="3">
        <v>18.46</v>
      </c>
      <c r="AC46" s="3">
        <v>140.96</v>
      </c>
      <c r="AD46" s="1" t="s">
        <v>76</v>
      </c>
      <c r="AE46" s="1" t="s">
        <v>77</v>
      </c>
      <c r="AF46" s="1" t="s">
        <v>39</v>
      </c>
      <c r="AG46" s="1" t="s">
        <v>78</v>
      </c>
    </row>
    <row r="47" spans="1:33" x14ac:dyDescent="0.25">
      <c r="A47" s="1" t="str">
        <f>IF(P47="site desktop","Operações","Suporte KCS")</f>
        <v>Operações</v>
      </c>
      <c r="B47" s="1" t="s">
        <v>252</v>
      </c>
      <c r="E47" s="1">
        <v>16237631</v>
      </c>
      <c r="F47" s="1" t="s">
        <v>228</v>
      </c>
      <c r="G47" s="2">
        <v>45905.791481481479</v>
      </c>
      <c r="H47" s="1" t="s">
        <v>32</v>
      </c>
      <c r="J47" s="1" t="s">
        <v>66</v>
      </c>
      <c r="K47" s="1" t="s">
        <v>67</v>
      </c>
      <c r="L47" s="1">
        <v>44742158.447421499</v>
      </c>
      <c r="M47" s="1" t="s">
        <v>33</v>
      </c>
      <c r="N47" s="1" t="s">
        <v>53</v>
      </c>
      <c r="O47" s="1" t="s">
        <v>68</v>
      </c>
      <c r="P47" s="1" t="s">
        <v>35</v>
      </c>
      <c r="Q47" s="1" t="s">
        <v>69</v>
      </c>
      <c r="R47" s="1">
        <v>2</v>
      </c>
      <c r="T47" s="2">
        <v>45916.708333333336</v>
      </c>
      <c r="U47" s="2">
        <v>45916.902777777781</v>
      </c>
      <c r="V47" s="1" t="s">
        <v>36</v>
      </c>
      <c r="W47" s="1" t="s">
        <v>37</v>
      </c>
      <c r="X47" s="3">
        <v>406.53</v>
      </c>
      <c r="Y47" s="3">
        <v>327.66000000000003</v>
      </c>
      <c r="AA47" s="3">
        <v>19.899999999999999</v>
      </c>
      <c r="AB47" s="3">
        <v>58.97</v>
      </c>
      <c r="AC47" s="3">
        <v>406.53</v>
      </c>
      <c r="AD47" s="1" t="s">
        <v>70</v>
      </c>
      <c r="AE47" s="1" t="s">
        <v>71</v>
      </c>
      <c r="AF47" s="1" t="s">
        <v>57</v>
      </c>
      <c r="AG47" s="1" t="s">
        <v>72</v>
      </c>
    </row>
    <row r="48" spans="1:33" x14ac:dyDescent="0.25">
      <c r="A48" s="1" t="str">
        <f>IF(P48="site desktop","Operações","Suporte KCS")</f>
        <v>Operações</v>
      </c>
      <c r="B48" s="1" t="s">
        <v>253</v>
      </c>
      <c r="E48" s="1">
        <v>16241025</v>
      </c>
      <c r="F48" s="1" t="s">
        <v>227</v>
      </c>
      <c r="G48" s="2">
        <v>45906.357858796298</v>
      </c>
      <c r="H48" s="1" t="s">
        <v>32</v>
      </c>
      <c r="J48" s="1" t="s">
        <v>45</v>
      </c>
      <c r="K48" s="1" t="s">
        <v>52</v>
      </c>
      <c r="L48" s="1">
        <v>5968320.5968319997</v>
      </c>
      <c r="M48" s="1" t="s">
        <v>47</v>
      </c>
      <c r="N48" s="1" t="s">
        <v>53</v>
      </c>
      <c r="O48" s="1" t="s">
        <v>54</v>
      </c>
      <c r="P48" s="1" t="s">
        <v>35</v>
      </c>
      <c r="R48" s="1">
        <v>2</v>
      </c>
      <c r="T48" s="2">
        <v>45908.291666666664</v>
      </c>
      <c r="U48" s="2">
        <v>45908.590277777781</v>
      </c>
      <c r="V48" s="1" t="s">
        <v>36</v>
      </c>
      <c r="W48" s="1" t="s">
        <v>37</v>
      </c>
      <c r="X48" s="3">
        <v>421.92</v>
      </c>
      <c r="Y48" s="3">
        <v>325.31</v>
      </c>
      <c r="AA48" s="3">
        <v>19.899999999999999</v>
      </c>
      <c r="AB48" s="3">
        <v>76.709999999999994</v>
      </c>
      <c r="AC48" s="3">
        <v>421.92</v>
      </c>
      <c r="AD48" s="1" t="s">
        <v>55</v>
      </c>
      <c r="AE48" s="1" t="s">
        <v>56</v>
      </c>
      <c r="AF48" s="1" t="s">
        <v>57</v>
      </c>
      <c r="AG48" s="1" t="s">
        <v>58</v>
      </c>
    </row>
    <row r="49" spans="1:33" x14ac:dyDescent="0.25">
      <c r="A49" s="1" t="str">
        <f>IF(P49="site desktop","Operações","Suporte KCS")</f>
        <v>Operações</v>
      </c>
      <c r="B49" s="1" t="s">
        <v>253</v>
      </c>
      <c r="E49" s="1">
        <v>16241103</v>
      </c>
      <c r="F49" s="1" t="s">
        <v>44</v>
      </c>
      <c r="G49" s="2">
        <v>45906.366793981484</v>
      </c>
      <c r="H49" s="1" t="s">
        <v>32</v>
      </c>
      <c r="J49" s="1" t="s">
        <v>45</v>
      </c>
      <c r="K49" s="1" t="s">
        <v>46</v>
      </c>
      <c r="L49" s="1">
        <v>8685015</v>
      </c>
      <c r="M49" s="1" t="s">
        <v>47</v>
      </c>
      <c r="N49" s="1" t="s">
        <v>48</v>
      </c>
      <c r="O49" s="1" t="s">
        <v>49</v>
      </c>
      <c r="P49" s="1" t="s">
        <v>35</v>
      </c>
      <c r="R49" s="1">
        <v>1</v>
      </c>
      <c r="T49" s="2">
        <v>45908.354166666664</v>
      </c>
      <c r="U49" s="2">
        <v>45908.472222222219</v>
      </c>
      <c r="V49" s="1" t="s">
        <v>36</v>
      </c>
      <c r="W49" s="1" t="s">
        <v>37</v>
      </c>
      <c r="X49" s="3">
        <v>78.22</v>
      </c>
      <c r="Y49" s="3">
        <v>55</v>
      </c>
      <c r="AA49" s="3">
        <v>9.9499999999999993</v>
      </c>
      <c r="AB49" s="3">
        <v>13.27</v>
      </c>
      <c r="AC49" s="3">
        <v>78.22</v>
      </c>
      <c r="AD49" s="1" t="s">
        <v>50</v>
      </c>
      <c r="AE49" s="1" t="s">
        <v>51</v>
      </c>
      <c r="AF49" s="1" t="s">
        <v>39</v>
      </c>
      <c r="AG49" s="1">
        <v>10143618947</v>
      </c>
    </row>
    <row r="50" spans="1:33" x14ac:dyDescent="0.25">
      <c r="A50" s="1" t="str">
        <f>IF(P50="site desktop","Operações","Suporte KCS")</f>
        <v>Operações</v>
      </c>
      <c r="B50" s="1" t="s">
        <v>252</v>
      </c>
      <c r="E50" s="1">
        <v>16246134</v>
      </c>
      <c r="F50" s="1" t="s">
        <v>40</v>
      </c>
      <c r="G50" s="2">
        <v>45906.828831018516</v>
      </c>
      <c r="H50" s="1" t="s">
        <v>32</v>
      </c>
      <c r="J50" s="1" t="s">
        <v>41</v>
      </c>
      <c r="K50" s="1" t="s">
        <v>42</v>
      </c>
      <c r="L50" s="1">
        <v>208306803</v>
      </c>
      <c r="M50" s="1" t="s">
        <v>33</v>
      </c>
      <c r="N50" s="1" t="s">
        <v>34</v>
      </c>
      <c r="O50" s="1">
        <v>1001</v>
      </c>
      <c r="P50" s="1" t="s">
        <v>35</v>
      </c>
      <c r="R50" s="1">
        <v>1</v>
      </c>
      <c r="T50" s="2">
        <v>45906.939583333333</v>
      </c>
      <c r="U50" s="2">
        <v>45907.085416666669</v>
      </c>
      <c r="V50" s="1" t="s">
        <v>36</v>
      </c>
      <c r="W50" s="1" t="s">
        <v>37</v>
      </c>
      <c r="X50" s="3">
        <v>109.18</v>
      </c>
      <c r="Y50" s="3">
        <v>83.25</v>
      </c>
      <c r="AA50" s="3">
        <v>10.95</v>
      </c>
      <c r="AB50" s="3">
        <v>14.98</v>
      </c>
      <c r="AC50" s="3">
        <v>109.18</v>
      </c>
      <c r="AD50" s="1" t="s">
        <v>38</v>
      </c>
      <c r="AE50" s="1" t="s">
        <v>43</v>
      </c>
      <c r="AF50" s="1" t="s">
        <v>39</v>
      </c>
      <c r="AG50" s="1">
        <v>10143622745</v>
      </c>
    </row>
    <row r="51" spans="1:33" x14ac:dyDescent="0.25">
      <c r="A51" s="1" t="str">
        <f>IF(P51="site desktop","Operações","Suporte KCS")</f>
        <v>Operações</v>
      </c>
      <c r="B51" s="1" t="s">
        <v>252</v>
      </c>
      <c r="E51" s="1">
        <v>16246134</v>
      </c>
      <c r="F51" s="1" t="s">
        <v>40</v>
      </c>
      <c r="G51" s="2">
        <v>45906.828831018516</v>
      </c>
      <c r="H51" s="1" t="s">
        <v>32</v>
      </c>
      <c r="J51" s="1" t="s">
        <v>41</v>
      </c>
      <c r="K51" s="1" t="s">
        <v>42</v>
      </c>
      <c r="L51" s="1">
        <v>208306803</v>
      </c>
      <c r="M51" s="1" t="s">
        <v>33</v>
      </c>
      <c r="N51" s="1" t="s">
        <v>34</v>
      </c>
      <c r="O51" s="1">
        <v>1001</v>
      </c>
      <c r="P51" s="1" t="s">
        <v>35</v>
      </c>
      <c r="R51" s="1">
        <v>1</v>
      </c>
      <c r="T51" s="2">
        <v>45906.939583333333</v>
      </c>
      <c r="U51" s="2">
        <v>45907.085416666669</v>
      </c>
      <c r="V51" s="1" t="s">
        <v>36</v>
      </c>
      <c r="W51" s="1" t="s">
        <v>37</v>
      </c>
      <c r="X51" s="3">
        <v>109.18</v>
      </c>
      <c r="Y51" s="3">
        <v>83.25</v>
      </c>
      <c r="AA51" s="3">
        <v>10.95</v>
      </c>
      <c r="AB51" s="3">
        <v>14.98</v>
      </c>
      <c r="AC51" s="3">
        <v>109.18</v>
      </c>
      <c r="AD51" s="1" t="s">
        <v>38</v>
      </c>
      <c r="AE51" s="1" t="s">
        <v>43</v>
      </c>
      <c r="AF51" s="1" t="s">
        <v>39</v>
      </c>
      <c r="AG51" s="1">
        <v>10143622745</v>
      </c>
    </row>
    <row r="52" spans="1:33" x14ac:dyDescent="0.25">
      <c r="A52" s="1" t="str">
        <f>IF(P52="site desktop","Operações","Suporte KCS")</f>
        <v>Operações</v>
      </c>
      <c r="B52" s="1" t="s">
        <v>253</v>
      </c>
      <c r="E52" s="1">
        <v>16264516</v>
      </c>
      <c r="F52" s="1" t="s">
        <v>261</v>
      </c>
      <c r="G52" s="2">
        <v>45908.736793981479</v>
      </c>
      <c r="H52" s="1" t="s">
        <v>32</v>
      </c>
      <c r="J52" s="1" t="s">
        <v>262</v>
      </c>
      <c r="K52" s="1" t="s">
        <v>263</v>
      </c>
      <c r="L52" s="1">
        <v>1339776</v>
      </c>
      <c r="M52" s="1" t="s">
        <v>47</v>
      </c>
      <c r="N52" s="1" t="s">
        <v>74</v>
      </c>
      <c r="O52" s="1" t="s">
        <v>264</v>
      </c>
      <c r="P52" s="1" t="s">
        <v>35</v>
      </c>
      <c r="R52" s="1">
        <v>1</v>
      </c>
      <c r="T52" s="2">
        <v>45909.333333333336</v>
      </c>
      <c r="U52" s="2">
        <v>45909.416666666664</v>
      </c>
      <c r="V52" s="1" t="s">
        <v>36</v>
      </c>
      <c r="W52" s="1" t="s">
        <v>37</v>
      </c>
      <c r="X52" s="3">
        <v>67.64</v>
      </c>
      <c r="Y52" s="3">
        <v>46.43</v>
      </c>
      <c r="AA52" s="3">
        <v>9.9499999999999993</v>
      </c>
      <c r="AB52" s="3">
        <v>11.26</v>
      </c>
      <c r="AC52" s="3">
        <v>67.64</v>
      </c>
      <c r="AD52" s="1" t="s">
        <v>50</v>
      </c>
      <c r="AE52" s="1" t="s">
        <v>265</v>
      </c>
      <c r="AF52" s="1" t="s">
        <v>39</v>
      </c>
      <c r="AG52" s="1">
        <v>10143636666</v>
      </c>
    </row>
    <row r="53" spans="1:33" x14ac:dyDescent="0.25">
      <c r="A53" s="1" t="str">
        <f>IF(P53="site desktop","Operações","Suporte KCS")</f>
        <v>Operações</v>
      </c>
      <c r="B53" s="1" t="s">
        <v>253</v>
      </c>
      <c r="E53" s="1">
        <v>16271576</v>
      </c>
      <c r="F53" s="1" t="s">
        <v>270</v>
      </c>
      <c r="G53" s="2">
        <v>45909.509398148148</v>
      </c>
      <c r="H53" s="1" t="s">
        <v>32</v>
      </c>
      <c r="J53" s="1" t="s">
        <v>114</v>
      </c>
      <c r="K53" s="1" t="s">
        <v>92</v>
      </c>
      <c r="L53" s="1">
        <v>4670795</v>
      </c>
      <c r="M53" s="1" t="s">
        <v>47</v>
      </c>
      <c r="N53" s="1" t="s">
        <v>48</v>
      </c>
      <c r="O53" s="1" t="s">
        <v>49</v>
      </c>
      <c r="P53" s="1" t="s">
        <v>35</v>
      </c>
      <c r="R53" s="1">
        <v>1</v>
      </c>
      <c r="T53" s="2">
        <v>45909.583333333336</v>
      </c>
      <c r="U53" s="2">
        <v>45909.673611111109</v>
      </c>
      <c r="V53" s="1" t="s">
        <v>36</v>
      </c>
      <c r="W53" s="1" t="s">
        <v>37</v>
      </c>
      <c r="X53" s="3">
        <v>42.46</v>
      </c>
      <c r="Y53" s="3">
        <v>26</v>
      </c>
      <c r="AA53" s="3">
        <v>9.9499999999999993</v>
      </c>
      <c r="AB53" s="3">
        <v>6.51</v>
      </c>
      <c r="AC53" s="3">
        <v>42.46</v>
      </c>
      <c r="AD53" s="1" t="s">
        <v>93</v>
      </c>
      <c r="AE53" s="1" t="s">
        <v>50</v>
      </c>
      <c r="AF53" s="1" t="s">
        <v>39</v>
      </c>
      <c r="AG53" s="1">
        <v>10143642183</v>
      </c>
    </row>
    <row r="54" spans="1:33" x14ac:dyDescent="0.25">
      <c r="A54" s="1" t="str">
        <f>IF(P54="site desktop","Operações","Suporte KCS")</f>
        <v>Operações</v>
      </c>
      <c r="B54" s="1" t="s">
        <v>253</v>
      </c>
      <c r="E54" s="1">
        <v>16273539</v>
      </c>
      <c r="F54" s="1">
        <v>10015149851</v>
      </c>
      <c r="G54" s="2">
        <v>45909.609502314815</v>
      </c>
      <c r="H54" s="1" t="s">
        <v>32</v>
      </c>
      <c r="J54" s="1" t="s">
        <v>262</v>
      </c>
      <c r="K54" s="1" t="s">
        <v>137</v>
      </c>
      <c r="L54" s="1">
        <v>31129293.311292902</v>
      </c>
      <c r="M54" s="1" t="s">
        <v>47</v>
      </c>
      <c r="N54" s="1" t="s">
        <v>131</v>
      </c>
      <c r="O54" s="1" t="s">
        <v>132</v>
      </c>
      <c r="P54" s="1" t="s">
        <v>35</v>
      </c>
      <c r="R54" s="1">
        <v>2</v>
      </c>
      <c r="T54" s="2">
        <v>45922.4375</v>
      </c>
      <c r="U54" s="2">
        <v>45922.78125</v>
      </c>
      <c r="V54" s="1" t="s">
        <v>36</v>
      </c>
      <c r="W54" s="1" t="s">
        <v>37</v>
      </c>
      <c r="X54" s="3">
        <v>422.41</v>
      </c>
      <c r="Y54" s="3">
        <v>325.70999999999998</v>
      </c>
      <c r="AA54" s="3">
        <v>19.899999999999999</v>
      </c>
      <c r="AB54" s="3">
        <v>76.8</v>
      </c>
      <c r="AC54" s="3">
        <v>422.41</v>
      </c>
      <c r="AD54" s="1" t="s">
        <v>133</v>
      </c>
      <c r="AE54" s="1" t="s">
        <v>64</v>
      </c>
      <c r="AF54" s="1" t="s">
        <v>57</v>
      </c>
      <c r="AG54" s="1" t="s">
        <v>271</v>
      </c>
    </row>
    <row r="55" spans="1:33" x14ac:dyDescent="0.25">
      <c r="A55" s="1" t="str">
        <f>IF(P55="site desktop","Operações","Suporte KCS")</f>
        <v>Operações</v>
      </c>
      <c r="B55" s="1" t="s">
        <v>252</v>
      </c>
      <c r="E55" s="1">
        <v>16273977</v>
      </c>
      <c r="F55" s="1" t="s">
        <v>272</v>
      </c>
      <c r="G55" s="2">
        <v>45909.628888888888</v>
      </c>
      <c r="H55" s="1" t="s">
        <v>32</v>
      </c>
      <c r="J55" s="1" t="s">
        <v>126</v>
      </c>
      <c r="K55" s="1" t="s">
        <v>273</v>
      </c>
      <c r="L55" s="1">
        <v>20090264392</v>
      </c>
      <c r="M55" s="1" t="s">
        <v>47</v>
      </c>
      <c r="N55" s="1" t="s">
        <v>62</v>
      </c>
      <c r="O55" s="1" t="s">
        <v>86</v>
      </c>
      <c r="P55" s="1" t="s">
        <v>35</v>
      </c>
      <c r="R55" s="1">
        <v>1</v>
      </c>
      <c r="T55" s="2">
        <v>45920.833333333336</v>
      </c>
      <c r="U55" s="2">
        <v>45921.273611111108</v>
      </c>
      <c r="V55" s="1" t="s">
        <v>36</v>
      </c>
      <c r="W55" s="1" t="s">
        <v>37</v>
      </c>
      <c r="X55" s="3">
        <v>272.01</v>
      </c>
      <c r="Y55" s="3">
        <v>220.6</v>
      </c>
      <c r="AA55" s="3">
        <v>0</v>
      </c>
      <c r="AB55" s="3">
        <v>51.41</v>
      </c>
      <c r="AC55" s="3">
        <v>272.01</v>
      </c>
      <c r="AD55" s="1" t="s">
        <v>87</v>
      </c>
      <c r="AE55" s="1" t="s">
        <v>128</v>
      </c>
      <c r="AF55" s="1" t="s">
        <v>39</v>
      </c>
    </row>
    <row r="56" spans="1:33" x14ac:dyDescent="0.25">
      <c r="A56" s="1" t="str">
        <f>IF(P56="site desktop","Operações","Suporte KCS")</f>
        <v>Operações</v>
      </c>
      <c r="B56" s="1" t="s">
        <v>253</v>
      </c>
      <c r="E56" s="1">
        <v>16276570</v>
      </c>
      <c r="F56" s="1" t="s">
        <v>279</v>
      </c>
      <c r="G56" s="2">
        <v>45909.742118055554</v>
      </c>
      <c r="H56" s="1" t="s">
        <v>280</v>
      </c>
      <c r="J56" s="1" t="s">
        <v>262</v>
      </c>
      <c r="K56" s="1" t="s">
        <v>281</v>
      </c>
      <c r="L56" s="1" t="s">
        <v>282</v>
      </c>
      <c r="M56" s="1" t="s">
        <v>47</v>
      </c>
      <c r="N56" s="1" t="s">
        <v>74</v>
      </c>
      <c r="O56" s="1" t="s">
        <v>274</v>
      </c>
      <c r="P56" s="1" t="s">
        <v>35</v>
      </c>
      <c r="R56" s="1">
        <v>0</v>
      </c>
      <c r="S56" s="1" t="s">
        <v>283</v>
      </c>
      <c r="T56" s="2">
        <v>45925.541666666664</v>
      </c>
      <c r="U56" s="2">
        <v>45925.6875</v>
      </c>
      <c r="V56" s="1" t="s">
        <v>69</v>
      </c>
      <c r="W56" s="1" t="s">
        <v>37</v>
      </c>
      <c r="X56" s="3">
        <v>121.36</v>
      </c>
      <c r="Y56" s="3">
        <v>-26.87</v>
      </c>
      <c r="AA56" s="3">
        <v>9.9499999999999993</v>
      </c>
      <c r="AB56" s="3">
        <v>21.42</v>
      </c>
      <c r="AC56" s="3">
        <v>111.41</v>
      </c>
      <c r="AD56" s="1" t="s">
        <v>64</v>
      </c>
      <c r="AE56" s="1" t="s">
        <v>146</v>
      </c>
      <c r="AF56" s="1" t="s">
        <v>39</v>
      </c>
    </row>
    <row r="57" spans="1:33" x14ac:dyDescent="0.25">
      <c r="A57" s="1" t="str">
        <f>IF(P57="site desktop","Operações","Suporte KCS")</f>
        <v>Operações</v>
      </c>
      <c r="B57" s="1" t="s">
        <v>253</v>
      </c>
      <c r="E57" s="1">
        <v>16276671</v>
      </c>
      <c r="F57" s="1">
        <v>10013000348</v>
      </c>
      <c r="G57" s="2">
        <v>45909.746770833335</v>
      </c>
      <c r="H57" s="1" t="s">
        <v>32</v>
      </c>
      <c r="J57" s="1" t="s">
        <v>262</v>
      </c>
      <c r="K57" s="1" t="s">
        <v>281</v>
      </c>
      <c r="L57" s="1" t="s">
        <v>282</v>
      </c>
      <c r="M57" s="1" t="s">
        <v>47</v>
      </c>
      <c r="N57" s="1" t="s">
        <v>74</v>
      </c>
      <c r="O57" s="1" t="s">
        <v>284</v>
      </c>
      <c r="P57" s="1" t="s">
        <v>35</v>
      </c>
      <c r="R57" s="1">
        <v>1</v>
      </c>
      <c r="T57" s="2">
        <v>45925.6875</v>
      </c>
      <c r="U57" s="2">
        <v>45925.8125</v>
      </c>
      <c r="V57" s="1" t="s">
        <v>36</v>
      </c>
      <c r="W57" s="1" t="s">
        <v>37</v>
      </c>
      <c r="X57" s="3">
        <v>121.38</v>
      </c>
      <c r="Y57" s="3">
        <v>90</v>
      </c>
      <c r="AA57" s="3">
        <v>9.9499999999999993</v>
      </c>
      <c r="AB57" s="3">
        <v>21.43</v>
      </c>
      <c r="AC57" s="3">
        <v>121.38</v>
      </c>
      <c r="AD57" s="1" t="s">
        <v>64</v>
      </c>
      <c r="AE57" s="1" t="s">
        <v>146</v>
      </c>
      <c r="AF57" s="1" t="s">
        <v>39</v>
      </c>
      <c r="AG57" s="1">
        <v>10143645534</v>
      </c>
    </row>
    <row r="58" spans="1:33" x14ac:dyDescent="0.25">
      <c r="A58" s="1" t="str">
        <f>IF(P58="site desktop","Operações","Suporte KCS")</f>
        <v>Operações</v>
      </c>
      <c r="B58" s="1" t="s">
        <v>253</v>
      </c>
      <c r="E58" s="1">
        <v>16283535</v>
      </c>
      <c r="F58" s="1" t="s">
        <v>285</v>
      </c>
      <c r="G58" s="2">
        <v>45910.523796296293</v>
      </c>
      <c r="H58" s="1" t="s">
        <v>32</v>
      </c>
      <c r="J58" s="1" t="s">
        <v>114</v>
      </c>
      <c r="K58" s="1" t="s">
        <v>286</v>
      </c>
      <c r="L58" s="1">
        <v>635368897</v>
      </c>
      <c r="M58" s="1" t="s">
        <v>47</v>
      </c>
      <c r="N58" s="1" t="s">
        <v>74</v>
      </c>
      <c r="O58" s="1" t="s">
        <v>83</v>
      </c>
      <c r="P58" s="1" t="s">
        <v>35</v>
      </c>
      <c r="R58" s="1">
        <v>1</v>
      </c>
      <c r="T58" s="2">
        <v>45910.926388888889</v>
      </c>
      <c r="U58" s="2">
        <v>45911.238888888889</v>
      </c>
      <c r="V58" s="1" t="s">
        <v>36</v>
      </c>
      <c r="W58" s="1" t="s">
        <v>37</v>
      </c>
      <c r="X58" s="3">
        <v>288.63</v>
      </c>
      <c r="Y58" s="3">
        <v>224.79</v>
      </c>
      <c r="AA58" s="3">
        <v>10.95</v>
      </c>
      <c r="AB58" s="3">
        <v>52.89</v>
      </c>
      <c r="AC58" s="3">
        <v>288.63</v>
      </c>
      <c r="AD58" s="1" t="s">
        <v>218</v>
      </c>
      <c r="AE58" s="1" t="s">
        <v>85</v>
      </c>
      <c r="AF58" s="1" t="s">
        <v>39</v>
      </c>
      <c r="AG58" s="1">
        <v>10143650928</v>
      </c>
    </row>
    <row r="59" spans="1:33" x14ac:dyDescent="0.25">
      <c r="A59" s="1" t="str">
        <f>IF(P59="site desktop","Operações","Suporte KCS")</f>
        <v>Operações</v>
      </c>
      <c r="B59" s="1" t="s">
        <v>253</v>
      </c>
      <c r="E59" s="1">
        <v>16283566</v>
      </c>
      <c r="F59" s="1" t="s">
        <v>402</v>
      </c>
      <c r="G59" s="2">
        <v>45910.52615740741</v>
      </c>
      <c r="H59" s="1" t="s">
        <v>32</v>
      </c>
      <c r="J59" s="1" t="s">
        <v>114</v>
      </c>
      <c r="K59" s="1" t="s">
        <v>287</v>
      </c>
      <c r="L59" s="1">
        <v>635368897.63536799</v>
      </c>
      <c r="M59" s="1" t="s">
        <v>47</v>
      </c>
      <c r="N59" s="1" t="s">
        <v>278</v>
      </c>
      <c r="O59" s="1" t="s">
        <v>288</v>
      </c>
      <c r="P59" s="1" t="s">
        <v>35</v>
      </c>
      <c r="R59" s="1">
        <v>2</v>
      </c>
      <c r="T59" s="2">
        <v>45914.895833333336</v>
      </c>
      <c r="U59" s="2">
        <v>45915.322916666664</v>
      </c>
      <c r="V59" s="1" t="s">
        <v>36</v>
      </c>
      <c r="W59" s="1" t="s">
        <v>37</v>
      </c>
      <c r="X59" s="3">
        <v>541.65</v>
      </c>
      <c r="Y59" s="3">
        <v>420.71</v>
      </c>
      <c r="AA59" s="3">
        <v>21.9</v>
      </c>
      <c r="AB59" s="3">
        <v>99.04</v>
      </c>
      <c r="AC59" s="3">
        <v>541.65</v>
      </c>
      <c r="AD59" s="1" t="s">
        <v>85</v>
      </c>
      <c r="AE59" s="1" t="s">
        <v>289</v>
      </c>
      <c r="AF59" s="1" t="s">
        <v>57</v>
      </c>
      <c r="AG59" s="1" t="s">
        <v>290</v>
      </c>
    </row>
    <row r="60" spans="1:33" x14ac:dyDescent="0.25">
      <c r="A60" s="1" t="str">
        <f>IF(P60="site desktop","Operações","Suporte KCS")</f>
        <v>Operações</v>
      </c>
      <c r="B60" s="1" t="s">
        <v>253</v>
      </c>
      <c r="E60" s="1">
        <v>16283602</v>
      </c>
      <c r="F60" s="1" t="s">
        <v>291</v>
      </c>
      <c r="G60" s="2">
        <v>45910.528310185182</v>
      </c>
      <c r="H60" s="1" t="s">
        <v>32</v>
      </c>
      <c r="J60" s="1" t="s">
        <v>114</v>
      </c>
      <c r="K60" s="1" t="s">
        <v>286</v>
      </c>
      <c r="L60" s="1">
        <v>635368897</v>
      </c>
      <c r="M60" s="1" t="s">
        <v>47</v>
      </c>
      <c r="N60" s="1" t="s">
        <v>74</v>
      </c>
      <c r="O60" s="1" t="s">
        <v>83</v>
      </c>
      <c r="P60" s="1" t="s">
        <v>35</v>
      </c>
      <c r="R60" s="1">
        <v>1</v>
      </c>
      <c r="T60" s="2">
        <v>45918.9375</v>
      </c>
      <c r="U60" s="2">
        <v>45919.243055555555</v>
      </c>
      <c r="V60" s="1" t="s">
        <v>36</v>
      </c>
      <c r="W60" s="1" t="s">
        <v>37</v>
      </c>
      <c r="X60" s="3">
        <v>289.82</v>
      </c>
      <c r="Y60" s="3">
        <v>225.76</v>
      </c>
      <c r="AA60" s="3">
        <v>10.95</v>
      </c>
      <c r="AB60" s="3">
        <v>53.11</v>
      </c>
      <c r="AC60" s="3">
        <v>289.82</v>
      </c>
      <c r="AD60" s="1" t="s">
        <v>85</v>
      </c>
      <c r="AE60" s="1" t="s">
        <v>218</v>
      </c>
      <c r="AF60" s="1" t="s">
        <v>39</v>
      </c>
      <c r="AG60" s="1">
        <v>10143650977</v>
      </c>
    </row>
    <row r="61" spans="1:33" x14ac:dyDescent="0.25">
      <c r="A61" s="1" t="str">
        <f>IF(P61="site desktop","Operações","Suporte KCS")</f>
        <v>Operações</v>
      </c>
      <c r="B61" s="1" t="s">
        <v>253</v>
      </c>
      <c r="E61" s="1">
        <v>16284471</v>
      </c>
      <c r="F61" s="1">
        <v>468398875</v>
      </c>
      <c r="G61" s="2">
        <v>45910.579583333332</v>
      </c>
      <c r="H61" s="1" t="s">
        <v>32</v>
      </c>
      <c r="J61" s="1" t="s">
        <v>114</v>
      </c>
      <c r="K61" s="1" t="s">
        <v>95</v>
      </c>
      <c r="L61" s="1">
        <v>6062787533</v>
      </c>
      <c r="M61" s="1" t="s">
        <v>47</v>
      </c>
      <c r="N61" s="1" t="s">
        <v>74</v>
      </c>
      <c r="O61" s="1" t="s">
        <v>75</v>
      </c>
      <c r="P61" s="1" t="s">
        <v>35</v>
      </c>
      <c r="R61" s="1">
        <v>1</v>
      </c>
      <c r="T61" s="2">
        <v>45913.291666666664</v>
      </c>
      <c r="U61" s="2">
        <v>45913.493055555555</v>
      </c>
      <c r="V61" s="1" t="s">
        <v>36</v>
      </c>
      <c r="W61" s="1" t="s">
        <v>37</v>
      </c>
      <c r="X61" s="3">
        <v>193.07</v>
      </c>
      <c r="Y61" s="3">
        <v>148.15</v>
      </c>
      <c r="AA61" s="3">
        <v>9.9499999999999993</v>
      </c>
      <c r="AB61" s="3">
        <v>34.97</v>
      </c>
      <c r="AC61" s="3">
        <v>193.07</v>
      </c>
      <c r="AD61" s="1" t="s">
        <v>96</v>
      </c>
      <c r="AE61" s="1" t="s">
        <v>77</v>
      </c>
      <c r="AF61" s="1" t="s">
        <v>39</v>
      </c>
      <c r="AG61" s="1">
        <v>10143651624</v>
      </c>
    </row>
    <row r="62" spans="1:33" x14ac:dyDescent="0.25">
      <c r="A62" s="1" t="str">
        <f>IF(P62="site desktop","Operações","Suporte KCS")</f>
        <v>Operações</v>
      </c>
      <c r="B62" s="1" t="s">
        <v>253</v>
      </c>
      <c r="E62" s="1">
        <v>16284515</v>
      </c>
      <c r="F62" s="1">
        <v>11175366164252</v>
      </c>
      <c r="G62" s="2">
        <v>45910.581863425927</v>
      </c>
      <c r="H62" s="1" t="s">
        <v>32</v>
      </c>
      <c r="J62" s="1" t="s">
        <v>114</v>
      </c>
      <c r="K62" s="1" t="s">
        <v>169</v>
      </c>
      <c r="L62" s="1">
        <v>1077599866</v>
      </c>
      <c r="M62" s="1" t="s">
        <v>47</v>
      </c>
      <c r="N62" s="1" t="s">
        <v>74</v>
      </c>
      <c r="O62" s="1" t="s">
        <v>75</v>
      </c>
      <c r="P62" s="1" t="s">
        <v>35</v>
      </c>
      <c r="R62" s="1">
        <v>1</v>
      </c>
      <c r="T62" s="2">
        <v>45913.291666666664</v>
      </c>
      <c r="U62" s="2">
        <v>45913.472222222219</v>
      </c>
      <c r="V62" s="1" t="s">
        <v>36</v>
      </c>
      <c r="W62" s="1" t="s">
        <v>37</v>
      </c>
      <c r="X62" s="3">
        <v>193.07</v>
      </c>
      <c r="Y62" s="3">
        <v>148.15</v>
      </c>
      <c r="AA62" s="3">
        <v>9.9499999999999993</v>
      </c>
      <c r="AB62" s="3">
        <v>34.97</v>
      </c>
      <c r="AC62" s="3">
        <v>193.07</v>
      </c>
      <c r="AD62" s="1" t="s">
        <v>77</v>
      </c>
      <c r="AE62" s="1" t="s">
        <v>96</v>
      </c>
      <c r="AF62" s="1" t="s">
        <v>39</v>
      </c>
      <c r="AG62" s="1">
        <v>10143651678</v>
      </c>
    </row>
    <row r="63" spans="1:33" x14ac:dyDescent="0.25">
      <c r="A63" s="1" t="str">
        <f>IF(P63="site desktop","Operações","Suporte KCS")</f>
        <v>Operações</v>
      </c>
      <c r="B63" s="1" t="s">
        <v>253</v>
      </c>
      <c r="E63" s="1">
        <v>16284570</v>
      </c>
      <c r="F63" s="1">
        <v>11175366164270</v>
      </c>
      <c r="G63" s="2">
        <v>45910.584398148145</v>
      </c>
      <c r="H63" s="1" t="s">
        <v>32</v>
      </c>
      <c r="J63" s="1" t="s">
        <v>114</v>
      </c>
      <c r="K63" s="1" t="s">
        <v>168</v>
      </c>
      <c r="L63" s="1">
        <v>4085742148</v>
      </c>
      <c r="M63" s="1" t="s">
        <v>47</v>
      </c>
      <c r="N63" s="1" t="s">
        <v>74</v>
      </c>
      <c r="O63" s="1" t="s">
        <v>75</v>
      </c>
      <c r="P63" s="1" t="s">
        <v>35</v>
      </c>
      <c r="R63" s="1">
        <v>1</v>
      </c>
      <c r="T63" s="2">
        <v>45913.291666666664</v>
      </c>
      <c r="U63" s="2">
        <v>45913.472222222219</v>
      </c>
      <c r="V63" s="1" t="s">
        <v>36</v>
      </c>
      <c r="W63" s="1" t="s">
        <v>37</v>
      </c>
      <c r="X63" s="3">
        <v>193.07</v>
      </c>
      <c r="Y63" s="3">
        <v>148.15</v>
      </c>
      <c r="AA63" s="3">
        <v>9.9499999999999993</v>
      </c>
      <c r="AB63" s="3">
        <v>34.97</v>
      </c>
      <c r="AC63" s="3">
        <v>193.07</v>
      </c>
      <c r="AD63" s="1" t="s">
        <v>77</v>
      </c>
      <c r="AE63" s="1" t="s">
        <v>96</v>
      </c>
      <c r="AF63" s="1" t="s">
        <v>39</v>
      </c>
      <c r="AG63" s="1">
        <v>10143651685</v>
      </c>
    </row>
    <row r="64" spans="1:33" x14ac:dyDescent="0.25">
      <c r="A64" s="1" t="str">
        <f>IF(P64="site desktop","Operações","Suporte KCS")</f>
        <v>Operações</v>
      </c>
      <c r="B64" s="1" t="s">
        <v>253</v>
      </c>
      <c r="E64" s="1">
        <v>16284621</v>
      </c>
      <c r="F64" s="1">
        <v>468399409</v>
      </c>
      <c r="G64" s="2">
        <v>45910.587083333332</v>
      </c>
      <c r="H64" s="1" t="s">
        <v>32</v>
      </c>
      <c r="J64" s="1" t="s">
        <v>114</v>
      </c>
      <c r="K64" s="1" t="s">
        <v>292</v>
      </c>
      <c r="L64" s="1">
        <v>5106668709</v>
      </c>
      <c r="M64" s="1" t="s">
        <v>47</v>
      </c>
      <c r="N64" s="1" t="s">
        <v>74</v>
      </c>
      <c r="O64" s="1" t="s">
        <v>75</v>
      </c>
      <c r="P64" s="1" t="s">
        <v>35</v>
      </c>
      <c r="R64" s="1">
        <v>1</v>
      </c>
      <c r="T64" s="2">
        <v>45915.291666666664</v>
      </c>
      <c r="U64" s="2">
        <v>45915.493055555555</v>
      </c>
      <c r="V64" s="1" t="s">
        <v>36</v>
      </c>
      <c r="W64" s="1" t="s">
        <v>37</v>
      </c>
      <c r="X64" s="3">
        <v>193.07</v>
      </c>
      <c r="Y64" s="3">
        <v>148.15</v>
      </c>
      <c r="AA64" s="3">
        <v>9.9499999999999993</v>
      </c>
      <c r="AB64" s="3">
        <v>34.97</v>
      </c>
      <c r="AC64" s="3">
        <v>193.07</v>
      </c>
      <c r="AD64" s="1" t="s">
        <v>96</v>
      </c>
      <c r="AE64" s="1" t="s">
        <v>77</v>
      </c>
      <c r="AF64" s="1" t="s">
        <v>39</v>
      </c>
      <c r="AG64" s="1">
        <v>10143651732</v>
      </c>
    </row>
    <row r="65" spans="1:33" x14ac:dyDescent="0.25">
      <c r="A65" s="1" t="str">
        <f>IF(P65="site desktop","Operações","Suporte KCS")</f>
        <v>Operações</v>
      </c>
      <c r="B65" s="1" t="s">
        <v>253</v>
      </c>
      <c r="E65" s="1">
        <v>16289817</v>
      </c>
      <c r="F65" s="1">
        <v>10291277790</v>
      </c>
      <c r="G65" s="2">
        <v>45910.834317129629</v>
      </c>
      <c r="H65" s="1" t="s">
        <v>32</v>
      </c>
      <c r="J65" s="1" t="s">
        <v>114</v>
      </c>
      <c r="K65" s="1" t="s">
        <v>295</v>
      </c>
      <c r="L65" s="1">
        <v>578086220.57808602</v>
      </c>
      <c r="M65" s="1" t="s">
        <v>47</v>
      </c>
      <c r="N65" s="1" t="s">
        <v>256</v>
      </c>
      <c r="O65" s="1" t="s">
        <v>195</v>
      </c>
      <c r="P65" s="1" t="s">
        <v>35</v>
      </c>
      <c r="R65" s="1">
        <v>2</v>
      </c>
      <c r="T65" s="2">
        <v>45938.253472222219</v>
      </c>
      <c r="U65" s="2">
        <v>45938.430555555555</v>
      </c>
      <c r="V65" s="1" t="s">
        <v>36</v>
      </c>
      <c r="W65" s="1" t="s">
        <v>37</v>
      </c>
      <c r="X65" s="3">
        <v>304.26</v>
      </c>
      <c r="Y65" s="3">
        <v>229.89</v>
      </c>
      <c r="AA65" s="3">
        <v>19.899999999999999</v>
      </c>
      <c r="AB65" s="3">
        <v>54.47</v>
      </c>
      <c r="AC65" s="3">
        <v>304.26</v>
      </c>
      <c r="AD65" s="1" t="s">
        <v>70</v>
      </c>
      <c r="AE65" s="1" t="s">
        <v>255</v>
      </c>
      <c r="AF65" s="1" t="s">
        <v>57</v>
      </c>
      <c r="AG65" s="1" t="s">
        <v>296</v>
      </c>
    </row>
    <row r="66" spans="1:33" x14ac:dyDescent="0.25">
      <c r="A66" s="1" t="str">
        <f>IF(P66="site desktop","Operações","Suporte KCS")</f>
        <v>Operações</v>
      </c>
      <c r="B66" s="1" t="s">
        <v>252</v>
      </c>
      <c r="E66" s="1">
        <v>16294621</v>
      </c>
      <c r="F66" s="1">
        <v>10291324874</v>
      </c>
      <c r="G66" s="2">
        <v>45911.469594907408</v>
      </c>
      <c r="H66" s="1" t="s">
        <v>32</v>
      </c>
      <c r="J66" s="1" t="s">
        <v>297</v>
      </c>
      <c r="K66" s="1" t="s">
        <v>298</v>
      </c>
      <c r="L66" s="1">
        <v>359194862.35919398</v>
      </c>
      <c r="M66" s="1" t="s">
        <v>33</v>
      </c>
      <c r="N66" s="1" t="s">
        <v>190</v>
      </c>
      <c r="O66" s="1" t="s">
        <v>259</v>
      </c>
      <c r="P66" s="1" t="s">
        <v>35</v>
      </c>
      <c r="R66" s="1">
        <v>2</v>
      </c>
      <c r="T66" s="2">
        <v>45911.875</v>
      </c>
      <c r="U66" s="2">
        <v>45912.295138888891</v>
      </c>
      <c r="V66" s="1" t="s">
        <v>36</v>
      </c>
      <c r="W66" s="1" t="s">
        <v>37</v>
      </c>
      <c r="X66" s="3">
        <v>833.08</v>
      </c>
      <c r="Y66" s="3">
        <v>687.45</v>
      </c>
      <c r="AA66" s="3">
        <v>21.9</v>
      </c>
      <c r="AB66" s="3">
        <v>123.73</v>
      </c>
      <c r="AC66" s="3">
        <v>833.08</v>
      </c>
      <c r="AD66" s="1" t="s">
        <v>260</v>
      </c>
      <c r="AE66" s="1" t="s">
        <v>96</v>
      </c>
      <c r="AF66" s="1" t="s">
        <v>57</v>
      </c>
      <c r="AG66" s="1" t="s">
        <v>299</v>
      </c>
    </row>
    <row r="67" spans="1:33" x14ac:dyDescent="0.25">
      <c r="A67" s="1" t="str">
        <f>IF(P67="site desktop","Operações","Suporte KCS")</f>
        <v>Operações</v>
      </c>
      <c r="B67" s="1" t="s">
        <v>253</v>
      </c>
      <c r="E67" s="1">
        <v>16301540</v>
      </c>
      <c r="F67" s="1">
        <v>10291373285</v>
      </c>
      <c r="G67" s="2">
        <v>45911.776203703703</v>
      </c>
      <c r="H67" s="1" t="s">
        <v>32</v>
      </c>
      <c r="J67" s="1" t="s">
        <v>303</v>
      </c>
      <c r="K67" s="1" t="s">
        <v>304</v>
      </c>
      <c r="L67" s="1" t="s">
        <v>305</v>
      </c>
      <c r="M67" s="1" t="s">
        <v>47</v>
      </c>
      <c r="N67" s="1" t="s">
        <v>74</v>
      </c>
      <c r="O67" s="1" t="s">
        <v>195</v>
      </c>
      <c r="P67" s="1" t="s">
        <v>35</v>
      </c>
      <c r="R67" s="1">
        <v>1</v>
      </c>
      <c r="T67" s="2">
        <v>45912.291666666664</v>
      </c>
      <c r="U67" s="2">
        <v>45912.5</v>
      </c>
      <c r="V67" s="1" t="s">
        <v>36</v>
      </c>
      <c r="W67" s="1" t="s">
        <v>37</v>
      </c>
      <c r="X67" s="3">
        <v>297.58</v>
      </c>
      <c r="Y67" s="3">
        <v>232.9</v>
      </c>
      <c r="AA67" s="3">
        <v>9.9499999999999993</v>
      </c>
      <c r="AB67" s="3">
        <v>54.73</v>
      </c>
      <c r="AC67" s="3">
        <v>297.58</v>
      </c>
      <c r="AD67" s="1" t="s">
        <v>70</v>
      </c>
      <c r="AE67" s="1" t="s">
        <v>71</v>
      </c>
      <c r="AF67" s="1" t="s">
        <v>39</v>
      </c>
      <c r="AG67" s="1">
        <v>10143663992</v>
      </c>
    </row>
    <row r="68" spans="1:33" x14ac:dyDescent="0.25">
      <c r="A68" s="1" t="str">
        <f>IF(P68="site desktop","Operações","Suporte KCS")</f>
        <v>Operações</v>
      </c>
      <c r="B68" s="1" t="s">
        <v>253</v>
      </c>
      <c r="E68" s="1">
        <v>16301685</v>
      </c>
      <c r="F68" s="1">
        <v>10291374467</v>
      </c>
      <c r="G68" s="2">
        <v>45911.783784722225</v>
      </c>
      <c r="H68" s="1" t="s">
        <v>32</v>
      </c>
      <c r="J68" s="1" t="s">
        <v>303</v>
      </c>
      <c r="K68" s="1" t="s">
        <v>306</v>
      </c>
      <c r="L68" s="1">
        <v>540252335</v>
      </c>
      <c r="M68" s="1" t="s">
        <v>47</v>
      </c>
      <c r="N68" s="1" t="s">
        <v>74</v>
      </c>
      <c r="O68" s="1" t="s">
        <v>195</v>
      </c>
      <c r="P68" s="1" t="s">
        <v>35</v>
      </c>
      <c r="R68" s="1">
        <v>1</v>
      </c>
      <c r="T68" s="2">
        <v>45912.291666666664</v>
      </c>
      <c r="U68" s="2">
        <v>45912.5</v>
      </c>
      <c r="V68" s="1" t="s">
        <v>36</v>
      </c>
      <c r="W68" s="1" t="s">
        <v>37</v>
      </c>
      <c r="X68" s="3">
        <v>297.58</v>
      </c>
      <c r="Y68" s="3">
        <v>232.9</v>
      </c>
      <c r="AA68" s="3">
        <v>9.9499999999999993</v>
      </c>
      <c r="AB68" s="3">
        <v>54.73</v>
      </c>
      <c r="AC68" s="3">
        <v>297.58</v>
      </c>
      <c r="AD68" s="1" t="s">
        <v>70</v>
      </c>
      <c r="AE68" s="1" t="s">
        <v>71</v>
      </c>
      <c r="AF68" s="1" t="s">
        <v>39</v>
      </c>
      <c r="AG68" s="1">
        <v>10143664186</v>
      </c>
    </row>
    <row r="69" spans="1:33" x14ac:dyDescent="0.25">
      <c r="A69" s="1" t="str">
        <f>IF(P69="site desktop","Operações","Suporte KCS")</f>
        <v>Operações</v>
      </c>
      <c r="B69" s="1" t="s">
        <v>252</v>
      </c>
      <c r="E69" s="1">
        <v>16305224</v>
      </c>
      <c r="F69" s="1">
        <v>10001365143</v>
      </c>
      <c r="G69" s="2">
        <v>45912.348645833335</v>
      </c>
      <c r="H69" s="1" t="s">
        <v>307</v>
      </c>
      <c r="J69" s="1" t="s">
        <v>206</v>
      </c>
      <c r="K69" s="1" t="s">
        <v>308</v>
      </c>
      <c r="L69" s="1">
        <v>699273.69927300001</v>
      </c>
      <c r="M69" s="1" t="s">
        <v>33</v>
      </c>
      <c r="N69" s="1" t="s">
        <v>74</v>
      </c>
      <c r="O69" s="1" t="s">
        <v>309</v>
      </c>
      <c r="P69" s="1" t="s">
        <v>35</v>
      </c>
      <c r="R69" s="1">
        <v>2</v>
      </c>
      <c r="T69" s="2">
        <v>45930.333333333336</v>
      </c>
      <c r="U69" s="2">
        <v>45930.583333333336</v>
      </c>
      <c r="V69" s="1" t="s">
        <v>36</v>
      </c>
      <c r="W69" s="1" t="s">
        <v>37</v>
      </c>
      <c r="X69" s="3">
        <v>672.6</v>
      </c>
      <c r="Y69" s="3">
        <v>570</v>
      </c>
      <c r="AA69" s="3">
        <v>0</v>
      </c>
      <c r="AB69" s="3">
        <v>102.6</v>
      </c>
      <c r="AC69" s="3">
        <v>672.6</v>
      </c>
      <c r="AD69" s="1" t="s">
        <v>310</v>
      </c>
      <c r="AE69" s="1" t="s">
        <v>311</v>
      </c>
      <c r="AF69" s="1" t="s">
        <v>39</v>
      </c>
    </row>
    <row r="70" spans="1:33" x14ac:dyDescent="0.25">
      <c r="A70" s="1" t="str">
        <f>IF(P70="site desktop","Operações","Suporte KCS")</f>
        <v>Operações</v>
      </c>
      <c r="B70" s="1" t="s">
        <v>252</v>
      </c>
      <c r="E70" s="1">
        <v>16307205</v>
      </c>
      <c r="F70" s="1">
        <v>10002951757</v>
      </c>
      <c r="G70" s="2">
        <v>45912.441608796296</v>
      </c>
      <c r="H70" s="1" t="s">
        <v>32</v>
      </c>
      <c r="J70" s="1" t="s">
        <v>297</v>
      </c>
      <c r="K70" s="1" t="s">
        <v>312</v>
      </c>
      <c r="L70" s="1" t="s">
        <v>313</v>
      </c>
      <c r="M70" s="1" t="s">
        <v>33</v>
      </c>
      <c r="N70" s="1" t="s">
        <v>48</v>
      </c>
      <c r="O70" s="1" t="s">
        <v>300</v>
      </c>
      <c r="P70" s="1" t="s">
        <v>35</v>
      </c>
      <c r="R70" s="1">
        <v>1</v>
      </c>
      <c r="T70" s="2">
        <v>45915.25</v>
      </c>
      <c r="U70" s="2">
        <v>45915.40625</v>
      </c>
      <c r="V70" s="1" t="s">
        <v>36</v>
      </c>
      <c r="W70" s="1" t="s">
        <v>37</v>
      </c>
      <c r="X70" s="3">
        <v>128.94999999999999</v>
      </c>
      <c r="Y70" s="3">
        <v>100.85</v>
      </c>
      <c r="AA70" s="3">
        <v>9.9499999999999993</v>
      </c>
      <c r="AB70" s="3">
        <v>18.149999999999999</v>
      </c>
      <c r="AC70" s="3">
        <v>128.94999999999999</v>
      </c>
      <c r="AD70" s="1" t="s">
        <v>301</v>
      </c>
      <c r="AE70" s="1" t="s">
        <v>302</v>
      </c>
      <c r="AF70" s="1" t="s">
        <v>39</v>
      </c>
      <c r="AG70" s="1">
        <v>10143669478</v>
      </c>
    </row>
    <row r="71" spans="1:33" x14ac:dyDescent="0.25">
      <c r="A71" s="1" t="str">
        <f>IF(P71="site desktop","Operações","Suporte KCS")</f>
        <v>Operações</v>
      </c>
      <c r="B71" s="1" t="s">
        <v>252</v>
      </c>
      <c r="E71" s="1">
        <v>16307247</v>
      </c>
      <c r="F71" s="1">
        <v>10002951762</v>
      </c>
      <c r="G71" s="2">
        <v>45912.443379629629</v>
      </c>
      <c r="H71" s="1" t="s">
        <v>32</v>
      </c>
      <c r="J71" s="1" t="s">
        <v>297</v>
      </c>
      <c r="K71" s="1" t="s">
        <v>314</v>
      </c>
      <c r="L71" s="1">
        <v>6215718</v>
      </c>
      <c r="M71" s="1" t="s">
        <v>33</v>
      </c>
      <c r="N71" s="1" t="s">
        <v>48</v>
      </c>
      <c r="O71" s="1" t="s">
        <v>300</v>
      </c>
      <c r="P71" s="1" t="s">
        <v>35</v>
      </c>
      <c r="R71" s="1">
        <v>1</v>
      </c>
      <c r="T71" s="2">
        <v>45915.25</v>
      </c>
      <c r="U71" s="2">
        <v>45915.40625</v>
      </c>
      <c r="V71" s="1" t="s">
        <v>36</v>
      </c>
      <c r="W71" s="1" t="s">
        <v>37</v>
      </c>
      <c r="X71" s="3">
        <v>128.94999999999999</v>
      </c>
      <c r="Y71" s="3">
        <v>100.85</v>
      </c>
      <c r="AA71" s="3">
        <v>9.9499999999999993</v>
      </c>
      <c r="AB71" s="3">
        <v>18.149999999999999</v>
      </c>
      <c r="AC71" s="3">
        <v>128.94999999999999</v>
      </c>
      <c r="AD71" s="1" t="s">
        <v>301</v>
      </c>
      <c r="AE71" s="1" t="s">
        <v>302</v>
      </c>
      <c r="AF71" s="1" t="s">
        <v>39</v>
      </c>
      <c r="AG71" s="1">
        <v>10143669233</v>
      </c>
    </row>
    <row r="72" spans="1:33" x14ac:dyDescent="0.25">
      <c r="A72" s="1" t="str">
        <f>IF(P72="site desktop","Operações","Suporte KCS")</f>
        <v>Operações</v>
      </c>
      <c r="B72" s="1" t="s">
        <v>252</v>
      </c>
      <c r="E72" s="1">
        <v>16307512</v>
      </c>
      <c r="F72" s="1">
        <v>10002546214</v>
      </c>
      <c r="G72" s="2">
        <v>45912.452627314815</v>
      </c>
      <c r="H72" s="1" t="s">
        <v>32</v>
      </c>
      <c r="J72" s="1" t="s">
        <v>297</v>
      </c>
      <c r="K72" s="1" t="s">
        <v>298</v>
      </c>
      <c r="L72" s="1">
        <v>359194862.35919398</v>
      </c>
      <c r="M72" s="1" t="s">
        <v>33</v>
      </c>
      <c r="N72" s="1" t="s">
        <v>74</v>
      </c>
      <c r="O72" s="1" t="s">
        <v>315</v>
      </c>
      <c r="P72" s="1" t="s">
        <v>35</v>
      </c>
      <c r="R72" s="1">
        <v>2</v>
      </c>
      <c r="T72" s="2">
        <v>45917.8125</v>
      </c>
      <c r="U72" s="2">
        <v>45918.256944444445</v>
      </c>
      <c r="V72" s="1" t="s">
        <v>36</v>
      </c>
      <c r="W72" s="1" t="s">
        <v>37</v>
      </c>
      <c r="X72" s="3">
        <v>516.17999999999995</v>
      </c>
      <c r="Y72" s="3">
        <v>418.89</v>
      </c>
      <c r="AA72" s="3">
        <v>21.9</v>
      </c>
      <c r="AB72" s="3">
        <v>75.39</v>
      </c>
      <c r="AC72" s="3">
        <v>516.17999999999995</v>
      </c>
      <c r="AD72" s="1" t="s">
        <v>260</v>
      </c>
      <c r="AE72" s="1" t="s">
        <v>65</v>
      </c>
      <c r="AF72" s="1" t="s">
        <v>39</v>
      </c>
      <c r="AG72" s="1" t="s">
        <v>316</v>
      </c>
    </row>
    <row r="73" spans="1:33" x14ac:dyDescent="0.25">
      <c r="A73" s="1" t="str">
        <f>IF(P73="site desktop","Operações","Suporte KCS")</f>
        <v>Operações</v>
      </c>
      <c r="B73" s="1" t="s">
        <v>252</v>
      </c>
      <c r="E73" s="1">
        <v>16307700</v>
      </c>
      <c r="F73" s="1">
        <v>10002546235</v>
      </c>
      <c r="G73" s="2">
        <v>45912.460115740738</v>
      </c>
      <c r="H73" s="1" t="s">
        <v>32</v>
      </c>
      <c r="J73" s="1" t="s">
        <v>297</v>
      </c>
      <c r="K73" s="1" t="s">
        <v>298</v>
      </c>
      <c r="L73" s="1">
        <v>359194862.35919398</v>
      </c>
      <c r="M73" s="1" t="s">
        <v>33</v>
      </c>
      <c r="N73" s="1" t="s">
        <v>74</v>
      </c>
      <c r="O73" s="1" t="s">
        <v>315</v>
      </c>
      <c r="P73" s="1" t="s">
        <v>35</v>
      </c>
      <c r="R73" s="1">
        <v>2</v>
      </c>
      <c r="T73" s="2">
        <v>45929.8125</v>
      </c>
      <c r="U73" s="2">
        <v>45930.25</v>
      </c>
      <c r="V73" s="1" t="s">
        <v>36</v>
      </c>
      <c r="W73" s="1" t="s">
        <v>37</v>
      </c>
      <c r="X73" s="3">
        <v>563.51</v>
      </c>
      <c r="Y73" s="3">
        <v>459</v>
      </c>
      <c r="AA73" s="3">
        <v>21.9</v>
      </c>
      <c r="AB73" s="3">
        <v>82.61</v>
      </c>
      <c r="AC73" s="3">
        <v>563.51</v>
      </c>
      <c r="AD73" s="1" t="s">
        <v>260</v>
      </c>
      <c r="AE73" s="1" t="s">
        <v>65</v>
      </c>
      <c r="AF73" s="1" t="s">
        <v>39</v>
      </c>
      <c r="AG73" s="1" t="s">
        <v>317</v>
      </c>
    </row>
    <row r="74" spans="1:33" x14ac:dyDescent="0.25">
      <c r="A74" s="1" t="str">
        <f>IF(P74="site desktop","Operações","Suporte KCS")</f>
        <v>Operações</v>
      </c>
      <c r="B74" s="1" t="s">
        <v>252</v>
      </c>
      <c r="E74" s="1">
        <v>16308897</v>
      </c>
      <c r="F74" s="1" t="s">
        <v>403</v>
      </c>
      <c r="G74" s="2">
        <v>45912.512175925927</v>
      </c>
      <c r="H74" s="1" t="s">
        <v>32</v>
      </c>
      <c r="J74" s="1" t="s">
        <v>318</v>
      </c>
      <c r="K74" s="1" t="s">
        <v>319</v>
      </c>
      <c r="L74" s="1">
        <v>259502625.25950199</v>
      </c>
      <c r="M74" s="1" t="s">
        <v>47</v>
      </c>
      <c r="N74" s="1" t="s">
        <v>34</v>
      </c>
      <c r="O74" s="1" t="s">
        <v>79</v>
      </c>
      <c r="P74" s="1" t="s">
        <v>35</v>
      </c>
      <c r="R74" s="1">
        <v>2</v>
      </c>
      <c r="T74" s="2">
        <v>45957.819444444445</v>
      </c>
      <c r="U74" s="2">
        <v>45957.875</v>
      </c>
      <c r="V74" s="1" t="s">
        <v>36</v>
      </c>
      <c r="W74" s="1" t="s">
        <v>37</v>
      </c>
      <c r="X74" s="3">
        <v>159.13999999999999</v>
      </c>
      <c r="Y74" s="3">
        <v>112.2</v>
      </c>
      <c r="AA74" s="3">
        <v>19.899999999999999</v>
      </c>
      <c r="AB74" s="3">
        <v>27.04</v>
      </c>
      <c r="AC74" s="3">
        <v>159.13999999999999</v>
      </c>
      <c r="AD74" s="1" t="s">
        <v>88</v>
      </c>
      <c r="AE74" s="1" t="s">
        <v>65</v>
      </c>
      <c r="AF74" s="1" t="s">
        <v>57</v>
      </c>
      <c r="AG74" s="1" t="s">
        <v>320</v>
      </c>
    </row>
    <row r="75" spans="1:33" x14ac:dyDescent="0.25">
      <c r="A75" s="1" t="str">
        <f>IF(P75="site desktop","Operações","Suporte KCS")</f>
        <v>Operações</v>
      </c>
      <c r="B75" s="1" t="s">
        <v>253</v>
      </c>
      <c r="E75" s="1">
        <v>16308915</v>
      </c>
      <c r="F75" s="1" t="s">
        <v>321</v>
      </c>
      <c r="G75" s="2">
        <v>45912.513136574074</v>
      </c>
      <c r="H75" s="1" t="s">
        <v>32</v>
      </c>
      <c r="J75" s="1" t="s">
        <v>262</v>
      </c>
      <c r="K75" s="1" t="s">
        <v>322</v>
      </c>
      <c r="L75" s="1">
        <v>2621163</v>
      </c>
      <c r="M75" s="1" t="s">
        <v>47</v>
      </c>
      <c r="N75" s="1" t="s">
        <v>74</v>
      </c>
      <c r="O75" s="1" t="s">
        <v>323</v>
      </c>
      <c r="P75" s="1" t="s">
        <v>35</v>
      </c>
      <c r="R75" s="1">
        <v>1</v>
      </c>
      <c r="T75" s="2">
        <v>45915.375</v>
      </c>
      <c r="U75" s="2">
        <v>45915.993055555555</v>
      </c>
      <c r="V75" s="1" t="s">
        <v>36</v>
      </c>
      <c r="W75" s="1" t="s">
        <v>37</v>
      </c>
      <c r="X75" s="3">
        <v>359.32</v>
      </c>
      <c r="Y75" s="3">
        <v>282.97000000000003</v>
      </c>
      <c r="AA75" s="3">
        <v>9.9499999999999993</v>
      </c>
      <c r="AB75" s="3">
        <v>66.400000000000006</v>
      </c>
      <c r="AC75" s="3">
        <v>359.32</v>
      </c>
      <c r="AD75" s="1" t="s">
        <v>64</v>
      </c>
      <c r="AE75" s="1" t="s">
        <v>60</v>
      </c>
      <c r="AF75" s="1" t="s">
        <v>39</v>
      </c>
      <c r="AG75" s="1">
        <v>10143670436</v>
      </c>
    </row>
    <row r="76" spans="1:33" x14ac:dyDescent="0.25">
      <c r="A76" s="1" t="str">
        <f>IF(P76="site desktop","Operações","Suporte KCS")</f>
        <v>Operações</v>
      </c>
      <c r="B76" s="1" t="s">
        <v>252</v>
      </c>
      <c r="E76" s="1">
        <v>16313260</v>
      </c>
      <c r="F76" s="1" t="s">
        <v>404</v>
      </c>
      <c r="G76" s="2">
        <v>45912.68540509259</v>
      </c>
      <c r="H76" s="1" t="s">
        <v>32</v>
      </c>
      <c r="J76" s="1" t="s">
        <v>66</v>
      </c>
      <c r="K76" s="1" t="s">
        <v>324</v>
      </c>
      <c r="L76" s="1">
        <v>7099807732.70998</v>
      </c>
      <c r="M76" s="1" t="s">
        <v>33</v>
      </c>
      <c r="N76" s="1" t="s">
        <v>34</v>
      </c>
      <c r="O76" s="1" t="s">
        <v>325</v>
      </c>
      <c r="P76" s="1" t="s">
        <v>35</v>
      </c>
      <c r="Q76" s="1" t="s">
        <v>69</v>
      </c>
      <c r="R76" s="1">
        <v>2</v>
      </c>
      <c r="T76" s="2">
        <v>45935.354166666664</v>
      </c>
      <c r="U76" s="2">
        <v>45935.541666666664</v>
      </c>
      <c r="V76" s="1" t="s">
        <v>36</v>
      </c>
      <c r="W76" s="1" t="s">
        <v>37</v>
      </c>
      <c r="X76" s="3">
        <v>390.47</v>
      </c>
      <c r="Y76" s="3">
        <v>313.2</v>
      </c>
      <c r="AA76" s="3">
        <v>20.9</v>
      </c>
      <c r="AB76" s="3">
        <v>56.37</v>
      </c>
      <c r="AC76" s="3">
        <v>390.47</v>
      </c>
      <c r="AD76" s="1" t="s">
        <v>326</v>
      </c>
      <c r="AE76" s="1" t="s">
        <v>96</v>
      </c>
      <c r="AF76" s="1" t="s">
        <v>57</v>
      </c>
      <c r="AG76" s="1" t="s">
        <v>327</v>
      </c>
    </row>
    <row r="77" spans="1:33" x14ac:dyDescent="0.25">
      <c r="A77" s="1" t="str">
        <f>IF(P77="site desktop","Operações","Suporte KCS")</f>
        <v>Operações</v>
      </c>
      <c r="B77" s="1" t="s">
        <v>252</v>
      </c>
      <c r="E77" s="1">
        <v>16313544</v>
      </c>
      <c r="F77" s="1" t="s">
        <v>405</v>
      </c>
      <c r="G77" s="2">
        <v>45912.695821759262</v>
      </c>
      <c r="H77" s="1" t="s">
        <v>32</v>
      </c>
      <c r="J77" s="1" t="s">
        <v>66</v>
      </c>
      <c r="K77" s="1" t="s">
        <v>328</v>
      </c>
      <c r="L77" s="1">
        <v>497105433.497105</v>
      </c>
      <c r="M77" s="1" t="s">
        <v>33</v>
      </c>
      <c r="N77" s="1" t="s">
        <v>256</v>
      </c>
      <c r="O77" s="1" t="s">
        <v>329</v>
      </c>
      <c r="P77" s="1" t="s">
        <v>35</v>
      </c>
      <c r="Q77" s="1" t="s">
        <v>69</v>
      </c>
      <c r="R77" s="1">
        <v>2</v>
      </c>
      <c r="T77" s="2">
        <v>45935.465277777781</v>
      </c>
      <c r="U77" s="2">
        <v>45935.795138888891</v>
      </c>
      <c r="V77" s="1" t="s">
        <v>36</v>
      </c>
      <c r="W77" s="1" t="s">
        <v>37</v>
      </c>
      <c r="X77" s="3">
        <v>414.49</v>
      </c>
      <c r="Y77" s="3">
        <v>334.41</v>
      </c>
      <c r="AA77" s="3">
        <v>19.899999999999999</v>
      </c>
      <c r="AB77" s="3">
        <v>60.18</v>
      </c>
      <c r="AC77" s="3">
        <v>414.49</v>
      </c>
      <c r="AD77" s="1" t="s">
        <v>330</v>
      </c>
      <c r="AE77" s="1" t="s">
        <v>266</v>
      </c>
      <c r="AF77" s="1" t="s">
        <v>57</v>
      </c>
      <c r="AG77" s="1" t="s">
        <v>331</v>
      </c>
    </row>
    <row r="78" spans="1:33" x14ac:dyDescent="0.25">
      <c r="A78" s="1" t="str">
        <f>IF(P78="site desktop","Operações","Suporte KCS")</f>
        <v>Operações</v>
      </c>
      <c r="B78" s="1" t="s">
        <v>253</v>
      </c>
      <c r="E78" s="1">
        <v>16315228</v>
      </c>
      <c r="F78" s="1" t="s">
        <v>334</v>
      </c>
      <c r="G78" s="2">
        <v>45912.76222222222</v>
      </c>
      <c r="H78" s="1" t="s">
        <v>32</v>
      </c>
      <c r="J78" s="1" t="s">
        <v>114</v>
      </c>
      <c r="K78" s="1" t="s">
        <v>335</v>
      </c>
      <c r="L78" s="1">
        <v>3303290</v>
      </c>
      <c r="M78" s="1" t="s">
        <v>47</v>
      </c>
      <c r="N78" s="1" t="s">
        <v>34</v>
      </c>
      <c r="O78" s="1" t="s">
        <v>94</v>
      </c>
      <c r="P78" s="1" t="s">
        <v>35</v>
      </c>
      <c r="R78" s="1">
        <v>1</v>
      </c>
      <c r="T78" s="2">
        <v>45913.305555555555</v>
      </c>
      <c r="U78" s="2">
        <v>45913.395833333336</v>
      </c>
      <c r="V78" s="1" t="s">
        <v>36</v>
      </c>
      <c r="W78" s="1" t="s">
        <v>37</v>
      </c>
      <c r="X78" s="3">
        <v>84.36</v>
      </c>
      <c r="Y78" s="3">
        <v>59.99</v>
      </c>
      <c r="AA78" s="3">
        <v>9.9499999999999993</v>
      </c>
      <c r="AB78" s="3">
        <v>14.42</v>
      </c>
      <c r="AC78" s="3">
        <v>84.36</v>
      </c>
      <c r="AD78" s="1" t="s">
        <v>160</v>
      </c>
      <c r="AE78" s="1" t="s">
        <v>118</v>
      </c>
      <c r="AF78" s="1" t="s">
        <v>39</v>
      </c>
      <c r="AG78" s="1">
        <v>10143674753</v>
      </c>
    </row>
    <row r="79" spans="1:33" x14ac:dyDescent="0.25">
      <c r="A79" s="1" t="str">
        <f>IF(P79="site desktop","Operações","Suporte KCS")</f>
        <v>Operações</v>
      </c>
      <c r="B79" s="1" t="s">
        <v>253</v>
      </c>
      <c r="E79" s="1">
        <v>16316699</v>
      </c>
      <c r="F79" s="1">
        <v>1869</v>
      </c>
      <c r="G79" s="2">
        <v>45912.845439814817</v>
      </c>
      <c r="H79" s="1" t="s">
        <v>32</v>
      </c>
      <c r="J79" s="1" t="s">
        <v>114</v>
      </c>
      <c r="K79" s="1" t="s">
        <v>337</v>
      </c>
      <c r="L79" s="1">
        <v>245465828</v>
      </c>
      <c r="M79" s="1" t="s">
        <v>47</v>
      </c>
      <c r="N79" s="1" t="s">
        <v>139</v>
      </c>
      <c r="O79" s="1" t="s">
        <v>140</v>
      </c>
      <c r="P79" s="1" t="s">
        <v>35</v>
      </c>
      <c r="R79" s="1">
        <v>1</v>
      </c>
      <c r="T79" s="2">
        <v>45915.333333333336</v>
      </c>
      <c r="U79" s="2">
        <v>45915.729166666664</v>
      </c>
      <c r="V79" s="1" t="s">
        <v>36</v>
      </c>
      <c r="W79" s="1" t="s">
        <v>37</v>
      </c>
      <c r="X79" s="3">
        <v>320.52999999999997</v>
      </c>
      <c r="Y79" s="3">
        <v>251.51</v>
      </c>
      <c r="AA79" s="3">
        <v>9.9499999999999993</v>
      </c>
      <c r="AB79" s="3">
        <v>59.07</v>
      </c>
      <c r="AC79" s="3">
        <v>320.52999999999997</v>
      </c>
      <c r="AD79" s="1" t="s">
        <v>120</v>
      </c>
      <c r="AE79" s="1" t="s">
        <v>141</v>
      </c>
      <c r="AF79" s="1" t="s">
        <v>39</v>
      </c>
      <c r="AG79" s="1">
        <v>10143675899</v>
      </c>
    </row>
    <row r="80" spans="1:33" x14ac:dyDescent="0.25">
      <c r="A80" s="1" t="str">
        <f>IF(P80="site desktop","Operações","Suporte KCS")</f>
        <v>Operações</v>
      </c>
      <c r="B80" s="1" t="s">
        <v>252</v>
      </c>
      <c r="E80" s="1">
        <v>16335777</v>
      </c>
      <c r="F80" s="1" t="s">
        <v>406</v>
      </c>
      <c r="G80" s="2">
        <v>45915.419560185182</v>
      </c>
      <c r="H80" s="1" t="s">
        <v>32</v>
      </c>
      <c r="J80" s="1" t="s">
        <v>66</v>
      </c>
      <c r="K80" s="1" t="s">
        <v>336</v>
      </c>
      <c r="L80" s="1">
        <v>4103574382.4103498</v>
      </c>
      <c r="M80" s="1" t="s">
        <v>33</v>
      </c>
      <c r="N80" s="1" t="s">
        <v>34</v>
      </c>
      <c r="O80" s="1" t="s">
        <v>325</v>
      </c>
      <c r="P80" s="1" t="s">
        <v>35</v>
      </c>
      <c r="Q80" s="1" t="s">
        <v>69</v>
      </c>
      <c r="R80" s="1">
        <v>2</v>
      </c>
      <c r="T80" s="2">
        <v>45931.642361111109</v>
      </c>
      <c r="U80" s="2">
        <v>45931.767361111109</v>
      </c>
      <c r="V80" s="1" t="s">
        <v>36</v>
      </c>
      <c r="W80" s="1" t="s">
        <v>37</v>
      </c>
      <c r="X80" s="3">
        <v>195.24</v>
      </c>
      <c r="Y80" s="3">
        <v>148.6</v>
      </c>
      <c r="AA80" s="3">
        <v>19.899999999999999</v>
      </c>
      <c r="AB80" s="3">
        <v>26.74</v>
      </c>
      <c r="AC80" s="3">
        <v>195.24</v>
      </c>
      <c r="AD80" s="1" t="s">
        <v>333</v>
      </c>
      <c r="AE80" s="1" t="s">
        <v>294</v>
      </c>
      <c r="AF80" s="1" t="s">
        <v>57</v>
      </c>
      <c r="AG80" s="1" t="s">
        <v>338</v>
      </c>
    </row>
    <row r="81" spans="1:33" x14ac:dyDescent="0.25">
      <c r="A81" s="1" t="str">
        <f>IF(P81="site desktop","Operações","Suporte KCS")</f>
        <v>Operações</v>
      </c>
      <c r="B81" s="1" t="s">
        <v>252</v>
      </c>
      <c r="E81" s="1">
        <v>16335938</v>
      </c>
      <c r="F81" s="1" t="s">
        <v>407</v>
      </c>
      <c r="G81" s="2">
        <v>45915.428194444445</v>
      </c>
      <c r="H81" s="1" t="s">
        <v>32</v>
      </c>
      <c r="J81" s="1" t="s">
        <v>66</v>
      </c>
      <c r="K81" s="1" t="s">
        <v>332</v>
      </c>
      <c r="L81" s="1">
        <v>5109659713.5109596</v>
      </c>
      <c r="M81" s="1" t="s">
        <v>33</v>
      </c>
      <c r="N81" s="1" t="s">
        <v>34</v>
      </c>
      <c r="O81" s="1" t="s">
        <v>325</v>
      </c>
      <c r="P81" s="1" t="s">
        <v>35</v>
      </c>
      <c r="Q81" s="1" t="s">
        <v>69</v>
      </c>
      <c r="R81" s="1">
        <v>2</v>
      </c>
      <c r="T81" s="2">
        <v>45931.642361111109</v>
      </c>
      <c r="U81" s="2">
        <v>45931.767361111109</v>
      </c>
      <c r="V81" s="1" t="s">
        <v>36</v>
      </c>
      <c r="W81" s="1" t="s">
        <v>37</v>
      </c>
      <c r="X81" s="3">
        <v>195.24</v>
      </c>
      <c r="Y81" s="3">
        <v>148.6</v>
      </c>
      <c r="AA81" s="3">
        <v>19.899999999999999</v>
      </c>
      <c r="AB81" s="3">
        <v>26.74</v>
      </c>
      <c r="AC81" s="3">
        <v>195.24</v>
      </c>
      <c r="AD81" s="1" t="s">
        <v>333</v>
      </c>
      <c r="AE81" s="1" t="s">
        <v>294</v>
      </c>
      <c r="AF81" s="1" t="s">
        <v>57</v>
      </c>
      <c r="AG81" s="1" t="s">
        <v>339</v>
      </c>
    </row>
    <row r="82" spans="1:33" x14ac:dyDescent="0.25">
      <c r="A82" s="1" t="str">
        <f>IF(P82="site desktop","Operações","Suporte KCS")</f>
        <v>Operações</v>
      </c>
      <c r="B82" s="1" t="s">
        <v>253</v>
      </c>
      <c r="E82" s="1">
        <v>16337614</v>
      </c>
      <c r="F82" s="1">
        <v>10291757352</v>
      </c>
      <c r="G82" s="2">
        <v>45915.497847222221</v>
      </c>
      <c r="H82" s="1" t="s">
        <v>32</v>
      </c>
      <c r="J82" s="1" t="s">
        <v>262</v>
      </c>
      <c r="K82" s="1" t="s">
        <v>340</v>
      </c>
      <c r="L82" s="1">
        <v>23275094</v>
      </c>
      <c r="M82" s="1" t="s">
        <v>47</v>
      </c>
      <c r="N82" s="1" t="s">
        <v>74</v>
      </c>
      <c r="O82" s="1" t="s">
        <v>195</v>
      </c>
      <c r="P82" s="1" t="s">
        <v>35</v>
      </c>
      <c r="R82" s="1">
        <v>1</v>
      </c>
      <c r="T82" s="2">
        <v>45915.541666666664</v>
      </c>
      <c r="U82" s="2">
        <v>45915.736111111109</v>
      </c>
      <c r="V82" s="1" t="s">
        <v>36</v>
      </c>
      <c r="W82" s="1" t="s">
        <v>37</v>
      </c>
      <c r="X82" s="3">
        <v>203.49</v>
      </c>
      <c r="Y82" s="3">
        <v>156.6</v>
      </c>
      <c r="AA82" s="3">
        <v>9.9499999999999993</v>
      </c>
      <c r="AB82" s="3">
        <v>36.94</v>
      </c>
      <c r="AC82" s="3">
        <v>203.49</v>
      </c>
      <c r="AD82" s="1" t="s">
        <v>70</v>
      </c>
      <c r="AE82" s="1" t="s">
        <v>71</v>
      </c>
      <c r="AF82" s="1" t="s">
        <v>39</v>
      </c>
      <c r="AG82" s="1">
        <v>10143696336</v>
      </c>
    </row>
    <row r="83" spans="1:33" x14ac:dyDescent="0.25">
      <c r="A83" s="1" t="str">
        <f>IF(P83="site desktop","Operações","Suporte KCS")</f>
        <v>Operações</v>
      </c>
      <c r="B83" s="1" t="s">
        <v>253</v>
      </c>
      <c r="E83" s="1">
        <v>16338376</v>
      </c>
      <c r="F83" s="1" t="s">
        <v>408</v>
      </c>
      <c r="G83" s="2">
        <v>45915.535393518519</v>
      </c>
      <c r="H83" s="1" t="s">
        <v>32</v>
      </c>
      <c r="J83" s="1" t="s">
        <v>341</v>
      </c>
      <c r="K83" s="1" t="s">
        <v>342</v>
      </c>
      <c r="L83" s="1">
        <v>128083719992.12801</v>
      </c>
      <c r="M83" s="1" t="s">
        <v>33</v>
      </c>
      <c r="N83" s="1" t="s">
        <v>343</v>
      </c>
      <c r="O83" s="1" t="s">
        <v>344</v>
      </c>
      <c r="P83" s="1" t="s">
        <v>35</v>
      </c>
      <c r="R83" s="1">
        <v>2</v>
      </c>
      <c r="T83" s="2">
        <v>45941.895833333336</v>
      </c>
      <c r="U83" s="2">
        <v>45942.215277777781</v>
      </c>
      <c r="V83" s="1" t="s">
        <v>36</v>
      </c>
      <c r="W83" s="1" t="s">
        <v>37</v>
      </c>
      <c r="X83" s="3">
        <v>367.41</v>
      </c>
      <c r="Y83" s="3">
        <v>293.66000000000003</v>
      </c>
      <c r="AA83" s="3">
        <v>20.9</v>
      </c>
      <c r="AB83" s="3">
        <v>52.85</v>
      </c>
      <c r="AC83" s="3">
        <v>367.41</v>
      </c>
      <c r="AD83" s="1" t="s">
        <v>276</v>
      </c>
      <c r="AE83" s="1" t="s">
        <v>277</v>
      </c>
      <c r="AF83" s="1" t="s">
        <v>57</v>
      </c>
      <c r="AG83" s="1" t="s">
        <v>345</v>
      </c>
    </row>
    <row r="84" spans="1:33" x14ac:dyDescent="0.25">
      <c r="A84" s="1" t="str">
        <f>IF(P84="site desktop","Operações","Suporte KCS")</f>
        <v>Operações</v>
      </c>
      <c r="B84" s="1" t="s">
        <v>252</v>
      </c>
      <c r="E84" s="1">
        <v>16339614</v>
      </c>
      <c r="F84" s="1" t="s">
        <v>409</v>
      </c>
      <c r="G84" s="2">
        <v>45915.593495370369</v>
      </c>
      <c r="H84" s="1" t="s">
        <v>32</v>
      </c>
      <c r="J84" s="1" t="s">
        <v>66</v>
      </c>
      <c r="K84" s="1" t="s">
        <v>346</v>
      </c>
      <c r="L84" s="1">
        <v>556569593.55656898</v>
      </c>
      <c r="M84" s="1" t="s">
        <v>33</v>
      </c>
      <c r="N84" s="1" t="s">
        <v>74</v>
      </c>
      <c r="O84" s="1" t="s">
        <v>347</v>
      </c>
      <c r="P84" s="1" t="s">
        <v>35</v>
      </c>
      <c r="Q84" s="1" t="s">
        <v>69</v>
      </c>
      <c r="R84" s="1">
        <v>2</v>
      </c>
      <c r="T84" s="2">
        <v>45918.25</v>
      </c>
      <c r="U84" s="2">
        <v>45918.315972222219</v>
      </c>
      <c r="V84" s="1" t="s">
        <v>36</v>
      </c>
      <c r="W84" s="1" t="s">
        <v>37</v>
      </c>
      <c r="X84" s="3">
        <v>152.05000000000001</v>
      </c>
      <c r="Y84" s="3">
        <v>112</v>
      </c>
      <c r="AA84" s="3">
        <v>19.899999999999999</v>
      </c>
      <c r="AB84" s="3">
        <v>20.149999999999999</v>
      </c>
      <c r="AC84" s="3">
        <v>152.05000000000001</v>
      </c>
      <c r="AD84" s="1" t="s">
        <v>348</v>
      </c>
      <c r="AE84" s="1" t="s">
        <v>268</v>
      </c>
      <c r="AF84" s="1" t="s">
        <v>39</v>
      </c>
      <c r="AG84" s="1" t="s">
        <v>349</v>
      </c>
    </row>
    <row r="85" spans="1:33" x14ac:dyDescent="0.25">
      <c r="A85" s="1" t="str">
        <f>IF(P85="site desktop","Operações","Suporte KCS")</f>
        <v>Operações</v>
      </c>
      <c r="B85" s="1" t="s">
        <v>253</v>
      </c>
      <c r="E85" s="1">
        <v>16339913</v>
      </c>
      <c r="F85" s="1" t="s">
        <v>350</v>
      </c>
      <c r="G85" s="2">
        <v>45915.604722222219</v>
      </c>
      <c r="H85" s="1" t="s">
        <v>32</v>
      </c>
      <c r="J85" s="1" t="s">
        <v>114</v>
      </c>
      <c r="K85" s="1" t="s">
        <v>351</v>
      </c>
      <c r="L85" s="1">
        <v>6439234</v>
      </c>
      <c r="M85" s="1" t="s">
        <v>47</v>
      </c>
      <c r="N85" s="1" t="s">
        <v>62</v>
      </c>
      <c r="O85" s="1" t="s">
        <v>63</v>
      </c>
      <c r="P85" s="1" t="s">
        <v>35</v>
      </c>
      <c r="R85" s="1">
        <v>1</v>
      </c>
      <c r="T85" s="2">
        <v>45916.291666666664</v>
      </c>
      <c r="U85" s="2">
        <v>45916.458333333336</v>
      </c>
      <c r="V85" s="1" t="s">
        <v>36</v>
      </c>
      <c r="W85" s="1" t="s">
        <v>37</v>
      </c>
      <c r="X85" s="3">
        <v>96.69</v>
      </c>
      <c r="Y85" s="3">
        <v>69.989999999999995</v>
      </c>
      <c r="AA85" s="3">
        <v>9.9499999999999993</v>
      </c>
      <c r="AB85" s="3">
        <v>16.75</v>
      </c>
      <c r="AC85" s="3">
        <v>96.69</v>
      </c>
      <c r="AD85" s="1" t="s">
        <v>64</v>
      </c>
      <c r="AE85" s="1" t="s">
        <v>146</v>
      </c>
      <c r="AF85" s="1" t="s">
        <v>39</v>
      </c>
      <c r="AG85" s="1">
        <v>10143697900</v>
      </c>
    </row>
    <row r="86" spans="1:33" x14ac:dyDescent="0.25">
      <c r="A86" s="1" t="str">
        <f>IF(P86="site desktop","Operações","Suporte KCS")</f>
        <v>Operações</v>
      </c>
      <c r="B86" s="1" t="s">
        <v>253</v>
      </c>
      <c r="E86" s="1">
        <v>16343709</v>
      </c>
      <c r="F86" s="1" t="s">
        <v>352</v>
      </c>
      <c r="G86" s="2">
        <v>45915.757824074077</v>
      </c>
      <c r="H86" s="1" t="s">
        <v>32</v>
      </c>
      <c r="J86" s="1" t="s">
        <v>262</v>
      </c>
      <c r="K86" s="1" t="s">
        <v>353</v>
      </c>
      <c r="L86" s="1">
        <v>47146542013</v>
      </c>
      <c r="M86" s="1" t="s">
        <v>47</v>
      </c>
      <c r="N86" s="1" t="s">
        <v>74</v>
      </c>
      <c r="O86" s="1" t="s">
        <v>275</v>
      </c>
      <c r="P86" s="1" t="s">
        <v>35</v>
      </c>
      <c r="R86" s="1">
        <v>1</v>
      </c>
      <c r="T86" s="2">
        <v>45916.25</v>
      </c>
      <c r="U86" s="2">
        <v>45916.881944444445</v>
      </c>
      <c r="V86" s="1" t="s">
        <v>36</v>
      </c>
      <c r="W86" s="1" t="s">
        <v>37</v>
      </c>
      <c r="X86" s="3">
        <v>308.81</v>
      </c>
      <c r="Y86" s="3">
        <v>242</v>
      </c>
      <c r="AA86" s="3">
        <v>9.9499999999999993</v>
      </c>
      <c r="AB86" s="3">
        <v>56.86</v>
      </c>
      <c r="AC86" s="3">
        <v>308.81</v>
      </c>
      <c r="AD86" s="1" t="s">
        <v>354</v>
      </c>
      <c r="AE86" s="1" t="s">
        <v>276</v>
      </c>
      <c r="AF86" s="1" t="s">
        <v>39</v>
      </c>
      <c r="AG86" s="1">
        <v>10143700148</v>
      </c>
    </row>
    <row r="87" spans="1:33" x14ac:dyDescent="0.25">
      <c r="A87" s="1" t="str">
        <f>IF(P87="site desktop","Operações","Suporte KCS")</f>
        <v>Operações</v>
      </c>
      <c r="B87" s="1" t="s">
        <v>253</v>
      </c>
      <c r="E87" s="1">
        <v>16343816</v>
      </c>
      <c r="F87" s="1" t="s">
        <v>410</v>
      </c>
      <c r="G87" s="2">
        <v>45915.763368055559</v>
      </c>
      <c r="H87" s="1" t="s">
        <v>32</v>
      </c>
      <c r="J87" s="1" t="s">
        <v>262</v>
      </c>
      <c r="K87" s="1" t="s">
        <v>355</v>
      </c>
      <c r="L87" s="1">
        <v>373666373.37366599</v>
      </c>
      <c r="M87" s="1" t="s">
        <v>47</v>
      </c>
      <c r="N87" s="1" t="s">
        <v>48</v>
      </c>
      <c r="O87" s="1" t="s">
        <v>167</v>
      </c>
      <c r="P87" s="1" t="s">
        <v>35</v>
      </c>
      <c r="R87" s="1">
        <v>2</v>
      </c>
      <c r="T87" s="2">
        <v>45916.291666666664</v>
      </c>
      <c r="U87" s="2">
        <v>45916.652777777781</v>
      </c>
      <c r="V87" s="1" t="s">
        <v>36</v>
      </c>
      <c r="W87" s="1" t="s">
        <v>37</v>
      </c>
      <c r="X87" s="3">
        <v>527.87</v>
      </c>
      <c r="Y87" s="3">
        <v>410.38</v>
      </c>
      <c r="AA87" s="3">
        <v>20.9</v>
      </c>
      <c r="AB87" s="3">
        <v>96.59</v>
      </c>
      <c r="AC87" s="3">
        <v>527.87</v>
      </c>
      <c r="AD87" s="1" t="s">
        <v>85</v>
      </c>
      <c r="AE87" s="1" t="s">
        <v>289</v>
      </c>
      <c r="AF87" s="1" t="s">
        <v>57</v>
      </c>
      <c r="AG87" s="1" t="s">
        <v>356</v>
      </c>
    </row>
    <row r="88" spans="1:33" x14ac:dyDescent="0.25">
      <c r="A88" s="1" t="str">
        <f>IF(P88="site desktop","Operações","Suporte KCS")</f>
        <v>Operações</v>
      </c>
      <c r="B88" s="1" t="s">
        <v>252</v>
      </c>
      <c r="E88" s="1">
        <v>16344011</v>
      </c>
      <c r="F88" s="1" t="s">
        <v>411</v>
      </c>
      <c r="G88" s="2">
        <v>45915.77553240741</v>
      </c>
      <c r="H88" s="1" t="s">
        <v>32</v>
      </c>
      <c r="J88" s="1" t="s">
        <v>61</v>
      </c>
      <c r="K88" s="1" t="s">
        <v>357</v>
      </c>
      <c r="L88" s="1">
        <v>3697031.3697031001</v>
      </c>
      <c r="M88" s="1" t="s">
        <v>33</v>
      </c>
      <c r="N88" s="1" t="s">
        <v>358</v>
      </c>
      <c r="O88" s="1" t="s">
        <v>359</v>
      </c>
      <c r="P88" s="1" t="s">
        <v>35</v>
      </c>
      <c r="R88" s="1">
        <v>2</v>
      </c>
      <c r="T88" s="2">
        <v>45922.292361111111</v>
      </c>
      <c r="U88" s="2">
        <v>45922.625694444447</v>
      </c>
      <c r="V88" s="1" t="s">
        <v>36</v>
      </c>
      <c r="W88" s="1" t="s">
        <v>37</v>
      </c>
      <c r="X88" s="3">
        <v>418.48</v>
      </c>
      <c r="Y88" s="3">
        <v>337.79</v>
      </c>
      <c r="AA88" s="3">
        <v>19.899999999999999</v>
      </c>
      <c r="AB88" s="3">
        <v>60.79</v>
      </c>
      <c r="AC88" s="3">
        <v>418.48</v>
      </c>
      <c r="AD88" s="1" t="s">
        <v>360</v>
      </c>
      <c r="AE88" s="1" t="s">
        <v>361</v>
      </c>
      <c r="AF88" s="1" t="s">
        <v>57</v>
      </c>
      <c r="AG88" s="1" t="s">
        <v>362</v>
      </c>
    </row>
    <row r="89" spans="1:33" x14ac:dyDescent="0.25">
      <c r="A89" s="1" t="str">
        <f>IF(P89="site desktop","Operações","Suporte KCS")</f>
        <v>Operações</v>
      </c>
      <c r="B89" s="1" t="s">
        <v>253</v>
      </c>
      <c r="E89" s="1">
        <v>16346346</v>
      </c>
      <c r="F89" s="1">
        <v>10018977420</v>
      </c>
      <c r="G89" s="2">
        <v>45915.968113425923</v>
      </c>
      <c r="H89" s="1" t="s">
        <v>32</v>
      </c>
      <c r="J89" s="1" t="s">
        <v>59</v>
      </c>
      <c r="K89" s="1" t="s">
        <v>364</v>
      </c>
      <c r="L89" s="1">
        <v>430799937</v>
      </c>
      <c r="M89" s="1" t="s">
        <v>33</v>
      </c>
      <c r="N89" s="1" t="s">
        <v>48</v>
      </c>
      <c r="O89" s="1" t="s">
        <v>363</v>
      </c>
      <c r="P89" s="1" t="s">
        <v>35</v>
      </c>
      <c r="R89" s="1">
        <v>1</v>
      </c>
      <c r="T89" s="2">
        <v>45916.479166666664</v>
      </c>
      <c r="U89" s="2">
        <v>45916.541666666664</v>
      </c>
      <c r="V89" s="1" t="s">
        <v>36</v>
      </c>
      <c r="W89" s="1" t="s">
        <v>37</v>
      </c>
      <c r="X89" s="3">
        <v>68.150000000000006</v>
      </c>
      <c r="Y89" s="3">
        <v>49.33</v>
      </c>
      <c r="AA89" s="3">
        <v>9.9499999999999993</v>
      </c>
      <c r="AB89" s="3">
        <v>8.8699999999999992</v>
      </c>
      <c r="AC89" s="3">
        <v>68.150000000000006</v>
      </c>
      <c r="AD89" s="1" t="s">
        <v>348</v>
      </c>
      <c r="AE89" s="1" t="s">
        <v>268</v>
      </c>
      <c r="AF89" s="1" t="s">
        <v>39</v>
      </c>
      <c r="AG89" s="1">
        <v>10143701841</v>
      </c>
    </row>
    <row r="90" spans="1:33" x14ac:dyDescent="0.25">
      <c r="A90" s="1" t="str">
        <f>IF(P90="site desktop","Operações","Suporte KCS")</f>
        <v>Operações</v>
      </c>
      <c r="B90" s="1" t="s">
        <v>252</v>
      </c>
      <c r="E90" s="1">
        <v>16351298</v>
      </c>
      <c r="F90" s="1" t="s">
        <v>412</v>
      </c>
      <c r="G90" s="2">
        <v>45916.561365740738</v>
      </c>
      <c r="H90" s="1" t="s">
        <v>32</v>
      </c>
      <c r="J90" s="1" t="s">
        <v>66</v>
      </c>
      <c r="K90" s="1" t="s">
        <v>365</v>
      </c>
      <c r="L90" s="1">
        <v>471942613.47194201</v>
      </c>
      <c r="M90" s="1" t="s">
        <v>33</v>
      </c>
      <c r="N90" s="1" t="s">
        <v>256</v>
      </c>
      <c r="O90" s="1" t="s">
        <v>267</v>
      </c>
      <c r="P90" s="1" t="s">
        <v>35</v>
      </c>
      <c r="Q90" s="1" t="s">
        <v>69</v>
      </c>
      <c r="R90" s="1">
        <v>2</v>
      </c>
      <c r="T90" s="2">
        <v>45923.298611111109</v>
      </c>
      <c r="U90" s="2">
        <v>45923.354166666664</v>
      </c>
      <c r="V90" s="1" t="s">
        <v>36</v>
      </c>
      <c r="W90" s="1" t="s">
        <v>37</v>
      </c>
      <c r="X90" s="3">
        <v>124.2</v>
      </c>
      <c r="Y90" s="3">
        <v>88.4</v>
      </c>
      <c r="AA90" s="3">
        <v>19.899999999999999</v>
      </c>
      <c r="AB90" s="3">
        <v>15.9</v>
      </c>
      <c r="AC90" s="3">
        <v>124.2</v>
      </c>
      <c r="AD90" s="1" t="s">
        <v>269</v>
      </c>
      <c r="AE90" s="1" t="s">
        <v>268</v>
      </c>
      <c r="AF90" s="1" t="s">
        <v>57</v>
      </c>
      <c r="AG90" s="1" t="s">
        <v>366</v>
      </c>
    </row>
    <row r="91" spans="1:33" x14ac:dyDescent="0.25">
      <c r="A91" s="1" t="str">
        <f>IF(P91="site desktop","Operações","Suporte KCS")</f>
        <v>Operações</v>
      </c>
      <c r="B91" s="1" t="s">
        <v>252</v>
      </c>
      <c r="E91" s="1">
        <v>16352870</v>
      </c>
      <c r="F91" s="1" t="s">
        <v>413</v>
      </c>
      <c r="G91" s="2">
        <v>45916.637650462966</v>
      </c>
      <c r="H91" s="1" t="s">
        <v>32</v>
      </c>
      <c r="J91" s="1" t="s">
        <v>61</v>
      </c>
      <c r="K91" s="1" t="s">
        <v>367</v>
      </c>
      <c r="L91" s="1">
        <v>2255658.2255658</v>
      </c>
      <c r="M91" s="1" t="s">
        <v>33</v>
      </c>
      <c r="N91" s="1" t="s">
        <v>74</v>
      </c>
      <c r="O91" s="1" t="s">
        <v>149</v>
      </c>
      <c r="P91" s="1" t="s">
        <v>35</v>
      </c>
      <c r="R91" s="1">
        <v>2</v>
      </c>
      <c r="T91" s="2">
        <v>45918.8125</v>
      </c>
      <c r="U91" s="2">
        <v>45919.173611111109</v>
      </c>
      <c r="V91" s="1" t="s">
        <v>36</v>
      </c>
      <c r="W91" s="1" t="s">
        <v>37</v>
      </c>
      <c r="X91" s="3">
        <v>738.79</v>
      </c>
      <c r="Y91" s="3">
        <v>615.98</v>
      </c>
      <c r="AA91" s="3">
        <v>11.95</v>
      </c>
      <c r="AB91" s="3">
        <v>110.86</v>
      </c>
      <c r="AC91" s="3">
        <v>738.79</v>
      </c>
      <c r="AD91" s="1" t="s">
        <v>368</v>
      </c>
      <c r="AE91" s="1" t="s">
        <v>369</v>
      </c>
      <c r="AF91" s="1" t="s">
        <v>39</v>
      </c>
      <c r="AG91" s="1">
        <v>10143705880</v>
      </c>
    </row>
    <row r="92" spans="1:33" x14ac:dyDescent="0.25">
      <c r="A92" s="1" t="str">
        <f>IF(P92="site desktop","Operações","Suporte KCS")</f>
        <v>Operações</v>
      </c>
      <c r="B92" s="1" t="s">
        <v>252</v>
      </c>
      <c r="E92" s="1">
        <v>16354600</v>
      </c>
      <c r="F92" s="1">
        <v>10291909438</v>
      </c>
      <c r="G92" s="2">
        <v>45916.714247685188</v>
      </c>
      <c r="H92" s="1" t="s">
        <v>32</v>
      </c>
      <c r="J92" s="1" t="s">
        <v>61</v>
      </c>
      <c r="K92" s="1" t="s">
        <v>254</v>
      </c>
      <c r="L92" s="1">
        <v>14660632</v>
      </c>
      <c r="M92" s="1" t="s">
        <v>33</v>
      </c>
      <c r="N92" s="1" t="s">
        <v>256</v>
      </c>
      <c r="O92" s="1" t="s">
        <v>257</v>
      </c>
      <c r="P92" s="1" t="s">
        <v>35</v>
      </c>
      <c r="R92" s="1">
        <v>1</v>
      </c>
      <c r="T92" s="2">
        <v>45925.291666666664</v>
      </c>
      <c r="U92" s="2">
        <v>45925.958333333336</v>
      </c>
      <c r="V92" s="1" t="s">
        <v>36</v>
      </c>
      <c r="W92" s="1" t="s">
        <v>37</v>
      </c>
      <c r="X92" s="3">
        <v>473.34</v>
      </c>
      <c r="Y92" s="3">
        <v>392.71</v>
      </c>
      <c r="AA92" s="3">
        <v>9.9499999999999993</v>
      </c>
      <c r="AB92" s="3">
        <v>70.680000000000007</v>
      </c>
      <c r="AC92" s="3">
        <v>473.34</v>
      </c>
      <c r="AD92" s="1" t="s">
        <v>64</v>
      </c>
      <c r="AE92" s="1" t="s">
        <v>65</v>
      </c>
      <c r="AF92" s="1" t="s">
        <v>39</v>
      </c>
      <c r="AG92" s="1">
        <v>10143707141</v>
      </c>
    </row>
    <row r="93" spans="1:33" x14ac:dyDescent="0.25">
      <c r="A93" s="1" t="str">
        <f>IF(P93="site desktop","Operações","Suporte KCS")</f>
        <v>Operações</v>
      </c>
      <c r="B93" s="1" t="s">
        <v>252</v>
      </c>
      <c r="E93" s="1">
        <v>16354722</v>
      </c>
      <c r="F93" s="1">
        <v>10291908789</v>
      </c>
      <c r="G93" s="2">
        <v>45916.720081018517</v>
      </c>
      <c r="H93" s="1" t="s">
        <v>32</v>
      </c>
      <c r="J93" s="1" t="s">
        <v>61</v>
      </c>
      <c r="K93" s="1" t="s">
        <v>254</v>
      </c>
      <c r="L93" s="1">
        <v>14660632</v>
      </c>
      <c r="M93" s="1" t="s">
        <v>33</v>
      </c>
      <c r="N93" s="1" t="s">
        <v>256</v>
      </c>
      <c r="O93" s="1" t="s">
        <v>257</v>
      </c>
      <c r="P93" s="1" t="s">
        <v>35</v>
      </c>
      <c r="R93" s="1">
        <v>1</v>
      </c>
      <c r="T93" s="2">
        <v>45926.333333333336</v>
      </c>
      <c r="U93" s="2">
        <v>45926.556250000001</v>
      </c>
      <c r="V93" s="1" t="s">
        <v>36</v>
      </c>
      <c r="W93" s="1" t="s">
        <v>37</v>
      </c>
      <c r="X93" s="3">
        <v>425.03</v>
      </c>
      <c r="Y93" s="3">
        <v>351.77</v>
      </c>
      <c r="AA93" s="3">
        <v>9.9499999999999993</v>
      </c>
      <c r="AB93" s="3">
        <v>63.31</v>
      </c>
      <c r="AC93" s="3">
        <v>425.03</v>
      </c>
      <c r="AD93" s="1" t="s">
        <v>65</v>
      </c>
      <c r="AE93" s="1" t="s">
        <v>258</v>
      </c>
      <c r="AF93" s="1" t="s">
        <v>39</v>
      </c>
      <c r="AG93" s="1">
        <v>10143707099</v>
      </c>
    </row>
    <row r="94" spans="1:33" x14ac:dyDescent="0.25">
      <c r="A94" s="1" t="str">
        <f>IF(P94="site desktop","Operações","Suporte KCS")</f>
        <v>Operações</v>
      </c>
      <c r="B94" s="1" t="s">
        <v>252</v>
      </c>
      <c r="E94" s="1">
        <v>16354839</v>
      </c>
      <c r="F94" s="1" t="s">
        <v>414</v>
      </c>
      <c r="G94" s="2">
        <v>45916.724965277775</v>
      </c>
      <c r="H94" s="1" t="s">
        <v>32</v>
      </c>
      <c r="J94" s="1" t="s">
        <v>61</v>
      </c>
      <c r="K94" s="1" t="s">
        <v>370</v>
      </c>
      <c r="L94" s="1">
        <v>19973993.199739899</v>
      </c>
      <c r="M94" s="1" t="s">
        <v>33</v>
      </c>
      <c r="N94" s="1" t="s">
        <v>48</v>
      </c>
      <c r="O94" s="1" t="s">
        <v>371</v>
      </c>
      <c r="P94" s="1" t="s">
        <v>35</v>
      </c>
      <c r="R94" s="1">
        <v>2</v>
      </c>
      <c r="T94" s="2">
        <v>45984.673611111109</v>
      </c>
      <c r="U94" s="2">
        <v>45984.809027777781</v>
      </c>
      <c r="V94" s="1" t="s">
        <v>36</v>
      </c>
      <c r="W94" s="1" t="s">
        <v>37</v>
      </c>
      <c r="X94" s="3">
        <v>177.1</v>
      </c>
      <c r="Y94" s="3">
        <v>133.22999999999999</v>
      </c>
      <c r="AA94" s="3">
        <v>19.899999999999999</v>
      </c>
      <c r="AB94" s="3">
        <v>23.97</v>
      </c>
      <c r="AC94" s="3">
        <v>177.1</v>
      </c>
      <c r="AD94" s="1" t="s">
        <v>372</v>
      </c>
      <c r="AE94" s="1" t="s">
        <v>373</v>
      </c>
      <c r="AF94" s="1" t="s">
        <v>57</v>
      </c>
      <c r="AG94" s="1" t="s">
        <v>374</v>
      </c>
    </row>
    <row r="95" spans="1:33" x14ac:dyDescent="0.25">
      <c r="A95" s="1" t="str">
        <f>IF(P95="site desktop","Operações","Suporte KCS")</f>
        <v>Operações</v>
      </c>
      <c r="B95" s="1" t="s">
        <v>252</v>
      </c>
      <c r="E95" s="1">
        <v>16355666</v>
      </c>
      <c r="F95" s="1">
        <v>10002960224</v>
      </c>
      <c r="G95" s="2">
        <v>45916.764467592591</v>
      </c>
      <c r="H95" s="1" t="s">
        <v>32</v>
      </c>
      <c r="J95" s="1" t="s">
        <v>375</v>
      </c>
      <c r="K95" s="1" t="s">
        <v>376</v>
      </c>
      <c r="L95" s="1">
        <v>352115610</v>
      </c>
      <c r="M95" s="1" t="s">
        <v>33</v>
      </c>
      <c r="N95" s="1" t="s">
        <v>48</v>
      </c>
      <c r="O95" s="1" t="s">
        <v>300</v>
      </c>
      <c r="P95" s="1" t="s">
        <v>35</v>
      </c>
      <c r="R95" s="1">
        <v>1</v>
      </c>
      <c r="T95" s="2">
        <v>45916.951388888891</v>
      </c>
      <c r="U95" s="2">
        <v>45917.065972222219</v>
      </c>
      <c r="V95" s="1" t="s">
        <v>36</v>
      </c>
      <c r="W95" s="1" t="s">
        <v>37</v>
      </c>
      <c r="X95" s="3">
        <v>85.31</v>
      </c>
      <c r="Y95" s="3">
        <v>72.3</v>
      </c>
      <c r="AA95" s="3">
        <v>0</v>
      </c>
      <c r="AB95" s="3">
        <v>13.01</v>
      </c>
      <c r="AC95" s="3">
        <v>85.31</v>
      </c>
      <c r="AD95" s="1" t="s">
        <v>377</v>
      </c>
      <c r="AE95" s="1" t="s">
        <v>302</v>
      </c>
      <c r="AF95" s="1" t="s">
        <v>39</v>
      </c>
    </row>
    <row r="96" spans="1:33" x14ac:dyDescent="0.25">
      <c r="A96" s="1" t="str">
        <f>IF(P96="site desktop","Operações","Suporte KCS")</f>
        <v>Operações</v>
      </c>
      <c r="B96" s="1" t="s">
        <v>252</v>
      </c>
      <c r="E96" s="1">
        <v>16356245</v>
      </c>
      <c r="F96" s="1" t="s">
        <v>415</v>
      </c>
      <c r="G96" s="2">
        <v>45916.796770833331</v>
      </c>
      <c r="H96" s="1" t="s">
        <v>32</v>
      </c>
      <c r="J96" s="1" t="s">
        <v>66</v>
      </c>
      <c r="K96" s="1" t="s">
        <v>163</v>
      </c>
      <c r="L96" s="1">
        <v>296873147.29687297</v>
      </c>
      <c r="M96" s="1" t="s">
        <v>33</v>
      </c>
      <c r="N96" s="1" t="s">
        <v>74</v>
      </c>
      <c r="O96" s="1" t="s">
        <v>378</v>
      </c>
      <c r="P96" s="1" t="s">
        <v>35</v>
      </c>
      <c r="Q96" s="1" t="s">
        <v>69</v>
      </c>
      <c r="R96" s="1">
        <v>2</v>
      </c>
      <c r="T96" s="2">
        <v>45984.59375</v>
      </c>
      <c r="U96" s="2">
        <v>45984.951388888891</v>
      </c>
      <c r="V96" s="1" t="s">
        <v>36</v>
      </c>
      <c r="W96" s="1" t="s">
        <v>37</v>
      </c>
      <c r="X96" s="3">
        <v>778.36</v>
      </c>
      <c r="Y96" s="3">
        <v>641.91999999999996</v>
      </c>
      <c r="AA96" s="3">
        <v>20.9</v>
      </c>
      <c r="AB96" s="3">
        <v>115.54</v>
      </c>
      <c r="AC96" s="3">
        <v>778.36</v>
      </c>
      <c r="AD96" s="1" t="s">
        <v>165</v>
      </c>
      <c r="AE96" s="1" t="s">
        <v>71</v>
      </c>
      <c r="AF96" s="1" t="s">
        <v>39</v>
      </c>
      <c r="AG96" s="1" t="s">
        <v>379</v>
      </c>
    </row>
    <row r="97" spans="1:33" x14ac:dyDescent="0.25">
      <c r="A97" s="1" t="str">
        <f>IF(P97="site desktop","Operações","Suporte KCS")</f>
        <v>Operações</v>
      </c>
      <c r="B97" s="1" t="s">
        <v>253</v>
      </c>
      <c r="E97" s="1">
        <v>16357175</v>
      </c>
      <c r="F97" s="1">
        <v>2704</v>
      </c>
      <c r="G97" s="2">
        <v>45916.873831018522</v>
      </c>
      <c r="H97" s="1" t="s">
        <v>32</v>
      </c>
      <c r="J97" s="1" t="s">
        <v>114</v>
      </c>
      <c r="K97" s="1" t="s">
        <v>380</v>
      </c>
      <c r="L97" s="1">
        <v>209587674</v>
      </c>
      <c r="M97" s="1" t="s">
        <v>47</v>
      </c>
      <c r="N97" s="1" t="s">
        <v>139</v>
      </c>
      <c r="O97" s="1" t="s">
        <v>140</v>
      </c>
      <c r="P97" s="1" t="s">
        <v>35</v>
      </c>
      <c r="R97" s="1">
        <v>1</v>
      </c>
      <c r="T97" s="2">
        <v>45917.333333333336</v>
      </c>
      <c r="U97" s="2">
        <v>45917.729166666664</v>
      </c>
      <c r="V97" s="1" t="s">
        <v>36</v>
      </c>
      <c r="W97" s="1" t="s">
        <v>37</v>
      </c>
      <c r="X97" s="3">
        <v>320.52999999999997</v>
      </c>
      <c r="Y97" s="3">
        <v>251.51</v>
      </c>
      <c r="AA97" s="3">
        <v>9.9499999999999993</v>
      </c>
      <c r="AB97" s="3">
        <v>59.07</v>
      </c>
      <c r="AC97" s="3">
        <v>320.52999999999997</v>
      </c>
      <c r="AD97" s="1" t="s">
        <v>120</v>
      </c>
      <c r="AE97" s="1" t="s">
        <v>141</v>
      </c>
      <c r="AF97" s="1" t="s">
        <v>39</v>
      </c>
      <c r="AG97" s="1">
        <v>10143708693</v>
      </c>
    </row>
    <row r="98" spans="1:33" x14ac:dyDescent="0.25">
      <c r="A98" s="1" t="str">
        <f>IF(P98="site desktop","Operações","Suporte KCS")</f>
        <v>Operações</v>
      </c>
      <c r="B98" s="1" t="s">
        <v>253</v>
      </c>
      <c r="E98" s="1">
        <v>16361612</v>
      </c>
      <c r="F98" s="1" t="s">
        <v>416</v>
      </c>
      <c r="G98" s="2">
        <v>45917.488159722219</v>
      </c>
      <c r="H98" s="1" t="s">
        <v>32</v>
      </c>
      <c r="J98" s="1" t="s">
        <v>206</v>
      </c>
      <c r="K98" s="1" t="s">
        <v>381</v>
      </c>
      <c r="L98" s="1">
        <v>322442646.322442</v>
      </c>
      <c r="M98" s="1" t="s">
        <v>33</v>
      </c>
      <c r="N98" s="1" t="s">
        <v>278</v>
      </c>
      <c r="O98" s="1" t="s">
        <v>382</v>
      </c>
      <c r="P98" s="1" t="s">
        <v>35</v>
      </c>
      <c r="R98" s="1">
        <v>2</v>
      </c>
      <c r="T98" s="2">
        <v>45931.954861111109</v>
      </c>
      <c r="U98" s="2">
        <v>45932.225694444445</v>
      </c>
      <c r="V98" s="1" t="s">
        <v>36</v>
      </c>
      <c r="W98" s="1" t="s">
        <v>37</v>
      </c>
      <c r="X98" s="3">
        <v>495.37</v>
      </c>
      <c r="Y98" s="3">
        <v>419.81</v>
      </c>
      <c r="AA98" s="3">
        <v>0</v>
      </c>
      <c r="AB98" s="3">
        <v>75.56</v>
      </c>
      <c r="AC98" s="3">
        <v>495.37</v>
      </c>
      <c r="AD98" s="1" t="s">
        <v>120</v>
      </c>
      <c r="AE98" s="1" t="s">
        <v>65</v>
      </c>
      <c r="AF98" s="1" t="s">
        <v>57</v>
      </c>
    </row>
    <row r="99" spans="1:33" x14ac:dyDescent="0.25">
      <c r="A99" s="1" t="str">
        <f>IF(P99="site desktop","Operações","Suporte KCS")</f>
        <v>Operações</v>
      </c>
      <c r="B99" s="1" t="s">
        <v>252</v>
      </c>
      <c r="E99" s="1">
        <v>16363677</v>
      </c>
      <c r="F99" s="1" t="s">
        <v>417</v>
      </c>
      <c r="G99" s="2">
        <v>45917.600810185184</v>
      </c>
      <c r="H99" s="1" t="s">
        <v>32</v>
      </c>
      <c r="J99" s="1" t="s">
        <v>66</v>
      </c>
      <c r="K99" s="1" t="s">
        <v>383</v>
      </c>
      <c r="L99" s="1">
        <v>2950796.2950796001</v>
      </c>
      <c r="M99" s="1" t="s">
        <v>33</v>
      </c>
      <c r="N99" s="1" t="s">
        <v>74</v>
      </c>
      <c r="O99" s="1" t="s">
        <v>75</v>
      </c>
      <c r="P99" s="1" t="s">
        <v>35</v>
      </c>
      <c r="Q99" s="1" t="s">
        <v>69</v>
      </c>
      <c r="R99" s="1">
        <v>2</v>
      </c>
      <c r="T99" s="2">
        <v>45972.666666666664</v>
      </c>
      <c r="U99" s="2">
        <v>45972.739583333336</v>
      </c>
      <c r="V99" s="1" t="s">
        <v>36</v>
      </c>
      <c r="W99" s="1" t="s">
        <v>37</v>
      </c>
      <c r="X99" s="3">
        <v>161.38</v>
      </c>
      <c r="Y99" s="3">
        <v>119.9</v>
      </c>
      <c r="AA99" s="3">
        <v>19.899999999999999</v>
      </c>
      <c r="AB99" s="3">
        <v>21.58</v>
      </c>
      <c r="AC99" s="3">
        <v>161.38</v>
      </c>
      <c r="AD99" s="1" t="s">
        <v>384</v>
      </c>
      <c r="AE99" s="1" t="s">
        <v>96</v>
      </c>
      <c r="AF99" s="1" t="s">
        <v>39</v>
      </c>
      <c r="AG99" s="1" t="s">
        <v>385</v>
      </c>
    </row>
    <row r="100" spans="1:33" x14ac:dyDescent="0.25">
      <c r="A100" s="1" t="str">
        <f>IF(P100="site desktop","Operações","Suporte KCS")</f>
        <v>Operações</v>
      </c>
      <c r="B100" s="1" t="s">
        <v>253</v>
      </c>
      <c r="E100" s="1">
        <v>16367231</v>
      </c>
      <c r="F100" s="1" t="s">
        <v>418</v>
      </c>
      <c r="G100" s="2">
        <v>45917.749861111108</v>
      </c>
      <c r="H100" s="1" t="s">
        <v>32</v>
      </c>
      <c r="J100" s="1" t="s">
        <v>262</v>
      </c>
      <c r="K100" s="1" t="s">
        <v>387</v>
      </c>
      <c r="L100" s="1">
        <v>4670795.4670794997</v>
      </c>
      <c r="M100" s="1" t="s">
        <v>47</v>
      </c>
      <c r="N100" s="1" t="s">
        <v>34</v>
      </c>
      <c r="O100" s="1" t="s">
        <v>293</v>
      </c>
      <c r="P100" s="1" t="s">
        <v>35</v>
      </c>
      <c r="R100" s="1">
        <v>2</v>
      </c>
      <c r="T100" s="2">
        <v>45918.541666666664</v>
      </c>
      <c r="U100" s="2">
        <v>45918.743055555555</v>
      </c>
      <c r="V100" s="1" t="s">
        <v>36</v>
      </c>
      <c r="W100" s="1" t="s">
        <v>37</v>
      </c>
      <c r="X100" s="3">
        <v>242.75</v>
      </c>
      <c r="Y100" s="3">
        <v>180</v>
      </c>
      <c r="AA100" s="3">
        <v>19.899999999999999</v>
      </c>
      <c r="AB100" s="3">
        <v>42.85</v>
      </c>
      <c r="AC100" s="3">
        <v>242.75</v>
      </c>
      <c r="AD100" s="1" t="s">
        <v>93</v>
      </c>
      <c r="AE100" s="1" t="s">
        <v>386</v>
      </c>
      <c r="AF100" s="1" t="s">
        <v>57</v>
      </c>
      <c r="AG100" s="1" t="s">
        <v>388</v>
      </c>
    </row>
    <row r="101" spans="1:33" x14ac:dyDescent="0.25">
      <c r="A101" s="1" t="str">
        <f>IF(P101="site desktop","Operações","Suporte KCS")</f>
        <v>Operações</v>
      </c>
      <c r="B101" s="1" t="s">
        <v>253</v>
      </c>
      <c r="E101" s="1">
        <v>16367621</v>
      </c>
      <c r="F101" s="1" t="s">
        <v>389</v>
      </c>
      <c r="G101" s="2">
        <v>45917.770925925928</v>
      </c>
      <c r="H101" s="1" t="s">
        <v>32</v>
      </c>
      <c r="J101" s="1" t="s">
        <v>341</v>
      </c>
      <c r="K101" s="1" t="s">
        <v>390</v>
      </c>
      <c r="L101" s="1">
        <v>245597620</v>
      </c>
      <c r="M101" s="1" t="s">
        <v>33</v>
      </c>
      <c r="N101" s="1" t="s">
        <v>34</v>
      </c>
      <c r="O101" s="1" t="s">
        <v>94</v>
      </c>
      <c r="P101" s="1" t="s">
        <v>35</v>
      </c>
      <c r="R101" s="1">
        <v>1</v>
      </c>
      <c r="T101" s="2">
        <v>45935.100694444445</v>
      </c>
      <c r="U101" s="2">
        <v>45935.270138888889</v>
      </c>
      <c r="V101" s="1" t="s">
        <v>36</v>
      </c>
      <c r="W101" s="1" t="s">
        <v>37</v>
      </c>
      <c r="X101" s="3">
        <v>116.13</v>
      </c>
      <c r="Y101" s="3">
        <v>89.99</v>
      </c>
      <c r="AA101" s="3">
        <v>9.9499999999999993</v>
      </c>
      <c r="AB101" s="3">
        <v>16.190000000000001</v>
      </c>
      <c r="AC101" s="3">
        <v>116.13</v>
      </c>
      <c r="AD101" s="1" t="s">
        <v>391</v>
      </c>
      <c r="AE101" s="1" t="s">
        <v>71</v>
      </c>
      <c r="AF101" s="1" t="s">
        <v>39</v>
      </c>
      <c r="AG101" s="1">
        <v>10143715211</v>
      </c>
    </row>
    <row r="102" spans="1:33" x14ac:dyDescent="0.25">
      <c r="A102" s="1" t="str">
        <f>IF(P102="site desktop","Operações","Suporte KCS")</f>
        <v>Operações</v>
      </c>
      <c r="B102" s="1" t="s">
        <v>253</v>
      </c>
      <c r="E102" s="1">
        <v>16367751</v>
      </c>
      <c r="F102" s="1">
        <v>10013100116</v>
      </c>
      <c r="G102" s="2">
        <v>45917.778437499997</v>
      </c>
      <c r="H102" s="1" t="s">
        <v>32</v>
      </c>
      <c r="J102" s="1" t="s">
        <v>341</v>
      </c>
      <c r="K102" s="1" t="s">
        <v>392</v>
      </c>
      <c r="L102" s="1">
        <v>450955540</v>
      </c>
      <c r="M102" s="1" t="s">
        <v>33</v>
      </c>
      <c r="N102" s="1" t="s">
        <v>74</v>
      </c>
      <c r="O102" s="1" t="s">
        <v>284</v>
      </c>
      <c r="P102" s="1" t="s">
        <v>35</v>
      </c>
      <c r="R102" s="1">
        <v>1</v>
      </c>
      <c r="T102" s="2">
        <v>45936.302083333336</v>
      </c>
      <c r="U102" s="2">
        <v>45936.34375</v>
      </c>
      <c r="V102" s="1" t="s">
        <v>36</v>
      </c>
      <c r="W102" s="1" t="s">
        <v>37</v>
      </c>
      <c r="X102" s="3">
        <v>41.81</v>
      </c>
      <c r="Y102" s="3">
        <v>27</v>
      </c>
      <c r="AA102" s="3">
        <v>9.9499999999999993</v>
      </c>
      <c r="AB102" s="3">
        <v>4.8600000000000003</v>
      </c>
      <c r="AC102" s="3">
        <v>41.81</v>
      </c>
      <c r="AD102" s="1" t="s">
        <v>393</v>
      </c>
      <c r="AE102" s="1" t="s">
        <v>71</v>
      </c>
      <c r="AF102" s="1" t="s">
        <v>39</v>
      </c>
      <c r="AG102" s="1">
        <v>10143715272</v>
      </c>
    </row>
    <row r="103" spans="1:33" x14ac:dyDescent="0.25">
      <c r="A103" s="1" t="str">
        <f>IF(P103="site desktop","Operações","Suporte KCS")</f>
        <v>Operações</v>
      </c>
      <c r="B103" s="1" t="s">
        <v>253</v>
      </c>
      <c r="E103" s="1">
        <v>16367756</v>
      </c>
      <c r="F103" s="1" t="s">
        <v>419</v>
      </c>
      <c r="G103" s="2">
        <v>45917.77884259259</v>
      </c>
      <c r="H103" s="1" t="s">
        <v>32</v>
      </c>
      <c r="J103" s="1" t="s">
        <v>262</v>
      </c>
      <c r="K103" s="1" t="s">
        <v>394</v>
      </c>
      <c r="L103" s="1">
        <v>3765204.3765203999</v>
      </c>
      <c r="M103" s="1" t="s">
        <v>47</v>
      </c>
      <c r="N103" s="1" t="s">
        <v>139</v>
      </c>
      <c r="O103" s="1" t="s">
        <v>274</v>
      </c>
      <c r="P103" s="1" t="s">
        <v>35</v>
      </c>
      <c r="R103" s="1">
        <v>2</v>
      </c>
      <c r="T103" s="2">
        <v>45920.291666666664</v>
      </c>
      <c r="U103" s="2">
        <v>45920.4375</v>
      </c>
      <c r="V103" s="1" t="s">
        <v>36</v>
      </c>
      <c r="W103" s="1" t="s">
        <v>37</v>
      </c>
      <c r="X103" s="3">
        <v>193.39</v>
      </c>
      <c r="Y103" s="3">
        <v>139.97999999999999</v>
      </c>
      <c r="AA103" s="3">
        <v>19.899999999999999</v>
      </c>
      <c r="AB103" s="3">
        <v>33.51</v>
      </c>
      <c r="AC103" s="3">
        <v>193.39</v>
      </c>
      <c r="AD103" s="1" t="s">
        <v>146</v>
      </c>
      <c r="AE103" s="1" t="s">
        <v>64</v>
      </c>
      <c r="AF103" s="1" t="s">
        <v>39</v>
      </c>
      <c r="AG103" s="1" t="s">
        <v>395</v>
      </c>
    </row>
    <row r="104" spans="1:33" x14ac:dyDescent="0.25">
      <c r="A104" s="1" t="str">
        <f>IF(P104="site desktop","Operações","Suporte KCS")</f>
        <v>Operações</v>
      </c>
      <c r="B104" s="1" t="s">
        <v>253</v>
      </c>
      <c r="E104" s="1">
        <v>16367790</v>
      </c>
      <c r="F104" s="1">
        <v>11175373179243</v>
      </c>
      <c r="G104" s="2">
        <v>45917.780972222223</v>
      </c>
      <c r="H104" s="1" t="s">
        <v>32</v>
      </c>
      <c r="J104" s="1" t="s">
        <v>262</v>
      </c>
      <c r="K104" s="1" t="s">
        <v>292</v>
      </c>
      <c r="L104" s="1">
        <v>5106668709</v>
      </c>
      <c r="M104" s="1" t="s">
        <v>47</v>
      </c>
      <c r="N104" s="1" t="s">
        <v>48</v>
      </c>
      <c r="O104" s="1" t="s">
        <v>75</v>
      </c>
      <c r="P104" s="1" t="s">
        <v>35</v>
      </c>
      <c r="R104" s="1">
        <v>1</v>
      </c>
      <c r="T104" s="2">
        <v>45920.291666666664</v>
      </c>
      <c r="U104" s="2">
        <v>45920.472222222219</v>
      </c>
      <c r="V104" s="1" t="s">
        <v>36</v>
      </c>
      <c r="W104" s="1" t="s">
        <v>37</v>
      </c>
      <c r="X104" s="3">
        <v>193.07</v>
      </c>
      <c r="Y104" s="3">
        <v>148.15</v>
      </c>
      <c r="AA104" s="3">
        <v>9.9499999999999993</v>
      </c>
      <c r="AB104" s="3">
        <v>34.97</v>
      </c>
      <c r="AC104" s="3">
        <v>193.07</v>
      </c>
      <c r="AD104" s="1" t="s">
        <v>77</v>
      </c>
      <c r="AE104" s="1" t="s">
        <v>96</v>
      </c>
      <c r="AF104" s="1" t="s">
        <v>39</v>
      </c>
      <c r="AG104" s="1">
        <v>10143715307</v>
      </c>
    </row>
    <row r="105" spans="1:33" x14ac:dyDescent="0.25">
      <c r="A105" s="1" t="str">
        <f>IF(P105="site desktop","Operações","Suporte KCS")</f>
        <v>Operações</v>
      </c>
      <c r="B105" s="1" t="s">
        <v>253</v>
      </c>
      <c r="E105" s="1">
        <v>16367817</v>
      </c>
      <c r="F105" s="1">
        <v>11465373165259</v>
      </c>
      <c r="G105" s="2">
        <v>45917.782766203702</v>
      </c>
      <c r="H105" s="1" t="s">
        <v>32</v>
      </c>
      <c r="J105" s="1" t="s">
        <v>262</v>
      </c>
      <c r="K105" s="1" t="s">
        <v>168</v>
      </c>
      <c r="L105" s="1">
        <v>4085742148</v>
      </c>
      <c r="M105" s="1" t="s">
        <v>47</v>
      </c>
      <c r="N105" s="1" t="s">
        <v>34</v>
      </c>
      <c r="O105" s="1" t="s">
        <v>325</v>
      </c>
      <c r="P105" s="1" t="s">
        <v>35</v>
      </c>
      <c r="R105" s="1">
        <v>1</v>
      </c>
      <c r="T105" s="2">
        <v>45920.291666666664</v>
      </c>
      <c r="U105" s="2">
        <v>45920.479166666664</v>
      </c>
      <c r="V105" s="1" t="s">
        <v>36</v>
      </c>
      <c r="W105" s="1" t="s">
        <v>37</v>
      </c>
      <c r="X105" s="3">
        <v>302.45</v>
      </c>
      <c r="Y105" s="3">
        <v>236.85</v>
      </c>
      <c r="AA105" s="3">
        <v>9.9499999999999993</v>
      </c>
      <c r="AB105" s="3">
        <v>55.65</v>
      </c>
      <c r="AC105" s="3">
        <v>302.45</v>
      </c>
      <c r="AD105" s="1" t="s">
        <v>326</v>
      </c>
      <c r="AE105" s="1" t="s">
        <v>96</v>
      </c>
      <c r="AF105" s="1" t="s">
        <v>39</v>
      </c>
      <c r="AG105" s="1">
        <v>10143715319</v>
      </c>
    </row>
    <row r="106" spans="1:33" x14ac:dyDescent="0.25">
      <c r="A106" s="1" t="str">
        <f>IF(P106="site desktop","Operações","Suporte KCS")</f>
        <v>Operações</v>
      </c>
      <c r="B106" s="1" t="s">
        <v>253</v>
      </c>
      <c r="E106" s="1">
        <v>16367881</v>
      </c>
      <c r="F106" s="1" t="s">
        <v>420</v>
      </c>
      <c r="G106" s="2">
        <v>45917.786956018521</v>
      </c>
      <c r="H106" s="1" t="s">
        <v>32</v>
      </c>
      <c r="J106" s="1" t="s">
        <v>262</v>
      </c>
      <c r="K106" s="1" t="s">
        <v>396</v>
      </c>
      <c r="L106" s="1">
        <v>243463674.24346301</v>
      </c>
      <c r="M106" s="1" t="s">
        <v>47</v>
      </c>
      <c r="N106" s="1" t="s">
        <v>74</v>
      </c>
      <c r="O106" s="1" t="s">
        <v>195</v>
      </c>
      <c r="P106" s="1" t="s">
        <v>35</v>
      </c>
      <c r="R106" s="1">
        <v>2</v>
      </c>
      <c r="T106" s="2">
        <v>45922.618055555555</v>
      </c>
      <c r="U106" s="2">
        <v>45922.829861111109</v>
      </c>
      <c r="V106" s="1" t="s">
        <v>36</v>
      </c>
      <c r="W106" s="1" t="s">
        <v>37</v>
      </c>
      <c r="X106" s="3">
        <v>508.39</v>
      </c>
      <c r="Y106" s="3">
        <v>394.59</v>
      </c>
      <c r="AA106" s="3">
        <v>20.9</v>
      </c>
      <c r="AB106" s="3">
        <v>92.9</v>
      </c>
      <c r="AC106" s="3">
        <v>508.39</v>
      </c>
      <c r="AD106" s="1" t="s">
        <v>70</v>
      </c>
      <c r="AE106" s="1" t="s">
        <v>71</v>
      </c>
      <c r="AF106" s="1" t="s">
        <v>39</v>
      </c>
      <c r="AG106" s="1" t="s">
        <v>397</v>
      </c>
    </row>
    <row r="107" spans="1:33" x14ac:dyDescent="0.25">
      <c r="A107" s="1" t="str">
        <f>IF(P107="site desktop","Operações","Suporte KCS")</f>
        <v>Operações</v>
      </c>
      <c r="B107" s="1" t="s">
        <v>253</v>
      </c>
      <c r="E107" s="1">
        <v>16368560</v>
      </c>
      <c r="F107" s="1" t="s">
        <v>421</v>
      </c>
      <c r="G107" s="2">
        <v>45917.836469907408</v>
      </c>
      <c r="H107" s="1" t="s">
        <v>32</v>
      </c>
      <c r="J107" s="1" t="s">
        <v>114</v>
      </c>
      <c r="K107" s="1" t="s">
        <v>398</v>
      </c>
      <c r="L107" s="1">
        <v>455580790.45558</v>
      </c>
      <c r="M107" s="1" t="s">
        <v>47</v>
      </c>
      <c r="N107" s="1" t="s">
        <v>74</v>
      </c>
      <c r="O107" s="1" t="s">
        <v>195</v>
      </c>
      <c r="P107" s="1" t="s">
        <v>35</v>
      </c>
      <c r="R107" s="1">
        <v>2</v>
      </c>
      <c r="T107" s="2">
        <v>45922.618055555555</v>
      </c>
      <c r="U107" s="2">
        <v>45922.829861111109</v>
      </c>
      <c r="V107" s="1" t="s">
        <v>36</v>
      </c>
      <c r="W107" s="1" t="s">
        <v>37</v>
      </c>
      <c r="X107" s="3">
        <v>508.39</v>
      </c>
      <c r="Y107" s="3">
        <v>394.59</v>
      </c>
      <c r="AA107" s="3">
        <v>20.9</v>
      </c>
      <c r="AB107" s="3">
        <v>92.9</v>
      </c>
      <c r="AC107" s="3">
        <v>508.39</v>
      </c>
      <c r="AD107" s="1" t="s">
        <v>70</v>
      </c>
      <c r="AE107" s="1" t="s">
        <v>71</v>
      </c>
      <c r="AF107" s="1" t="s">
        <v>39</v>
      </c>
      <c r="AG107" s="1" t="s">
        <v>399</v>
      </c>
    </row>
    <row r="108" spans="1:33" x14ac:dyDescent="0.25">
      <c r="A108" s="1" t="str">
        <f>IF(P108="site desktop","Operações","Suporte KCS")</f>
        <v>Operações</v>
      </c>
      <c r="B108" s="1" t="s">
        <v>253</v>
      </c>
      <c r="E108" s="1">
        <v>16368728</v>
      </c>
      <c r="F108" s="1" t="s">
        <v>422</v>
      </c>
      <c r="G108" s="2">
        <v>45917.851238425923</v>
      </c>
      <c r="H108" s="1" t="s">
        <v>32</v>
      </c>
      <c r="J108" s="1" t="s">
        <v>114</v>
      </c>
      <c r="K108" s="1" t="s">
        <v>400</v>
      </c>
      <c r="L108" s="1">
        <v>7321092.7321092002</v>
      </c>
      <c r="M108" s="1" t="s">
        <v>33</v>
      </c>
      <c r="N108" s="1" t="s">
        <v>90</v>
      </c>
      <c r="O108" s="1" t="s">
        <v>86</v>
      </c>
      <c r="P108" s="1" t="s">
        <v>35</v>
      </c>
      <c r="R108" s="1">
        <v>2</v>
      </c>
      <c r="T108" s="2">
        <v>45928.75</v>
      </c>
      <c r="U108" s="2">
        <v>45929.291666666664</v>
      </c>
      <c r="V108" s="1" t="s">
        <v>36</v>
      </c>
      <c r="W108" s="1" t="s">
        <v>37</v>
      </c>
      <c r="X108" s="3">
        <v>778.95</v>
      </c>
      <c r="Y108" s="3">
        <v>641.58000000000004</v>
      </c>
      <c r="AA108" s="3">
        <v>21.9</v>
      </c>
      <c r="AB108" s="3">
        <v>115.47</v>
      </c>
      <c r="AC108" s="3">
        <v>778.95</v>
      </c>
      <c r="AD108" s="1" t="s">
        <v>93</v>
      </c>
      <c r="AE108" s="1" t="s">
        <v>87</v>
      </c>
      <c r="AF108" s="1" t="s">
        <v>57</v>
      </c>
      <c r="AG108" s="1" t="s">
        <v>401</v>
      </c>
    </row>
    <row r="109" spans="1:33" x14ac:dyDescent="0.25">
      <c r="A109" s="1" t="str">
        <f>IF(P109="site desktop","Operações","Suporte KCS")</f>
        <v>Operações</v>
      </c>
      <c r="B109" s="1" t="s">
        <v>253</v>
      </c>
      <c r="E109" s="1">
        <v>16371417</v>
      </c>
      <c r="F109" s="1">
        <v>10292062722</v>
      </c>
      <c r="G109" s="2">
        <v>45918.391527777778</v>
      </c>
      <c r="H109" s="1" t="s">
        <v>32</v>
      </c>
      <c r="J109" s="1" t="s">
        <v>341</v>
      </c>
      <c r="K109" s="1" t="s">
        <v>423</v>
      </c>
      <c r="L109" s="1">
        <v>560803138</v>
      </c>
      <c r="M109" s="1" t="s">
        <v>33</v>
      </c>
      <c r="N109" s="1" t="s">
        <v>256</v>
      </c>
      <c r="O109" s="1" t="s">
        <v>195</v>
      </c>
      <c r="P109" s="1" t="s">
        <v>35</v>
      </c>
      <c r="R109" s="1">
        <v>1</v>
      </c>
      <c r="T109" s="2">
        <v>45935.395833333336</v>
      </c>
      <c r="U109" s="2">
        <v>45935.583333333336</v>
      </c>
      <c r="V109" s="1" t="s">
        <v>36</v>
      </c>
      <c r="W109" s="1" t="s">
        <v>37</v>
      </c>
      <c r="X109" s="3">
        <v>194.73</v>
      </c>
      <c r="Y109" s="3">
        <v>156.6</v>
      </c>
      <c r="AA109" s="3">
        <v>9.9499999999999993</v>
      </c>
      <c r="AB109" s="3">
        <v>28.18</v>
      </c>
      <c r="AC109" s="3">
        <v>194.73</v>
      </c>
      <c r="AD109" s="1" t="s">
        <v>70</v>
      </c>
      <c r="AE109" s="1" t="s">
        <v>71</v>
      </c>
      <c r="AF109" s="1" t="s">
        <v>39</v>
      </c>
      <c r="AG109" s="1">
        <v>10143717637</v>
      </c>
    </row>
    <row r="110" spans="1:33" x14ac:dyDescent="0.25">
      <c r="A110" s="1" t="str">
        <f>IF(P110="site desktop","Operações","Suporte KCS")</f>
        <v>Operações</v>
      </c>
      <c r="B110" s="1" t="s">
        <v>253</v>
      </c>
      <c r="E110" s="1">
        <v>16371544</v>
      </c>
      <c r="F110" s="1">
        <v>10292063919</v>
      </c>
      <c r="G110" s="2">
        <v>45918.398495370369</v>
      </c>
      <c r="H110" s="1" t="s">
        <v>32</v>
      </c>
      <c r="J110" s="1" t="s">
        <v>341</v>
      </c>
      <c r="K110" s="1" t="s">
        <v>424</v>
      </c>
      <c r="L110" s="1" t="s">
        <v>425</v>
      </c>
      <c r="M110" s="1" t="s">
        <v>33</v>
      </c>
      <c r="N110" s="1" t="s">
        <v>256</v>
      </c>
      <c r="O110" s="1" t="s">
        <v>195</v>
      </c>
      <c r="P110" s="1" t="s">
        <v>35</v>
      </c>
      <c r="R110" s="1">
        <v>1</v>
      </c>
      <c r="T110" s="2">
        <v>45935.333333333336</v>
      </c>
      <c r="U110" s="2">
        <v>45935.541666666664</v>
      </c>
      <c r="V110" s="1" t="s">
        <v>36</v>
      </c>
      <c r="W110" s="1" t="s">
        <v>37</v>
      </c>
      <c r="X110" s="3">
        <v>212.2</v>
      </c>
      <c r="Y110" s="3">
        <v>171.4</v>
      </c>
      <c r="AA110" s="3">
        <v>9.9499999999999993</v>
      </c>
      <c r="AB110" s="3">
        <v>30.85</v>
      </c>
      <c r="AC110" s="3">
        <v>212.2</v>
      </c>
      <c r="AD110" s="1" t="s">
        <v>70</v>
      </c>
      <c r="AE110" s="1" t="s">
        <v>71</v>
      </c>
      <c r="AF110" s="1" t="s">
        <v>39</v>
      </c>
      <c r="AG110" s="1">
        <v>10143717704</v>
      </c>
    </row>
    <row r="111" spans="1:33" x14ac:dyDescent="0.25">
      <c r="A111" s="1" t="str">
        <f>IF(P111="site desktop","Operações","Suporte KCS")</f>
        <v>Operações</v>
      </c>
      <c r="B111" s="1" t="s">
        <v>253</v>
      </c>
      <c r="E111" s="1">
        <v>16371977</v>
      </c>
      <c r="F111" s="1" t="s">
        <v>426</v>
      </c>
      <c r="G111" s="2">
        <v>45918.418715277781</v>
      </c>
      <c r="H111" s="1" t="s">
        <v>32</v>
      </c>
      <c r="J111" s="1" t="s">
        <v>341</v>
      </c>
      <c r="K111" s="1" t="s">
        <v>427</v>
      </c>
      <c r="L111" s="1">
        <v>20430900</v>
      </c>
      <c r="M111" s="1" t="s">
        <v>33</v>
      </c>
      <c r="N111" s="1" t="s">
        <v>34</v>
      </c>
      <c r="O111" s="1" t="s">
        <v>79</v>
      </c>
      <c r="P111" s="1" t="s">
        <v>35</v>
      </c>
      <c r="R111" s="1">
        <v>1</v>
      </c>
      <c r="T111" s="2">
        <v>45935.333333333336</v>
      </c>
      <c r="U111" s="2">
        <v>45935.6875</v>
      </c>
      <c r="V111" s="1" t="s">
        <v>36</v>
      </c>
      <c r="W111" s="1" t="s">
        <v>37</v>
      </c>
      <c r="X111" s="3">
        <v>242.36</v>
      </c>
      <c r="Y111" s="3">
        <v>196.96</v>
      </c>
      <c r="AA111" s="3">
        <v>9.9499999999999993</v>
      </c>
      <c r="AB111" s="3">
        <v>35.450000000000003</v>
      </c>
      <c r="AC111" s="3">
        <v>242.36</v>
      </c>
      <c r="AD111" s="1" t="s">
        <v>178</v>
      </c>
      <c r="AE111" s="1" t="s">
        <v>65</v>
      </c>
      <c r="AF111" s="1" t="s">
        <v>39</v>
      </c>
      <c r="AG111" s="1">
        <v>10143717983</v>
      </c>
    </row>
    <row r="112" spans="1:33" x14ac:dyDescent="0.25">
      <c r="A112" s="1" t="str">
        <f>IF(P112="site desktop","Operações","Suporte KCS")</f>
        <v>Operações</v>
      </c>
      <c r="B112" s="1" t="s">
        <v>252</v>
      </c>
      <c r="E112" s="1">
        <v>16375454</v>
      </c>
      <c r="F112" s="1" t="s">
        <v>456</v>
      </c>
      <c r="G112" s="2">
        <v>45918.589699074073</v>
      </c>
      <c r="H112" s="1" t="s">
        <v>32</v>
      </c>
      <c r="J112" s="1" t="s">
        <v>428</v>
      </c>
      <c r="K112" s="1" t="s">
        <v>429</v>
      </c>
      <c r="L112" s="1">
        <v>17023069.170230601</v>
      </c>
      <c r="M112" s="1" t="s">
        <v>33</v>
      </c>
      <c r="N112" s="1" t="s">
        <v>256</v>
      </c>
      <c r="O112" s="1" t="s">
        <v>267</v>
      </c>
      <c r="P112" s="1" t="s">
        <v>35</v>
      </c>
      <c r="R112" s="1">
        <v>2</v>
      </c>
      <c r="T112" s="2">
        <v>45928.159722222219</v>
      </c>
      <c r="U112" s="2">
        <v>45928.263888888891</v>
      </c>
      <c r="V112" s="1" t="s">
        <v>36</v>
      </c>
      <c r="W112" s="1" t="s">
        <v>37</v>
      </c>
      <c r="X112" s="3">
        <v>189.97</v>
      </c>
      <c r="Y112" s="3">
        <v>144.13999999999999</v>
      </c>
      <c r="AA112" s="3">
        <v>19.899999999999999</v>
      </c>
      <c r="AB112" s="3">
        <v>25.93</v>
      </c>
      <c r="AC112" s="3">
        <v>189.97</v>
      </c>
      <c r="AD112" s="1" t="s">
        <v>430</v>
      </c>
      <c r="AE112" s="1" t="s">
        <v>88</v>
      </c>
      <c r="AF112" s="1" t="s">
        <v>39</v>
      </c>
      <c r="AG112" s="1" t="s">
        <v>431</v>
      </c>
    </row>
    <row r="113" spans="1:33" x14ac:dyDescent="0.25">
      <c r="A113" s="1" t="str">
        <f>IF(P113="site desktop","Operações","Suporte KCS")</f>
        <v>Operações</v>
      </c>
      <c r="B113" s="1" t="s">
        <v>253</v>
      </c>
      <c r="E113" s="1">
        <v>16376824</v>
      </c>
      <c r="F113" s="1">
        <v>468876779</v>
      </c>
      <c r="G113" s="2">
        <v>45918.643391203703</v>
      </c>
      <c r="H113" s="1" t="s">
        <v>32</v>
      </c>
      <c r="J113" s="1" t="s">
        <v>114</v>
      </c>
      <c r="K113" s="1" t="s">
        <v>168</v>
      </c>
      <c r="L113" s="1">
        <v>4085742148</v>
      </c>
      <c r="M113" s="1" t="s">
        <v>47</v>
      </c>
      <c r="N113" s="1" t="s">
        <v>74</v>
      </c>
      <c r="O113" s="1" t="s">
        <v>75</v>
      </c>
      <c r="P113" s="1" t="s">
        <v>35</v>
      </c>
      <c r="R113" s="1">
        <v>1</v>
      </c>
      <c r="T113" s="2">
        <v>45922.291666666664</v>
      </c>
      <c r="U113" s="2">
        <v>45922.493055555555</v>
      </c>
      <c r="V113" s="1" t="s">
        <v>36</v>
      </c>
      <c r="W113" s="1" t="s">
        <v>37</v>
      </c>
      <c r="X113" s="3">
        <v>193.07</v>
      </c>
      <c r="Y113" s="3">
        <v>148.15</v>
      </c>
      <c r="AA113" s="3">
        <v>9.9499999999999993</v>
      </c>
      <c r="AB113" s="3">
        <v>34.97</v>
      </c>
      <c r="AC113" s="3">
        <v>193.07</v>
      </c>
      <c r="AD113" s="1" t="s">
        <v>96</v>
      </c>
      <c r="AE113" s="1" t="s">
        <v>77</v>
      </c>
      <c r="AF113" s="1" t="s">
        <v>39</v>
      </c>
      <c r="AG113" s="1">
        <v>10143721130</v>
      </c>
    </row>
    <row r="114" spans="1:33" x14ac:dyDescent="0.25">
      <c r="A114" s="1" t="str">
        <f>IF(P114="site desktop","Operações","Suporte KCS")</f>
        <v>Operações</v>
      </c>
      <c r="B114" s="1" t="s">
        <v>252</v>
      </c>
      <c r="E114" s="1">
        <v>16378499</v>
      </c>
      <c r="F114" s="1">
        <v>10002963740</v>
      </c>
      <c r="G114" s="2">
        <v>45918.705289351848</v>
      </c>
      <c r="H114" s="1" t="s">
        <v>32</v>
      </c>
      <c r="J114" s="1" t="s">
        <v>297</v>
      </c>
      <c r="K114" s="1" t="s">
        <v>312</v>
      </c>
      <c r="L114" s="1" t="s">
        <v>313</v>
      </c>
      <c r="M114" s="1" t="s">
        <v>33</v>
      </c>
      <c r="N114" s="1" t="s">
        <v>48</v>
      </c>
      <c r="O114" s="1" t="s">
        <v>300</v>
      </c>
      <c r="P114" s="1" t="s">
        <v>35</v>
      </c>
      <c r="R114" s="1">
        <v>1</v>
      </c>
      <c r="T114" s="2">
        <v>45919.5625</v>
      </c>
      <c r="U114" s="2">
        <v>45919.711805555555</v>
      </c>
      <c r="V114" s="1" t="s">
        <v>36</v>
      </c>
      <c r="W114" s="1" t="s">
        <v>37</v>
      </c>
      <c r="X114" s="3">
        <v>121.69</v>
      </c>
      <c r="Y114" s="3">
        <v>94.7</v>
      </c>
      <c r="AA114" s="3">
        <v>9.9499999999999993</v>
      </c>
      <c r="AB114" s="3">
        <v>17.04</v>
      </c>
      <c r="AC114" s="3">
        <v>121.69</v>
      </c>
      <c r="AD114" s="1" t="s">
        <v>302</v>
      </c>
      <c r="AE114" s="1" t="s">
        <v>301</v>
      </c>
      <c r="AF114" s="1" t="s">
        <v>39</v>
      </c>
      <c r="AG114" s="1">
        <v>10143722296</v>
      </c>
    </row>
    <row r="115" spans="1:33" x14ac:dyDescent="0.25">
      <c r="A115" s="1" t="str">
        <f>IF(P115="site desktop","Operações","Suporte KCS")</f>
        <v>Operações</v>
      </c>
      <c r="B115" s="1" t="s">
        <v>252</v>
      </c>
      <c r="E115" s="1">
        <v>16378550</v>
      </c>
      <c r="F115" s="1">
        <v>10002963769</v>
      </c>
      <c r="G115" s="2">
        <v>45918.706921296296</v>
      </c>
      <c r="H115" s="1" t="s">
        <v>32</v>
      </c>
      <c r="J115" s="1" t="s">
        <v>297</v>
      </c>
      <c r="K115" s="1" t="s">
        <v>314</v>
      </c>
      <c r="L115" s="1">
        <v>6215718</v>
      </c>
      <c r="M115" s="1" t="s">
        <v>33</v>
      </c>
      <c r="N115" s="1" t="s">
        <v>48</v>
      </c>
      <c r="O115" s="1" t="s">
        <v>300</v>
      </c>
      <c r="P115" s="1" t="s">
        <v>35</v>
      </c>
      <c r="R115" s="1">
        <v>1</v>
      </c>
      <c r="T115" s="2">
        <v>45919.5625</v>
      </c>
      <c r="U115" s="2">
        <v>45919.711805555555</v>
      </c>
      <c r="V115" s="1" t="s">
        <v>36</v>
      </c>
      <c r="W115" s="1" t="s">
        <v>37</v>
      </c>
      <c r="X115" s="3">
        <v>121.69</v>
      </c>
      <c r="Y115" s="3">
        <v>94.7</v>
      </c>
      <c r="AA115" s="3">
        <v>9.9499999999999993</v>
      </c>
      <c r="AB115" s="3">
        <v>17.04</v>
      </c>
      <c r="AC115" s="3">
        <v>121.69</v>
      </c>
      <c r="AD115" s="1" t="s">
        <v>302</v>
      </c>
      <c r="AE115" s="1" t="s">
        <v>301</v>
      </c>
      <c r="AF115" s="1" t="s">
        <v>39</v>
      </c>
      <c r="AG115" s="1">
        <v>10143722369</v>
      </c>
    </row>
    <row r="116" spans="1:33" x14ac:dyDescent="0.25">
      <c r="A116" s="1" t="str">
        <f>IF(P116="site desktop","Operações","Suporte KCS")</f>
        <v>Operações</v>
      </c>
      <c r="B116" s="1" t="s">
        <v>252</v>
      </c>
      <c r="E116" s="1">
        <v>16379301</v>
      </c>
      <c r="F116" s="1" t="s">
        <v>457</v>
      </c>
      <c r="G116" s="2">
        <v>45918.736631944441</v>
      </c>
      <c r="H116" s="1" t="s">
        <v>32</v>
      </c>
      <c r="J116" s="1" t="s">
        <v>433</v>
      </c>
      <c r="K116" s="1" t="s">
        <v>434</v>
      </c>
      <c r="L116" s="1" t="s">
        <v>435</v>
      </c>
      <c r="M116" s="1" t="s">
        <v>33</v>
      </c>
      <c r="N116" s="1" t="s">
        <v>34</v>
      </c>
      <c r="O116" s="1" t="s">
        <v>436</v>
      </c>
      <c r="P116" s="1" t="s">
        <v>35</v>
      </c>
      <c r="R116" s="1">
        <v>6</v>
      </c>
      <c r="T116" s="2">
        <v>45919.6875</v>
      </c>
      <c r="U116" s="2">
        <v>45919.888888888891</v>
      </c>
      <c r="V116" s="1" t="s">
        <v>36</v>
      </c>
      <c r="W116" s="1" t="s">
        <v>37</v>
      </c>
      <c r="X116" s="3">
        <v>947.88</v>
      </c>
      <c r="Y116" s="3">
        <v>752.7</v>
      </c>
      <c r="AA116" s="3">
        <v>59.7</v>
      </c>
      <c r="AB116" s="3">
        <v>135.47999999999999</v>
      </c>
      <c r="AC116" s="3">
        <v>947.88</v>
      </c>
      <c r="AD116" s="1" t="s">
        <v>65</v>
      </c>
      <c r="AE116" s="1" t="s">
        <v>437</v>
      </c>
      <c r="AF116" s="1" t="s">
        <v>57</v>
      </c>
      <c r="AG116" s="1" t="s">
        <v>438</v>
      </c>
    </row>
    <row r="117" spans="1:33" x14ac:dyDescent="0.25">
      <c r="A117" s="1" t="str">
        <f>IF(P117="site desktop","Operações","Suporte KCS")</f>
        <v>Operações</v>
      </c>
      <c r="B117" s="1" t="s">
        <v>253</v>
      </c>
      <c r="E117" s="1">
        <v>16390667</v>
      </c>
      <c r="F117" s="1" t="s">
        <v>458</v>
      </c>
      <c r="G117" s="2">
        <v>45919.643414351849</v>
      </c>
      <c r="H117" s="1" t="s">
        <v>32</v>
      </c>
      <c r="J117" s="1" t="s">
        <v>114</v>
      </c>
      <c r="K117" s="1" t="s">
        <v>439</v>
      </c>
      <c r="L117" s="1">
        <v>5059565449.50595</v>
      </c>
      <c r="M117" s="1" t="s">
        <v>47</v>
      </c>
      <c r="N117" s="1" t="s">
        <v>74</v>
      </c>
      <c r="O117" s="1" t="s">
        <v>75</v>
      </c>
      <c r="P117" s="1" t="s">
        <v>35</v>
      </c>
      <c r="R117" s="1">
        <v>2</v>
      </c>
      <c r="T117" s="2">
        <v>45921.6875</v>
      </c>
      <c r="U117" s="2">
        <v>45921.909722222219</v>
      </c>
      <c r="V117" s="1" t="s">
        <v>36</v>
      </c>
      <c r="W117" s="1" t="s">
        <v>37</v>
      </c>
      <c r="X117" s="3">
        <v>284.97000000000003</v>
      </c>
      <c r="Y117" s="3">
        <v>214.25</v>
      </c>
      <c r="AA117" s="3">
        <v>19.899999999999999</v>
      </c>
      <c r="AB117" s="3">
        <v>50.82</v>
      </c>
      <c r="AC117" s="3">
        <v>284.97000000000003</v>
      </c>
      <c r="AD117" s="1" t="s">
        <v>125</v>
      </c>
      <c r="AE117" s="1" t="s">
        <v>77</v>
      </c>
      <c r="AF117" s="1" t="s">
        <v>39</v>
      </c>
      <c r="AG117" s="1" t="s">
        <v>440</v>
      </c>
    </row>
    <row r="118" spans="1:33" x14ac:dyDescent="0.25">
      <c r="A118" s="1" t="str">
        <f>IF(P118="site desktop","Operações","Suporte KCS")</f>
        <v>Operações</v>
      </c>
      <c r="B118" s="1" t="s">
        <v>253</v>
      </c>
      <c r="E118" s="1">
        <v>16390746</v>
      </c>
      <c r="F118" s="1" t="s">
        <v>441</v>
      </c>
      <c r="G118" s="2">
        <v>45919.646469907406</v>
      </c>
      <c r="H118" s="1" t="s">
        <v>32</v>
      </c>
      <c r="J118" s="1" t="s">
        <v>114</v>
      </c>
      <c r="K118" s="1" t="s">
        <v>380</v>
      </c>
      <c r="L118" s="1">
        <v>209587674</v>
      </c>
      <c r="M118" s="1" t="s">
        <v>47</v>
      </c>
      <c r="N118" s="1" t="s">
        <v>74</v>
      </c>
      <c r="O118" s="1" t="s">
        <v>83</v>
      </c>
      <c r="P118" s="1" t="s">
        <v>35</v>
      </c>
      <c r="R118" s="1">
        <v>1</v>
      </c>
      <c r="T118" s="2">
        <v>45920.833333333336</v>
      </c>
      <c r="U118" s="2">
        <v>45921.194444444445</v>
      </c>
      <c r="V118" s="1" t="s">
        <v>36</v>
      </c>
      <c r="W118" s="1" t="s">
        <v>37</v>
      </c>
      <c r="X118" s="3">
        <v>212.8</v>
      </c>
      <c r="Y118" s="3">
        <v>163.30000000000001</v>
      </c>
      <c r="AA118" s="3">
        <v>10.95</v>
      </c>
      <c r="AB118" s="3">
        <v>38.549999999999997</v>
      </c>
      <c r="AC118" s="3">
        <v>212.8</v>
      </c>
      <c r="AD118" s="1" t="s">
        <v>141</v>
      </c>
      <c r="AE118" s="1" t="s">
        <v>120</v>
      </c>
      <c r="AF118" s="1" t="s">
        <v>39</v>
      </c>
      <c r="AG118" s="1">
        <v>10143732573</v>
      </c>
    </row>
    <row r="119" spans="1:33" x14ac:dyDescent="0.25">
      <c r="A119" s="1" t="str">
        <f>IF(P119="site desktop","Operações","Suporte KCS")</f>
        <v>Operações</v>
      </c>
      <c r="B119" s="1" t="s">
        <v>252</v>
      </c>
      <c r="E119" s="1">
        <v>16392823</v>
      </c>
      <c r="F119" s="1" t="s">
        <v>459</v>
      </c>
      <c r="G119" s="2">
        <v>45919.721585648149</v>
      </c>
      <c r="H119" s="1" t="s">
        <v>32</v>
      </c>
      <c r="J119" s="1" t="s">
        <v>61</v>
      </c>
      <c r="K119" s="1" t="s">
        <v>442</v>
      </c>
      <c r="L119" s="1">
        <v>130229514.130229</v>
      </c>
      <c r="M119" s="1" t="s">
        <v>33</v>
      </c>
      <c r="N119" s="1" t="s">
        <v>74</v>
      </c>
      <c r="O119" s="1" t="s">
        <v>443</v>
      </c>
      <c r="P119" s="1" t="s">
        <v>35</v>
      </c>
      <c r="R119" s="1">
        <v>2</v>
      </c>
      <c r="T119" s="2">
        <v>45922.694444444445</v>
      </c>
      <c r="U119" s="2">
        <v>45922.767361111109</v>
      </c>
      <c r="V119" s="1" t="s">
        <v>36</v>
      </c>
      <c r="W119" s="1" t="s">
        <v>37</v>
      </c>
      <c r="X119" s="3">
        <v>178.63</v>
      </c>
      <c r="Y119" s="3">
        <v>142.11000000000001</v>
      </c>
      <c r="AA119" s="3">
        <v>10.95</v>
      </c>
      <c r="AB119" s="3">
        <v>25.57</v>
      </c>
      <c r="AC119" s="3">
        <v>178.63</v>
      </c>
      <c r="AD119" s="1" t="s">
        <v>444</v>
      </c>
      <c r="AE119" s="1" t="s">
        <v>117</v>
      </c>
      <c r="AF119" s="1" t="s">
        <v>39</v>
      </c>
      <c r="AG119" s="1">
        <v>10143733938</v>
      </c>
    </row>
    <row r="120" spans="1:33" x14ac:dyDescent="0.25">
      <c r="A120" s="1" t="str">
        <f>IF(P120="site desktop","Operações","Suporte KCS")</f>
        <v>Operações</v>
      </c>
      <c r="B120" s="1" t="s">
        <v>253</v>
      </c>
      <c r="E120" s="1">
        <v>16393827</v>
      </c>
      <c r="F120" s="1" t="s">
        <v>445</v>
      </c>
      <c r="G120" s="2">
        <v>45919.763437499998</v>
      </c>
      <c r="H120" s="1" t="s">
        <v>32</v>
      </c>
      <c r="J120" s="1" t="s">
        <v>114</v>
      </c>
      <c r="K120" s="1" t="s">
        <v>353</v>
      </c>
      <c r="L120" s="1">
        <v>47146542013</v>
      </c>
      <c r="M120" s="1" t="s">
        <v>47</v>
      </c>
      <c r="N120" s="1" t="s">
        <v>90</v>
      </c>
      <c r="O120" s="1" t="s">
        <v>86</v>
      </c>
      <c r="P120" s="1" t="s">
        <v>35</v>
      </c>
      <c r="R120" s="1">
        <v>1</v>
      </c>
      <c r="T120" s="2">
        <v>45922.291666666664</v>
      </c>
      <c r="U120" s="2">
        <v>45922.626388888886</v>
      </c>
      <c r="V120" s="1" t="s">
        <v>36</v>
      </c>
      <c r="W120" s="1" t="s">
        <v>37</v>
      </c>
      <c r="X120" s="3">
        <v>263.92</v>
      </c>
      <c r="Y120" s="3">
        <v>205.6</v>
      </c>
      <c r="AA120" s="3">
        <v>9.9499999999999993</v>
      </c>
      <c r="AB120" s="3">
        <v>48.37</v>
      </c>
      <c r="AC120" s="3">
        <v>263.92</v>
      </c>
      <c r="AD120" s="1" t="s">
        <v>276</v>
      </c>
      <c r="AE120" s="1" t="s">
        <v>277</v>
      </c>
      <c r="AF120" s="1" t="s">
        <v>39</v>
      </c>
      <c r="AG120" s="1">
        <v>10143735519</v>
      </c>
    </row>
    <row r="121" spans="1:33" x14ac:dyDescent="0.25">
      <c r="A121" s="1" t="str">
        <f>IF(P121="site desktop","Operações","Suporte KCS")</f>
        <v>Operações</v>
      </c>
      <c r="B121" s="1" t="s">
        <v>253</v>
      </c>
      <c r="E121" s="1">
        <v>16393896</v>
      </c>
      <c r="F121" s="1" t="s">
        <v>446</v>
      </c>
      <c r="G121" s="2">
        <v>45919.766319444447</v>
      </c>
      <c r="H121" s="1" t="s">
        <v>32</v>
      </c>
      <c r="J121" s="1" t="s">
        <v>114</v>
      </c>
      <c r="K121" s="1" t="s">
        <v>335</v>
      </c>
      <c r="L121" s="1">
        <v>3303290</v>
      </c>
      <c r="M121" s="1" t="s">
        <v>47</v>
      </c>
      <c r="N121" s="1" t="s">
        <v>34</v>
      </c>
      <c r="O121" s="1" t="s">
        <v>94</v>
      </c>
      <c r="P121" s="1" t="s">
        <v>35</v>
      </c>
      <c r="R121" s="1">
        <v>1</v>
      </c>
      <c r="T121" s="2">
        <v>45922.59375</v>
      </c>
      <c r="U121" s="2">
        <v>45922.770833333336</v>
      </c>
      <c r="V121" s="1" t="s">
        <v>36</v>
      </c>
      <c r="W121" s="1" t="s">
        <v>37</v>
      </c>
      <c r="X121" s="3">
        <v>109.92</v>
      </c>
      <c r="Y121" s="3">
        <v>80.72</v>
      </c>
      <c r="AA121" s="3">
        <v>9.9499999999999993</v>
      </c>
      <c r="AB121" s="3">
        <v>19.25</v>
      </c>
      <c r="AC121" s="3">
        <v>109.92</v>
      </c>
      <c r="AD121" s="1" t="s">
        <v>160</v>
      </c>
      <c r="AE121" s="1" t="s">
        <v>432</v>
      </c>
      <c r="AF121" s="1" t="s">
        <v>39</v>
      </c>
      <c r="AG121" s="1">
        <v>10143734791</v>
      </c>
    </row>
    <row r="122" spans="1:33" x14ac:dyDescent="0.25">
      <c r="A122" s="1" t="str">
        <f>IF(P122="site desktop","Operações","Suporte KCS")</f>
        <v>Operações</v>
      </c>
      <c r="B122" s="1" t="s">
        <v>253</v>
      </c>
      <c r="E122" s="1">
        <v>16398485</v>
      </c>
      <c r="F122" s="1" t="s">
        <v>447</v>
      </c>
      <c r="G122" s="2">
        <v>45920.445370370369</v>
      </c>
      <c r="H122" s="1" t="s">
        <v>32</v>
      </c>
      <c r="J122" s="1" t="s">
        <v>45</v>
      </c>
      <c r="K122" s="1" t="s">
        <v>448</v>
      </c>
      <c r="L122" s="1">
        <v>21034826</v>
      </c>
      <c r="M122" s="1" t="s">
        <v>33</v>
      </c>
      <c r="N122" s="1" t="s">
        <v>74</v>
      </c>
      <c r="O122" s="1" t="s">
        <v>449</v>
      </c>
      <c r="P122" s="1" t="s">
        <v>35</v>
      </c>
      <c r="R122" s="1">
        <v>1</v>
      </c>
      <c r="T122" s="2">
        <v>45920.583333333336</v>
      </c>
      <c r="U122" s="2">
        <v>45920.895833333336</v>
      </c>
      <c r="V122" s="1" t="s">
        <v>36</v>
      </c>
      <c r="W122" s="1" t="s">
        <v>37</v>
      </c>
      <c r="X122" s="3">
        <v>139.9</v>
      </c>
      <c r="Y122" s="3">
        <v>110.13</v>
      </c>
      <c r="AA122" s="3">
        <v>9.9499999999999993</v>
      </c>
      <c r="AB122" s="3">
        <v>19.82</v>
      </c>
      <c r="AC122" s="3">
        <v>139.9</v>
      </c>
      <c r="AD122" s="1" t="s">
        <v>60</v>
      </c>
      <c r="AE122" s="1" t="s">
        <v>450</v>
      </c>
      <c r="AF122" s="1" t="s">
        <v>39</v>
      </c>
      <c r="AG122" s="1">
        <v>10143739739</v>
      </c>
    </row>
    <row r="123" spans="1:33" x14ac:dyDescent="0.25">
      <c r="A123" s="1" t="str">
        <f>IF(P123="site desktop","Operações","Suporte KCS")</f>
        <v>Operações</v>
      </c>
      <c r="B123" s="1" t="s">
        <v>252</v>
      </c>
      <c r="E123" s="1">
        <v>16401377</v>
      </c>
      <c r="F123" s="1" t="s">
        <v>460</v>
      </c>
      <c r="G123" s="2">
        <v>45920.706250000003</v>
      </c>
      <c r="H123" s="1" t="s">
        <v>32</v>
      </c>
      <c r="J123" s="1" t="s">
        <v>45</v>
      </c>
      <c r="K123" s="1" t="s">
        <v>451</v>
      </c>
      <c r="L123" s="1" t="s">
        <v>452</v>
      </c>
      <c r="M123" s="1" t="s">
        <v>47</v>
      </c>
      <c r="N123" s="1" t="s">
        <v>453</v>
      </c>
      <c r="O123" s="1" t="s">
        <v>454</v>
      </c>
      <c r="P123" s="1" t="s">
        <v>35</v>
      </c>
      <c r="R123" s="1">
        <v>4</v>
      </c>
      <c r="T123" s="2">
        <v>45921.28125</v>
      </c>
      <c r="U123" s="2">
        <v>45921.59375</v>
      </c>
      <c r="V123" s="1" t="s">
        <v>36</v>
      </c>
      <c r="W123" s="1" t="s">
        <v>37</v>
      </c>
      <c r="X123" s="3">
        <v>502.53</v>
      </c>
      <c r="Y123" s="3">
        <v>389.84</v>
      </c>
      <c r="AA123" s="3">
        <v>20.9</v>
      </c>
      <c r="AB123" s="3">
        <v>91.79</v>
      </c>
      <c r="AC123" s="3">
        <v>502.53</v>
      </c>
      <c r="AD123" s="1" t="s">
        <v>118</v>
      </c>
      <c r="AE123" s="1" t="s">
        <v>65</v>
      </c>
      <c r="AF123" s="1" t="s">
        <v>57</v>
      </c>
      <c r="AG123" s="1" t="s">
        <v>455</v>
      </c>
    </row>
    <row r="125" spans="1:33" x14ac:dyDescent="0.25">
      <c r="E125" s="1" t="str">
        <f>_xlfn.TEXTJOIN(";",,E2:E123)</f>
        <v>16182936;16185230;16185808;16186738;16186901;16187858;16197017;16205638;16205938;16206227;16208599;16209671;16210193;16211459;16219486;16219540;16219737;16219990;16220194;16220278;16220325;16220575;16222595;16222614;16228773;16228934;16229637;16229755;16231123;16231599;16232143;16232245;16232378;16233118;16234635;16234673;16234874;16235255;16235832;16235895;16235913;16236000;16236202;16237455;16237550;16237631;16241025;16241103;16246134;16246134;16264516;16271576;16273539;16273977;16276570;16276671;16283535;16283566;16283602;16284471;16284515;16284570;16284621;16289817;16294621;16301540;16301685;16305224;16307205;16307247;16307512;16307700;16308897;16308915;16313260;16313544;16315228;16316699;16335777;16335938;16337614;16338376;16339614;16339913;16343709;16343816;16344011;16346346;16351298;16352870;16354600;16354722;16354839;16355666;16356245;16357175;16361612;16363677;16367231;16367621;16367751;16367756;16367790;16367817;16367881;16368560;16368728;16371417;16371544;16371977;16375454;16376824;16378499;16378550;16379301;16390667;16390746;16392823;16393827;16393896;16398485;16401377</v>
      </c>
      <c r="F125" s="1" t="str">
        <f>_xlfn.TEXTJOIN(";0",,F2:F123)</f>
        <v>4803258;0PVSYBEF;010008358753;088852;0R4S3FXP4;0PRSDLAX;007AW7R;0010290473150;0010002473520;010290477470;09969;010290500965;0467985603;010043176955;01D08QJ;01D08TK;0GDMYCUXK;0GDMIDGLE;011175360152273;011175360152291;0468038065;0468039718;010012937483;010043190397;0468086017;0ODMBNFEN;01D0XVK;01029702160019;01D11A4;010015113954;010015114147;010015112151;01D12VC;0468110073;010043204777;01D16K8;010178;0468120159;01D18N2;01D18S3;0468124168;004TTGB;01D1AVG;0AAPGKMI;0468134365;010290738306;010290782803;004TVR0;0ODLOWRJW;0ODLOWRJW;0AJC3AF;004UB2P;010015149851;01D48R9;0153980-153980@2241;010013000348;0AACQHRG;0PPOZBFF;0AACQRWQ;0468398875;011175366164252;011175366164270;0468399409;010291277790;010291324874;010291373285;010291374467;010001365143;010002951757;010002951762;010002546214;010002546235;0GDUQEHGC;0624442-624439@99991;011465368129615;010291477100;0GDHNXKRV;01869;012705371022509;012705371022518;010291757352;0430335-430335@137;010018973312;01D8ZTP;0430630-430630@137;0XXKMYDB;01326806;010018977420;010291882447;0JJHEBGD;010291909438;010291908789;010021356076;010002960224;010029394441;02704;0DFICBB;0468811431;010006927457;0GDSZNFOB;010013100116;045465;011175373179243;011465373165259;010292021803;010292028545;01DB0QV;010292062722;010292063919;0GDNBGTLK;010292094776;0468876779;010002963740;010002963769;0010231128231;0468943206;0ABXMCBR;010043417542;01DCN7C;0ODRTISBV;0RHD7D95B;0MJNBCZJ</v>
      </c>
    </row>
  </sheetData>
  <autoFilter ref="A1:AH21" xr:uid="{E95C4BB9-0AD2-4392-A7AF-DE599BB79562}">
    <sortState xmlns:xlrd2="http://schemas.microsoft.com/office/spreadsheetml/2017/richdata2" ref="A2:AH123">
      <sortCondition ref="E1:E2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quero passagem 08.09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Vitor Moreira</dc:creator>
  <cp:lastModifiedBy>Diego Vitor Moreira</cp:lastModifiedBy>
  <dcterms:created xsi:type="dcterms:W3CDTF">2025-09-17T11:00:09Z</dcterms:created>
  <dcterms:modified xsi:type="dcterms:W3CDTF">2025-10-13T10:32:58Z</dcterms:modified>
</cp:coreProperties>
</file>