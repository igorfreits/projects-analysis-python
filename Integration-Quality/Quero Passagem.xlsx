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6DAF61CC-ADCB-4605-B9CB-8606E1FB88E4}" xr6:coauthVersionLast="47" xr6:coauthVersionMax="47" xr10:uidLastSave="{00000000-0000-0000-0000-000000000000}"/>
  <bookViews>
    <workbookView xWindow="-28920" yWindow="0" windowWidth="29040" windowHeight="15720" xr2:uid="{BEAF97CA-3537-4829-9ABA-549EE0F2463A}"/>
  </bookViews>
  <sheets>
    <sheet name="mgds_compra_list (1)" sheetId="1" r:id="rId1"/>
    <sheet name="Planilha1" sheetId="3" r:id="rId2"/>
  </sheets>
  <definedNames>
    <definedName name="_xlnm._FilterDatabase" localSheetId="0" hidden="1">'mgds_compra_list (1)'!$A$1:$AH$79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1" i="3"/>
</calcChain>
</file>

<file path=xl/sharedStrings.xml><?xml version="1.0" encoding="utf-8"?>
<sst xmlns="http://schemas.openxmlformats.org/spreadsheetml/2006/main" count="1245" uniqueCount="341">
  <si>
    <t>Cód. Lemontech</t>
  </si>
  <si>
    <t>Cód. Argo</t>
  </si>
  <si>
    <t>Cód. QP</t>
  </si>
  <si>
    <t>Localizador</t>
  </si>
  <si>
    <t>Data da Compra</t>
  </si>
  <si>
    <t>Pagamento</t>
  </si>
  <si>
    <t>Cód. Self-booking</t>
  </si>
  <si>
    <t>Atendente</t>
  </si>
  <si>
    <t>Passageiro</t>
  </si>
  <si>
    <t>Documento</t>
  </si>
  <si>
    <t>Venda</t>
  </si>
  <si>
    <t>GDS de origem</t>
  </si>
  <si>
    <t>Viação</t>
  </si>
  <si>
    <t>Origem da Venda</t>
  </si>
  <si>
    <t>Whitelist</t>
  </si>
  <si>
    <t>Nº Passagens</t>
  </si>
  <si>
    <t>Data Cancelamento</t>
  </si>
  <si>
    <t>Data Partida</t>
  </si>
  <si>
    <t>Data Chegada</t>
  </si>
  <si>
    <t>CLX Mesmo dia</t>
  </si>
  <si>
    <t>Tipo</t>
  </si>
  <si>
    <t>Valor Total</t>
  </si>
  <si>
    <t>Valor da Tarifa</t>
  </si>
  <si>
    <t>Devolvido</t>
  </si>
  <si>
    <t>Taxa Seguro</t>
  </si>
  <si>
    <t>Taxa Serviço</t>
  </si>
  <si>
    <t>Valor Compra</t>
  </si>
  <si>
    <t>Origem</t>
  </si>
  <si>
    <t>Destino</t>
  </si>
  <si>
    <t>Trecho</t>
  </si>
  <si>
    <t>Cód. Seguros</t>
  </si>
  <si>
    <t>Analista</t>
  </si>
  <si>
    <t>Pagamento Efetuado</t>
  </si>
  <si>
    <t>Faturado</t>
  </si>
  <si>
    <t>J3</t>
  </si>
  <si>
    <t>Site Desktop</t>
  </si>
  <si>
    <t>Não</t>
  </si>
  <si>
    <t>Direto</t>
  </si>
  <si>
    <t>Rio de Janeiro, RJ - Novo Rio</t>
  </si>
  <si>
    <t>Campos dos Goytacazes, RJ - Shopping Estrada</t>
  </si>
  <si>
    <t>IDA</t>
  </si>
  <si>
    <t>Distribusion</t>
  </si>
  <si>
    <t>Itapemirim</t>
  </si>
  <si>
    <t>Self Booking</t>
  </si>
  <si>
    <t>API - Argo</t>
  </si>
  <si>
    <t>Macaé, RJ - Rodoviária</t>
  </si>
  <si>
    <t>07AW7R,07AW7U</t>
  </si>
  <si>
    <t>Edimeia Santana dos Santos</t>
  </si>
  <si>
    <t>FERNANDA PIRES MUNIZ,FERNANDA PIRES MUNIZ</t>
  </si>
  <si>
    <t>Motta</t>
  </si>
  <si>
    <t>Campo Grande, MS - Rodoviária</t>
  </si>
  <si>
    <t>Dourados, MS - Rodoviária</t>
  </si>
  <si>
    <t>CIA BRASILEIRA DE OFFSHORE</t>
  </si>
  <si>
    <t>Ribeirão Preto, SP - Rodoviária</t>
  </si>
  <si>
    <t>Goiânia, GO - Rodoviária</t>
  </si>
  <si>
    <t>Natal, RN - Rodoviária</t>
  </si>
  <si>
    <t>CBO</t>
  </si>
  <si>
    <t>Águia Branca</t>
  </si>
  <si>
    <t>Iconha, ES - Rodoviária</t>
  </si>
  <si>
    <t>MAO</t>
  </si>
  <si>
    <t>Expresso Guanabara</t>
  </si>
  <si>
    <t>OCEANPACT GEOCIENCIAS</t>
  </si>
  <si>
    <t>Vitória, ES - Rodoviária</t>
  </si>
  <si>
    <t>IDA E VOLTA</t>
  </si>
  <si>
    <t>Aracaju, SE - Gov. José Rollemberg Leite (Rodoviária Nova)</t>
  </si>
  <si>
    <t>Sim</t>
  </si>
  <si>
    <t>Reunidas</t>
  </si>
  <si>
    <t>Florianópolis, SC - Rodoviária</t>
  </si>
  <si>
    <t>Catarinense</t>
  </si>
  <si>
    <t>J3RO</t>
  </si>
  <si>
    <t>Real Expresso</t>
  </si>
  <si>
    <t>São Paulo, SP - Tietê</t>
  </si>
  <si>
    <t>Salvador, BA - Rodoviária</t>
  </si>
  <si>
    <t>OCEANPACT SERVICOS MARITIMOS</t>
  </si>
  <si>
    <t>UP OFFSHORE</t>
  </si>
  <si>
    <t>Rio das Ostras, RJ</t>
  </si>
  <si>
    <t>Cabo Frio, RJ - Rodoviária</t>
  </si>
  <si>
    <t>Cometa</t>
  </si>
  <si>
    <t>FREDERICO SILVA RIBEIRO</t>
  </si>
  <si>
    <t>Praxio</t>
  </si>
  <si>
    <t>Porto Alegre, RS - Terminal Veppo</t>
  </si>
  <si>
    <t>Comporte</t>
  </si>
  <si>
    <t>Princesa do Norte</t>
  </si>
  <si>
    <t>São Paulo, SP - Barra Funda</t>
  </si>
  <si>
    <t>OCEANPACT</t>
  </si>
  <si>
    <t>Natalia Barral de Oliveira</t>
  </si>
  <si>
    <t>São Luís, MA - Rodoviária</t>
  </si>
  <si>
    <t>JCCTAHA,MCCTAHC</t>
  </si>
  <si>
    <t>Renata Claudia De Oliveira</t>
  </si>
  <si>
    <t>LUCIANA MENDANHA LEAO CARVALHO,LUCIANA MENDANHA LEAO CARVALHO</t>
  </si>
  <si>
    <t>MG12143787,MG12143787</t>
  </si>
  <si>
    <t>GV</t>
  </si>
  <si>
    <t>Pássaro Verde</t>
  </si>
  <si>
    <t>Itabirito, MG</t>
  </si>
  <si>
    <t>Ouro Preto, MG - Rodoviária</t>
  </si>
  <si>
    <t>10143583993, 10143583983</t>
  </si>
  <si>
    <t>SERGIO SIMOES</t>
  </si>
  <si>
    <t>LUIZA CARVALHO PRADO</t>
  </si>
  <si>
    <t>ODJTAEAC</t>
  </si>
  <si>
    <t>GILMAR NASCIMENTO GUEDES</t>
  </si>
  <si>
    <t>Unamar, RJ</t>
  </si>
  <si>
    <t>MARLUCIO ALVES SILVA</t>
  </si>
  <si>
    <t>Costa Verde</t>
  </si>
  <si>
    <t>Angra dos Reis, RJ - Rodoviária</t>
  </si>
  <si>
    <t>PRSDLAX</t>
  </si>
  <si>
    <t>Maria Gabriela Stella Azevedo Neves</t>
  </si>
  <si>
    <t>Sergio Ferreira Santana</t>
  </si>
  <si>
    <t>Cidade Sol</t>
  </si>
  <si>
    <t>Guanambi, BA</t>
  </si>
  <si>
    <t>R4S3FXP4</t>
  </si>
  <si>
    <t>Tamara Michels Behn</t>
  </si>
  <si>
    <t>LUIZ ANTONIO DE SOUZA SALVADOR</t>
  </si>
  <si>
    <t>VICTOR NOGUEIRA BENEDITO</t>
  </si>
  <si>
    <t>J3, Distribusion</t>
  </si>
  <si>
    <t>GDOFKLXA</t>
  </si>
  <si>
    <t>Aeroporto Guarulhos - Cumbica (GRU)</t>
  </si>
  <si>
    <t>Praia Grande, SP - Tude Bastos</t>
  </si>
  <si>
    <t>WILLIAN DE JESUS CAETANO</t>
  </si>
  <si>
    <t>Expresso Nordeste</t>
  </si>
  <si>
    <t>Curitiba, PR - Rodoviária</t>
  </si>
  <si>
    <t>Campinas, SP - Terminal Ramos de Azevedo</t>
  </si>
  <si>
    <t>ODOFYHNO</t>
  </si>
  <si>
    <t>GDGFXEYQ</t>
  </si>
  <si>
    <t>PVSYBEF,XVSYBEE</t>
  </si>
  <si>
    <t>UALDSON DA SILVA SANTANA,UALDSON DA SILVA SANTANA</t>
  </si>
  <si>
    <t>Rota Transportes</t>
  </si>
  <si>
    <t>Itabuna, BA - Rodoviária</t>
  </si>
  <si>
    <t>Teixeira de Freitas, BA - Rodoviária</t>
  </si>
  <si>
    <t>10143580270, 10143580262</t>
  </si>
  <si>
    <t>Feira de Santana, BA - Rodoviária</t>
  </si>
  <si>
    <t>Distribusion, GV</t>
  </si>
  <si>
    <t>CIRO CRUZ PESSANHA</t>
  </si>
  <si>
    <t>Vitória da Conquista, BA - Rodoviária</t>
  </si>
  <si>
    <t>MATHEUS PEREIRA SALOMAO,MATHEUS PEREIRA SALOMAO</t>
  </si>
  <si>
    <t>Rápido Fênix</t>
  </si>
  <si>
    <t>Serra Negra, SP</t>
  </si>
  <si>
    <t>10143578770, 10143578769</t>
  </si>
  <si>
    <t>Nataly Franca Regal de Castro</t>
  </si>
  <si>
    <t>OSEAS PEREIRA DA SILVA</t>
  </si>
  <si>
    <t>PRMBDCF</t>
  </si>
  <si>
    <t>Maria Eugenia Oliva</t>
  </si>
  <si>
    <t>Katia Sampaio Nascimento</t>
  </si>
  <si>
    <t>GDOYIMTB</t>
  </si>
  <si>
    <t>LELIO LIMA</t>
  </si>
  <si>
    <t>XVMKSWO</t>
  </si>
  <si>
    <t>Gabriel Moraes Lemos Coelho</t>
  </si>
  <si>
    <t>Jequié, BA - Rodoviária</t>
  </si>
  <si>
    <t>Alexandre Fernando Papa</t>
  </si>
  <si>
    <t>Cartão</t>
  </si>
  <si>
    <t>GABRIEL MORENO FALCAO,GABRIEL MORENO FALCAO</t>
  </si>
  <si>
    <t xml:space="preserve">Expresso de Prata  </t>
  </si>
  <si>
    <t>Bauru, SP</t>
  </si>
  <si>
    <t>10143566846, 10143566839</t>
  </si>
  <si>
    <t>GDGRACVZ,GDOVACXC</t>
  </si>
  <si>
    <t>PEDRO HENRIQUE PAES LEME B DA SILVA,PEDRO HENRIQUE PAES LEME B DA SILVA</t>
  </si>
  <si>
    <t>01/09/2025 13:48:14 (1)</t>
  </si>
  <si>
    <t>Jessica Soares Teixeira</t>
  </si>
  <si>
    <t>RICIERI CARLOS CORDONI</t>
  </si>
  <si>
    <t>Unesul</t>
  </si>
  <si>
    <t>Passo Fundo, RS</t>
  </si>
  <si>
    <t>RF9N7PQM</t>
  </si>
  <si>
    <t>SORAYA LOPES MORAIS DE OLIVEIRA</t>
  </si>
  <si>
    <t>M1674165</t>
  </si>
  <si>
    <t>Elite Bus</t>
  </si>
  <si>
    <t>Nanuque, MG</t>
  </si>
  <si>
    <t>Belo Horizonte, MG - Terminal Turístico JK</t>
  </si>
  <si>
    <t>JMGHAEI,JMGHAEK</t>
  </si>
  <si>
    <t>Marcia Fernandes De Sousa</t>
  </si>
  <si>
    <t>Edinaldo Carvalho de Souza,Edinaldo Carvalho de Souza</t>
  </si>
  <si>
    <t>Ouro e Prata</t>
  </si>
  <si>
    <t>Parauapebas, PA</t>
  </si>
  <si>
    <t>Rurópolis, PA</t>
  </si>
  <si>
    <t>04SRXT</t>
  </si>
  <si>
    <t>JOSINALDO MARCOS DE SOUSA</t>
  </si>
  <si>
    <t>Progresso</t>
  </si>
  <si>
    <t>João Pessoa, PB - Severino Camelo</t>
  </si>
  <si>
    <t>Recife, PE - Rodoviária (TIP)</t>
  </si>
  <si>
    <t>R7PQK42N,RCC8QYSR</t>
  </si>
  <si>
    <t>Sheila Ramos dos Santos</t>
  </si>
  <si>
    <t>Marcello de Carvalho Bodini,Marcello de Carvalho Bodini</t>
  </si>
  <si>
    <t>135494114SESPSP,135494114SESPSP</t>
  </si>
  <si>
    <t>Boa Esperança</t>
  </si>
  <si>
    <t xml:space="preserve">Belém, PA - Rodoviária   </t>
  </si>
  <si>
    <t>Paragominas, PA</t>
  </si>
  <si>
    <t>10143566122, 10143566127</t>
  </si>
  <si>
    <t>NATALIA MORETTI RONGETTA</t>
  </si>
  <si>
    <t>Vale do Tietê</t>
  </si>
  <si>
    <t>Cerquilho, SP</t>
  </si>
  <si>
    <t>JMOHPED</t>
  </si>
  <si>
    <t>JOAO VITOR PERES DOS SANTOS</t>
  </si>
  <si>
    <t>7134400361SSP</t>
  </si>
  <si>
    <t>Chapecó, SC - Rodoviária</t>
  </si>
  <si>
    <t>Lençóis Paulista, SP</t>
  </si>
  <si>
    <t>1CVMES</t>
  </si>
  <si>
    <t>MIKAELLY SILVA GOMES</t>
  </si>
  <si>
    <t>Fortaleza, CE - Terminal João Thomé</t>
  </si>
  <si>
    <t>WILKER FRANK SILVA DOS SANTOS,WILKER FRANK SILVA DOS SANTOS</t>
  </si>
  <si>
    <t>Amatur</t>
  </si>
  <si>
    <t>Rio Branco, AC</t>
  </si>
  <si>
    <t>Porto Velho, RO - Rodoviária</t>
  </si>
  <si>
    <t>04SR7U</t>
  </si>
  <si>
    <t>Recife, PE - Detran</t>
  </si>
  <si>
    <t>PRBFYW</t>
  </si>
  <si>
    <t>ANTONIO CARVALHO DE SOUZA FILHO</t>
  </si>
  <si>
    <t>Joinville, SC - Terminal Harold Nielson</t>
  </si>
  <si>
    <t>Joaçaba, SC - Rodoviária</t>
  </si>
  <si>
    <t>Maicon Gonalves Centeno</t>
  </si>
  <si>
    <t>1CVAV6,1CVAV9</t>
  </si>
  <si>
    <t>MICHAEL DE SOUZA NOGUEIRA,MICHAEL DE SOUZA NOGUEIRA</t>
  </si>
  <si>
    <t>Brasília, DF - Terminal Interestadual</t>
  </si>
  <si>
    <t>Uberlândia, MG - Rodoviária</t>
  </si>
  <si>
    <t>10143562836, 10143562817</t>
  </si>
  <si>
    <t>NATALIA RONGETTA</t>
  </si>
  <si>
    <t xml:space="preserve">Airport Bus Service    </t>
  </si>
  <si>
    <t>Ana Carolina Silva</t>
  </si>
  <si>
    <t>Claudio Henrique Pessoa Brandao,Claudio Henrique Pessoa Brandao</t>
  </si>
  <si>
    <t>MG14436031,MG14436031</t>
  </si>
  <si>
    <t>Expresso União</t>
  </si>
  <si>
    <t>Crixás, GO</t>
  </si>
  <si>
    <t>10143562412, 10143562407</t>
  </si>
  <si>
    <t>07A9DT</t>
  </si>
  <si>
    <t>Reembolso Efetuado</t>
  </si>
  <si>
    <t>Total</t>
  </si>
  <si>
    <t>29/08/2025 14:55:07 (1)</t>
  </si>
  <si>
    <t>AKEQUEC</t>
  </si>
  <si>
    <t>ANTONIO SILVERIO INOCENCIO</t>
  </si>
  <si>
    <t>MG2696104</t>
  </si>
  <si>
    <t>PRTFAWX</t>
  </si>
  <si>
    <t>XRWFMCN</t>
  </si>
  <si>
    <t>KATIA SAMPAIO NASCIMENTO</t>
  </si>
  <si>
    <t>Brasileiro</t>
  </si>
  <si>
    <t>HJIS74</t>
  </si>
  <si>
    <t>SEBASTIAO DO NASCIMENTO</t>
  </si>
  <si>
    <t>Realbus</t>
  </si>
  <si>
    <t>Campina Grande, PB - Rodoviária</t>
  </si>
  <si>
    <t>PVWFORQ</t>
  </si>
  <si>
    <t>RENATO DOS SANTOS NASCIMENTO</t>
  </si>
  <si>
    <t>GDOJEFFL,ODOJEFFA</t>
  </si>
  <si>
    <t>EDUARDA DE CASTRO RESENDE,EDUARDA DE CASTRO RESENDE</t>
  </si>
  <si>
    <t>Sorocaba, SP</t>
  </si>
  <si>
    <t>10143559367, 10143559366</t>
  </si>
  <si>
    <t>UMQHCBI,UJLHCBC</t>
  </si>
  <si>
    <t>DAVI TORRES ARAUJO,DAVI TORRES ARAUJO</t>
  </si>
  <si>
    <t>Valle Sul</t>
  </si>
  <si>
    <t>Registro, SP</t>
  </si>
  <si>
    <t>10143559341, 10143559323</t>
  </si>
  <si>
    <t>WESLEY CALIXTO DE SENA</t>
  </si>
  <si>
    <t xml:space="preserve">Real Alagoas </t>
  </si>
  <si>
    <t>Maceió, AL - Terminal João Paulo II</t>
  </si>
  <si>
    <t>XRAAMD</t>
  </si>
  <si>
    <t>CLEBER JARDEL DOMINGUES DE OLIVEIRA</t>
  </si>
  <si>
    <t>Real Transportes</t>
  </si>
  <si>
    <t>JMGWFAC</t>
  </si>
  <si>
    <t>1CUTNM</t>
  </si>
  <si>
    <t>421079-421079@137</t>
  </si>
  <si>
    <t>Daniel Souza Filho</t>
  </si>
  <si>
    <t>Jamjoy</t>
  </si>
  <si>
    <t>Diego Pereira de Souza</t>
  </si>
  <si>
    <t xml:space="preserve">Araraquara, SP - Rodoviária  </t>
  </si>
  <si>
    <t>1CTYWE</t>
  </si>
  <si>
    <t>JOSE CARLOS BERNARDO DA SILVA</t>
  </si>
  <si>
    <t>Rápido Federal</t>
  </si>
  <si>
    <t>ODTEGDEA</t>
  </si>
  <si>
    <t>MARIA CAROLINA BORGES</t>
  </si>
  <si>
    <t>GDWEODCQ</t>
  </si>
  <si>
    <t>137856-137856@2241,1CT8RV</t>
  </si>
  <si>
    <t>Fabio Dutra da Costa,Fabio Dutra da Costa</t>
  </si>
  <si>
    <t>Catedral Turismo, Rápido Federal</t>
  </si>
  <si>
    <t>10143545167, 10143545160</t>
  </si>
  <si>
    <t>AKBPCDU,AKBXCDD</t>
  </si>
  <si>
    <t>Wallace da Silva Barbosa,Wallace da Silva Barbosa</t>
  </si>
  <si>
    <t>Petrolina, PE</t>
  </si>
  <si>
    <t>10143545094, 10143545092</t>
  </si>
  <si>
    <t>Denilson Eduardo Fracaroli,Denilson Eduardo Fracaroli</t>
  </si>
  <si>
    <t>10143544445, 10143544452</t>
  </si>
  <si>
    <t>10143544429, 10143544427</t>
  </si>
  <si>
    <t>BIANCA POSTERLLI GRANADO DA SILVA,BIANCA POSTERLLI GRANADO DA SILVA</t>
  </si>
  <si>
    <t xml:space="preserve">Caruaruense  </t>
  </si>
  <si>
    <t xml:space="preserve">Caruaru, PE - Rodoviária  </t>
  </si>
  <si>
    <t>10143544290, 10143544268</t>
  </si>
  <si>
    <t>ELTON LUIS LOUREIRO,ELTON LUIS LOUREIRO</t>
  </si>
  <si>
    <t>Guerino Seiscento, Andorinha</t>
  </si>
  <si>
    <t>Araçatuba, SP - Rodoviária</t>
  </si>
  <si>
    <t>Presidente Prudente, SP - Rodoviária</t>
  </si>
  <si>
    <t>10143544184, 10143544179</t>
  </si>
  <si>
    <t>Mayara de Oliveira Alencar</t>
  </si>
  <si>
    <t>Roberto Monteiro de Farias</t>
  </si>
  <si>
    <t>Cidade do Aço</t>
  </si>
  <si>
    <t>Resende, RJ - Graal Resende</t>
  </si>
  <si>
    <t>GDTCJAGY,AZBUCAS</t>
  </si>
  <si>
    <t>Jeane Alencar Pereira</t>
  </si>
  <si>
    <t>DOUGLAS EVARISTO DE ALMEIDA,DOUGLAS EVARISTO DE ALMEIDA</t>
  </si>
  <si>
    <t>Expresso do Sul, Águia Branca</t>
  </si>
  <si>
    <t>10143543462, 10143543456</t>
  </si>
  <si>
    <t>GDWCJYNE,AKBHBKJ</t>
  </si>
  <si>
    <t>DIOGO BORGES DA SILVA,DIOGO BORGES DA SILVA</t>
  </si>
  <si>
    <t>10143543427, 10143543428</t>
  </si>
  <si>
    <t>ODTCJTBE,AKBHICQ</t>
  </si>
  <si>
    <t>NICOLAS DOS SANTOS ALVES,NICOLAS DOS SANTOS ALVES</t>
  </si>
  <si>
    <t>10143543307, 10143543305</t>
  </si>
  <si>
    <t>GDWCOCRL,AZBHXUW</t>
  </si>
  <si>
    <t>HELENO SANTOS DA SILVA,HELENO SANTOS DA SILVA</t>
  </si>
  <si>
    <t>10143543264, 10143543263</t>
  </si>
  <si>
    <t>JESSICA ARAUJO DA SILVA,JESSICA ARAUJO DA SILVA</t>
  </si>
  <si>
    <t>10066452RO,10066452RO</t>
  </si>
  <si>
    <t>ODWCGGXY,AKBUQWA</t>
  </si>
  <si>
    <t>RAPHAEL MORAES FERREIRA CAMPOS,RAPHAEL MORAES FERREIRA CAMPOS</t>
  </si>
  <si>
    <t>10143543116, 10143543113</t>
  </si>
  <si>
    <t>Renato Saad Panunzio,Renato Saad Panunzio</t>
  </si>
  <si>
    <t>Serro</t>
  </si>
  <si>
    <t>Conceição do Mato Dentro, MG</t>
  </si>
  <si>
    <t>Lagoa Santa, MG</t>
  </si>
  <si>
    <t>GDWKBGZP</t>
  </si>
  <si>
    <t>JOVANI GONALVES DE ARAUJO</t>
  </si>
  <si>
    <t>1CSDKM</t>
  </si>
  <si>
    <t>FRANCISCO DE ASSIS CESARIO SOUZA</t>
  </si>
  <si>
    <t>Luís Eduardo Magalhães, BA</t>
  </si>
  <si>
    <t>Ibotirama, BA</t>
  </si>
  <si>
    <t>JESSICA APARECIDA MOLLO,JESSICA APARECIDA MOLLO</t>
  </si>
  <si>
    <t>Piraju, SP</t>
  </si>
  <si>
    <t>10143535712, 10143535726</t>
  </si>
  <si>
    <t>ODWKRRBE,GDTZVRCA</t>
  </si>
  <si>
    <t>LUIS GUSTAVO ORLOSKI,LUIS GUSTAVO ORLOSKI</t>
  </si>
  <si>
    <t>10143535665, 10143535656</t>
  </si>
  <si>
    <t>GDWYFEMQ,ODWIFEJD</t>
  </si>
  <si>
    <t>EDSON JUNIOR RODRIGUES DE SOUZA,EDSON JUNIOR RODRIGUES DE SOUZA</t>
  </si>
  <si>
    <t>10143533765, 10143533764</t>
  </si>
  <si>
    <t>DIOGO DIAS LINO</t>
  </si>
  <si>
    <t>CHRISTIAN REZENDE DEMARTINI</t>
  </si>
  <si>
    <t>ODWXDXDF</t>
  </si>
  <si>
    <t>FFBFCE,AZKKXAS</t>
  </si>
  <si>
    <t>ANDRE EMILIO BRITO HAICAL JACOB,ANDRE EMILIO BRITO HAICAL JACOB</t>
  </si>
  <si>
    <t>RG091852194,RG091852194</t>
  </si>
  <si>
    <t>GV, Distribusion</t>
  </si>
  <si>
    <t>Águia Branca, Águia Branca</t>
  </si>
  <si>
    <t>TIPO DE ERRO</t>
  </si>
  <si>
    <t>RESPONSAVEL</t>
  </si>
  <si>
    <t>Fornecedor</t>
  </si>
  <si>
    <t>Suporte KCS</t>
  </si>
  <si>
    <t>Operações</t>
  </si>
  <si>
    <t>Contabilização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</si>
</sst>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33" borderId="0" xfId="0" applyFont="1" applyFill="1" applyAlignment="1">
      <alignment horizontal="left"/>
    </xf>
    <xf numFmtId="0" fontId="13" fillId="34" borderId="0" xfId="0" applyFont="1" applyFill="1"/>
    <xf numFmtId="0" fontId="18" fillId="0" borderId="0" xfId="0" applyFont="1"/>
    <xf numFmtId="22" fontId="18" fillId="0" borderId="0" xfId="0" applyNumberFormat="1" applyFont="1"/>
    <xf numFmtId="8" fontId="18" fillId="0" borderId="0" xfId="0" applyNumberFormat="1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Grupo Kontik &amp; Business Travel">
      <a:dk1>
        <a:srgbClr val="44045C"/>
      </a:dk1>
      <a:lt1>
        <a:srgbClr val="18F194"/>
      </a:lt1>
      <a:dk2>
        <a:srgbClr val="404654"/>
      </a:dk2>
      <a:lt2>
        <a:srgbClr val="C4D72F"/>
      </a:lt2>
      <a:accent1>
        <a:srgbClr val="FF8800"/>
      </a:accent1>
      <a:accent2>
        <a:srgbClr val="E63946"/>
      </a:accent2>
      <a:accent3>
        <a:srgbClr val="3A86FF"/>
      </a:accent3>
      <a:accent4>
        <a:srgbClr val="FFD166"/>
      </a:accent4>
      <a:accent5>
        <a:srgbClr val="8338EC"/>
      </a:accent5>
      <a:accent6>
        <a:srgbClr val="06D6A0"/>
      </a:accent6>
      <a:hlink>
        <a:srgbClr val="007BFF"/>
      </a:hlink>
      <a:folHlink>
        <a:srgbClr val="6610F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99CE-B6D7-46F9-8B54-DE7529B63C4D}">
  <dimension ref="A1:AH79"/>
  <sheetViews>
    <sheetView tabSelected="1" workbookViewId="0">
      <pane ySplit="1" topLeftCell="A16" activePane="bottomLeft" state="frozen"/>
      <selection pane="bottomLeft" activeCell="J24" sqref="J24"/>
    </sheetView>
  </sheetViews>
  <sheetFormatPr defaultRowHeight="15" x14ac:dyDescent="0.25"/>
  <cols>
    <col min="1" max="1" width="16" bestFit="1" customWidth="1"/>
    <col min="2" max="2" width="17.42578125" bestFit="1" customWidth="1"/>
    <col min="3" max="3" width="17.7109375" bestFit="1" customWidth="1"/>
    <col min="4" max="4" width="32.42578125" bestFit="1" customWidth="1"/>
    <col min="5" max="5" width="10.28515625" bestFit="1" customWidth="1"/>
    <col min="6" max="6" width="27.28515625" bestFit="1" customWidth="1"/>
    <col min="7" max="7" width="17.28515625" bestFit="1" customWidth="1"/>
    <col min="8" max="8" width="19.7109375" bestFit="1" customWidth="1"/>
    <col min="9" max="9" width="32.42578125" bestFit="1" customWidth="1"/>
    <col min="10" max="10" width="34.28515625" bestFit="1" customWidth="1"/>
    <col min="11" max="11" width="74.5703125" bestFit="1" customWidth="1"/>
    <col min="12" max="12" width="32.85546875" bestFit="1" customWidth="1"/>
    <col min="13" max="13" width="9" bestFit="1" customWidth="1"/>
    <col min="14" max="14" width="16.5703125" bestFit="1" customWidth="1"/>
    <col min="15" max="15" width="31" bestFit="1" customWidth="1"/>
    <col min="16" max="16" width="18.7109375" bestFit="1" customWidth="1"/>
    <col min="17" max="17" width="11.5703125" bestFit="1" customWidth="1"/>
    <col min="18" max="18" width="15.140625" bestFit="1" customWidth="1"/>
    <col min="19" max="19" width="21.5703125" bestFit="1" customWidth="1"/>
    <col min="20" max="21" width="15.85546875" bestFit="1" customWidth="1"/>
    <col min="22" max="22" width="16.85546875" bestFit="1" customWidth="1"/>
    <col min="23" max="23" width="7.140625" bestFit="1" customWidth="1"/>
    <col min="24" max="24" width="12.85546875" bestFit="1" customWidth="1"/>
    <col min="25" max="25" width="16.140625" bestFit="1" customWidth="1"/>
    <col min="26" max="26" width="12.28515625" bestFit="1" customWidth="1"/>
    <col min="27" max="27" width="13.85546875" bestFit="1" customWidth="1"/>
    <col min="28" max="28" width="14.140625" bestFit="1" customWidth="1"/>
    <col min="29" max="29" width="15.42578125" bestFit="1" customWidth="1"/>
    <col min="30" max="30" width="46" bestFit="1" customWidth="1"/>
    <col min="31" max="31" width="53.7109375" bestFit="1" customWidth="1"/>
    <col min="32" max="32" width="11.85546875" bestFit="1" customWidth="1"/>
    <col min="33" max="33" width="24.42578125" bestFit="1" customWidth="1"/>
    <col min="34" max="34" width="10.42578125" bestFit="1" customWidth="1"/>
  </cols>
  <sheetData>
    <row r="1" spans="1:34" x14ac:dyDescent="0.25">
      <c r="A1" s="1" t="s">
        <v>336</v>
      </c>
      <c r="B1" s="1" t="s">
        <v>335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2" t="s">
        <v>31</v>
      </c>
    </row>
    <row r="2" spans="1:34" s="3" customFormat="1" x14ac:dyDescent="0.25">
      <c r="A2" s="3" t="s">
        <v>338</v>
      </c>
      <c r="B2" s="3" t="s">
        <v>340</v>
      </c>
      <c r="D2" s="3" t="s">
        <v>74</v>
      </c>
      <c r="E2" s="3">
        <v>16149247</v>
      </c>
      <c r="F2" s="3">
        <v>177</v>
      </c>
      <c r="G2" s="4">
        <v>45897.679606481484</v>
      </c>
      <c r="H2" s="3" t="s">
        <v>32</v>
      </c>
      <c r="I2" s="3" t="s">
        <v>74</v>
      </c>
      <c r="J2" s="3" t="s">
        <v>43</v>
      </c>
      <c r="K2" s="3" t="s">
        <v>101</v>
      </c>
      <c r="L2" s="3">
        <v>1567340</v>
      </c>
      <c r="M2" s="3" t="s">
        <v>33</v>
      </c>
      <c r="N2" s="3" t="s">
        <v>79</v>
      </c>
      <c r="O2" s="3" t="s">
        <v>42</v>
      </c>
      <c r="P2" s="3" t="s">
        <v>44</v>
      </c>
      <c r="Q2" s="3" t="s">
        <v>65</v>
      </c>
      <c r="R2" s="3">
        <v>1</v>
      </c>
      <c r="T2" s="4">
        <v>45902.541666666664</v>
      </c>
      <c r="U2" s="4">
        <v>45902.805555555555</v>
      </c>
      <c r="V2" s="3" t="s">
        <v>36</v>
      </c>
      <c r="W2" s="3" t="s">
        <v>37</v>
      </c>
      <c r="X2" s="5">
        <v>149.61000000000001</v>
      </c>
      <c r="Y2" s="5">
        <v>118.36</v>
      </c>
      <c r="AA2" s="5">
        <v>9.9499999999999993</v>
      </c>
      <c r="AB2" s="5">
        <v>21.3</v>
      </c>
      <c r="AC2" s="5">
        <v>149.61000000000001</v>
      </c>
      <c r="AD2" s="3" t="s">
        <v>38</v>
      </c>
      <c r="AE2" s="3" t="s">
        <v>58</v>
      </c>
      <c r="AF2" s="3" t="s">
        <v>40</v>
      </c>
      <c r="AG2" s="3">
        <v>10143557973</v>
      </c>
    </row>
    <row r="3" spans="1:34" s="3" customFormat="1" x14ac:dyDescent="0.25">
      <c r="A3" s="3" t="s">
        <v>338</v>
      </c>
      <c r="B3" s="3" t="s">
        <v>340</v>
      </c>
      <c r="D3" s="3" t="s">
        <v>61</v>
      </c>
      <c r="E3" s="3">
        <v>16184541</v>
      </c>
      <c r="F3" s="3">
        <v>592</v>
      </c>
      <c r="G3" s="4">
        <v>45901.639965277776</v>
      </c>
      <c r="H3" s="3" t="s">
        <v>32</v>
      </c>
      <c r="I3" s="3" t="s">
        <v>61</v>
      </c>
      <c r="J3" s="3" t="s">
        <v>43</v>
      </c>
      <c r="K3" s="3" t="s">
        <v>131</v>
      </c>
      <c r="L3" s="3">
        <v>283452951</v>
      </c>
      <c r="M3" s="3" t="s">
        <v>33</v>
      </c>
      <c r="N3" s="3" t="s">
        <v>79</v>
      </c>
      <c r="O3" s="3" t="s">
        <v>42</v>
      </c>
      <c r="P3" s="3" t="s">
        <v>44</v>
      </c>
      <c r="R3" s="3">
        <v>1</v>
      </c>
      <c r="T3" s="4">
        <v>45903.708333333336</v>
      </c>
      <c r="U3" s="4">
        <v>45903.875</v>
      </c>
      <c r="V3" s="3" t="s">
        <v>36</v>
      </c>
      <c r="W3" s="3" t="s">
        <v>37</v>
      </c>
      <c r="X3" s="5">
        <v>114.99</v>
      </c>
      <c r="Y3" s="5">
        <v>89.02</v>
      </c>
      <c r="AA3" s="5">
        <v>9.9499999999999993</v>
      </c>
      <c r="AB3" s="5">
        <v>16.02</v>
      </c>
      <c r="AC3" s="5">
        <v>114.99</v>
      </c>
      <c r="AD3" s="3" t="s">
        <v>39</v>
      </c>
      <c r="AE3" s="3" t="s">
        <v>62</v>
      </c>
      <c r="AF3" s="3" t="s">
        <v>40</v>
      </c>
      <c r="AG3" s="3">
        <v>10143579754</v>
      </c>
    </row>
    <row r="4" spans="1:34" s="3" customFormat="1" x14ac:dyDescent="0.25">
      <c r="A4" s="3" t="s">
        <v>338</v>
      </c>
      <c r="B4" s="3" t="s">
        <v>340</v>
      </c>
      <c r="D4" s="3" t="s">
        <v>61</v>
      </c>
      <c r="E4" s="3">
        <v>16193692</v>
      </c>
      <c r="F4" s="3">
        <v>750</v>
      </c>
      <c r="G4" s="4">
        <v>45902.549687500003</v>
      </c>
      <c r="H4" s="3" t="s">
        <v>32</v>
      </c>
      <c r="I4" s="3" t="s">
        <v>61</v>
      </c>
      <c r="J4" s="3" t="s">
        <v>43</v>
      </c>
      <c r="K4" s="3" t="s">
        <v>78</v>
      </c>
      <c r="L4" s="3">
        <v>257689216</v>
      </c>
      <c r="M4" s="3" t="s">
        <v>33</v>
      </c>
      <c r="N4" s="3" t="s">
        <v>79</v>
      </c>
      <c r="O4" s="3" t="s">
        <v>42</v>
      </c>
      <c r="P4" s="3" t="s">
        <v>44</v>
      </c>
      <c r="R4" s="3">
        <v>1</v>
      </c>
      <c r="T4" s="4">
        <v>45903.930555555555</v>
      </c>
      <c r="U4" s="4">
        <v>45904.25</v>
      </c>
      <c r="V4" s="3" t="s">
        <v>36</v>
      </c>
      <c r="W4" s="3" t="s">
        <v>37</v>
      </c>
      <c r="X4" s="5">
        <v>315.57</v>
      </c>
      <c r="Y4" s="5">
        <v>258.16000000000003</v>
      </c>
      <c r="AA4" s="5">
        <v>10.95</v>
      </c>
      <c r="AB4" s="5">
        <v>46.46</v>
      </c>
      <c r="AC4" s="5">
        <v>315.57</v>
      </c>
      <c r="AD4" s="3" t="s">
        <v>45</v>
      </c>
      <c r="AE4" s="3" t="s">
        <v>62</v>
      </c>
      <c r="AF4" s="3" t="s">
        <v>40</v>
      </c>
      <c r="AG4" s="3">
        <v>10143585920</v>
      </c>
    </row>
    <row r="5" spans="1:34" s="3" customFormat="1" x14ac:dyDescent="0.25">
      <c r="A5" s="3" t="s">
        <v>338</v>
      </c>
      <c r="B5" s="3" t="s">
        <v>340</v>
      </c>
      <c r="D5" s="3" t="s">
        <v>84</v>
      </c>
      <c r="E5" s="3">
        <v>16123219</v>
      </c>
      <c r="F5" s="3">
        <v>80829</v>
      </c>
      <c r="G5" s="4">
        <v>45895.445243055554</v>
      </c>
      <c r="H5" s="3" t="s">
        <v>32</v>
      </c>
      <c r="I5" s="3" t="s">
        <v>84</v>
      </c>
      <c r="J5" s="3" t="s">
        <v>43</v>
      </c>
      <c r="K5" s="3" t="s">
        <v>212</v>
      </c>
      <c r="L5" s="3">
        <v>434825165</v>
      </c>
      <c r="M5" s="3" t="s">
        <v>33</v>
      </c>
      <c r="N5" s="3" t="s">
        <v>91</v>
      </c>
      <c r="O5" s="3" t="s">
        <v>213</v>
      </c>
      <c r="P5" s="3" t="s">
        <v>44</v>
      </c>
      <c r="R5" s="3">
        <v>1</v>
      </c>
      <c r="T5" s="4">
        <v>45922.503472222219</v>
      </c>
      <c r="U5" s="4">
        <v>45922.552083333336</v>
      </c>
      <c r="V5" s="3" t="s">
        <v>36</v>
      </c>
      <c r="W5" s="3" t="s">
        <v>37</v>
      </c>
      <c r="X5" s="5">
        <v>65.52</v>
      </c>
      <c r="Y5" s="5">
        <v>47.1</v>
      </c>
      <c r="AA5" s="5">
        <v>9.9499999999999993</v>
      </c>
      <c r="AB5" s="5">
        <v>8.4700000000000006</v>
      </c>
      <c r="AC5" s="5">
        <v>65.52</v>
      </c>
      <c r="AD5" s="3" t="s">
        <v>83</v>
      </c>
      <c r="AE5" s="3" t="s">
        <v>115</v>
      </c>
      <c r="AF5" s="3" t="s">
        <v>40</v>
      </c>
      <c r="AG5" s="3">
        <v>10143540569</v>
      </c>
    </row>
    <row r="6" spans="1:34" s="3" customFormat="1" x14ac:dyDescent="0.25">
      <c r="A6" s="3" t="s">
        <v>338</v>
      </c>
      <c r="B6" s="3" t="s">
        <v>340</v>
      </c>
      <c r="D6" s="3" t="s">
        <v>84</v>
      </c>
      <c r="E6" s="3">
        <v>16156790</v>
      </c>
      <c r="F6" s="3">
        <v>81101</v>
      </c>
      <c r="G6" s="4">
        <v>45898.468414351853</v>
      </c>
      <c r="H6" s="3" t="s">
        <v>32</v>
      </c>
      <c r="I6" s="3" t="s">
        <v>84</v>
      </c>
      <c r="J6" s="3" t="s">
        <v>43</v>
      </c>
      <c r="K6" s="3" t="s">
        <v>212</v>
      </c>
      <c r="L6" s="3">
        <v>434825165</v>
      </c>
      <c r="M6" s="3" t="s">
        <v>33</v>
      </c>
      <c r="N6" s="3" t="s">
        <v>91</v>
      </c>
      <c r="O6" s="3" t="s">
        <v>213</v>
      </c>
      <c r="P6" s="3" t="s">
        <v>44</v>
      </c>
      <c r="R6" s="3">
        <v>1</v>
      </c>
      <c r="T6" s="4">
        <v>45927.253472222219</v>
      </c>
      <c r="U6" s="4">
        <v>45927.302083333336</v>
      </c>
      <c r="V6" s="3" t="s">
        <v>36</v>
      </c>
      <c r="W6" s="3" t="s">
        <v>37</v>
      </c>
      <c r="X6" s="5">
        <v>62.46</v>
      </c>
      <c r="Y6" s="5">
        <v>44.5</v>
      </c>
      <c r="AA6" s="5">
        <v>9.9499999999999993</v>
      </c>
      <c r="AB6" s="5">
        <v>8.01</v>
      </c>
      <c r="AC6" s="5">
        <v>62.46</v>
      </c>
      <c r="AD6" s="3" t="s">
        <v>115</v>
      </c>
      <c r="AE6" s="3" t="s">
        <v>83</v>
      </c>
      <c r="AF6" s="3" t="s">
        <v>40</v>
      </c>
      <c r="AG6" s="3">
        <v>10143562468</v>
      </c>
    </row>
    <row r="7" spans="1:34" s="3" customFormat="1" x14ac:dyDescent="0.25">
      <c r="A7" s="3" t="s">
        <v>339</v>
      </c>
      <c r="B7" s="3" t="s">
        <v>337</v>
      </c>
      <c r="E7" s="3">
        <v>16186738</v>
      </c>
      <c r="F7" s="3">
        <v>88852</v>
      </c>
      <c r="G7" s="4">
        <v>45901.73809027778</v>
      </c>
      <c r="H7" s="3" t="s">
        <v>32</v>
      </c>
      <c r="J7" s="3" t="s">
        <v>110</v>
      </c>
      <c r="K7" s="3" t="s">
        <v>112</v>
      </c>
      <c r="L7" s="3">
        <v>207996240</v>
      </c>
      <c r="M7" s="3" t="s">
        <v>33</v>
      </c>
      <c r="N7" s="3" t="s">
        <v>91</v>
      </c>
      <c r="O7" s="3" t="s">
        <v>42</v>
      </c>
      <c r="P7" s="3" t="s">
        <v>35</v>
      </c>
      <c r="R7" s="3">
        <v>1</v>
      </c>
      <c r="T7" s="4">
        <v>45902.375</v>
      </c>
      <c r="U7" s="4">
        <v>45902.645833333336</v>
      </c>
      <c r="V7" s="3" t="s">
        <v>36</v>
      </c>
      <c r="W7" s="3" t="s">
        <v>37</v>
      </c>
      <c r="X7" s="5">
        <v>293.13</v>
      </c>
      <c r="Y7" s="5">
        <v>239.99</v>
      </c>
      <c r="AA7" s="5">
        <v>9.9499999999999993</v>
      </c>
      <c r="AB7" s="5">
        <v>43.19</v>
      </c>
      <c r="AC7" s="5">
        <v>293.13</v>
      </c>
      <c r="AD7" s="3" t="s">
        <v>71</v>
      </c>
      <c r="AE7" s="3" t="s">
        <v>38</v>
      </c>
      <c r="AF7" s="3" t="s">
        <v>40</v>
      </c>
      <c r="AG7" s="3">
        <v>10143581121</v>
      </c>
    </row>
    <row r="8" spans="1:34" s="3" customFormat="1" x14ac:dyDescent="0.25">
      <c r="A8" s="3" t="s">
        <v>339</v>
      </c>
      <c r="B8" s="3" t="s">
        <v>337</v>
      </c>
      <c r="E8" s="3">
        <v>16128308</v>
      </c>
      <c r="F8" s="3">
        <v>1525835.1525836</v>
      </c>
      <c r="G8" s="4">
        <v>45895.707256944443</v>
      </c>
      <c r="H8" s="3" t="s">
        <v>32</v>
      </c>
      <c r="J8" s="3" t="s">
        <v>156</v>
      </c>
      <c r="K8" s="3" t="s">
        <v>276</v>
      </c>
      <c r="L8" s="3">
        <v>555020381.55501997</v>
      </c>
      <c r="M8" s="3" t="s">
        <v>148</v>
      </c>
      <c r="N8" s="3" t="s">
        <v>91</v>
      </c>
      <c r="O8" s="3" t="s">
        <v>277</v>
      </c>
      <c r="P8" s="3" t="s">
        <v>35</v>
      </c>
      <c r="R8" s="3">
        <v>2</v>
      </c>
      <c r="T8" s="4">
        <v>45914.75</v>
      </c>
      <c r="U8" s="4">
        <v>45914.819444444445</v>
      </c>
      <c r="V8" s="3" t="s">
        <v>36</v>
      </c>
      <c r="W8" s="3" t="s">
        <v>37</v>
      </c>
      <c r="X8" s="5">
        <v>119.44</v>
      </c>
      <c r="Y8" s="5">
        <v>80</v>
      </c>
      <c r="AA8" s="5">
        <v>19.899999999999999</v>
      </c>
      <c r="AB8" s="5">
        <v>19.54</v>
      </c>
      <c r="AC8" s="5">
        <v>119.44</v>
      </c>
      <c r="AD8" s="3" t="s">
        <v>176</v>
      </c>
      <c r="AE8" s="3" t="s">
        <v>278</v>
      </c>
      <c r="AF8" s="3" t="s">
        <v>63</v>
      </c>
      <c r="AG8" s="3" t="s">
        <v>279</v>
      </c>
    </row>
    <row r="9" spans="1:34" s="3" customFormat="1" x14ac:dyDescent="0.25">
      <c r="A9" s="3" t="s">
        <v>339</v>
      </c>
      <c r="B9" s="3" t="s">
        <v>340</v>
      </c>
      <c r="E9" s="3">
        <v>16182936</v>
      </c>
      <c r="F9" s="3">
        <v>4803258.4803259</v>
      </c>
      <c r="G9" s="4">
        <v>45901.564108796294</v>
      </c>
      <c r="H9" s="3" t="s">
        <v>32</v>
      </c>
      <c r="J9" s="3" t="s">
        <v>85</v>
      </c>
      <c r="K9" s="3" t="s">
        <v>133</v>
      </c>
      <c r="L9" s="3">
        <v>428175739.42817497</v>
      </c>
      <c r="M9" s="3" t="s">
        <v>33</v>
      </c>
      <c r="N9" s="3" t="s">
        <v>91</v>
      </c>
      <c r="O9" s="3" t="s">
        <v>134</v>
      </c>
      <c r="P9" s="3" t="s">
        <v>35</v>
      </c>
      <c r="Q9" s="3" t="s">
        <v>65</v>
      </c>
      <c r="R9" s="3">
        <v>2</v>
      </c>
      <c r="T9" s="4">
        <v>45903.25</v>
      </c>
      <c r="U9" s="4">
        <v>45903.375</v>
      </c>
      <c r="V9" s="3" t="s">
        <v>36</v>
      </c>
      <c r="W9" s="3" t="s">
        <v>37</v>
      </c>
      <c r="X9" s="5">
        <v>215.65</v>
      </c>
      <c r="Y9" s="5">
        <v>165.9</v>
      </c>
      <c r="AA9" s="5">
        <v>19.899999999999999</v>
      </c>
      <c r="AB9" s="5">
        <v>29.85</v>
      </c>
      <c r="AC9" s="5">
        <v>215.65</v>
      </c>
      <c r="AD9" s="3" t="s">
        <v>135</v>
      </c>
      <c r="AE9" s="3" t="s">
        <v>71</v>
      </c>
      <c r="AF9" s="3" t="s">
        <v>63</v>
      </c>
      <c r="AG9" s="3" t="s">
        <v>136</v>
      </c>
    </row>
    <row r="10" spans="1:34" s="3" customFormat="1" x14ac:dyDescent="0.25">
      <c r="A10" s="3" t="s">
        <v>339</v>
      </c>
      <c r="B10" s="3" t="s">
        <v>337</v>
      </c>
      <c r="E10" s="3">
        <v>16160373</v>
      </c>
      <c r="F10" s="3">
        <v>467652080</v>
      </c>
      <c r="G10" s="4">
        <v>45898.63721064815</v>
      </c>
      <c r="H10" s="3" t="s">
        <v>32</v>
      </c>
      <c r="J10" s="3" t="s">
        <v>156</v>
      </c>
      <c r="K10" s="3" t="s">
        <v>206</v>
      </c>
      <c r="L10" s="3">
        <v>9121381868</v>
      </c>
      <c r="M10" s="3" t="s">
        <v>148</v>
      </c>
      <c r="N10" s="3" t="s">
        <v>41</v>
      </c>
      <c r="O10" s="3" t="s">
        <v>158</v>
      </c>
      <c r="P10" s="3" t="s">
        <v>35</v>
      </c>
      <c r="R10" s="3">
        <v>1</v>
      </c>
      <c r="T10" s="4">
        <v>45901.291666666664</v>
      </c>
      <c r="U10" s="4">
        <v>45901.493055555555</v>
      </c>
      <c r="V10" s="3" t="s">
        <v>36</v>
      </c>
      <c r="W10" s="3" t="s">
        <v>37</v>
      </c>
      <c r="X10" s="5">
        <v>193.07</v>
      </c>
      <c r="Y10" s="5">
        <v>148.15</v>
      </c>
      <c r="AA10" s="5">
        <v>9.9499999999999993</v>
      </c>
      <c r="AB10" s="5">
        <v>34.97</v>
      </c>
      <c r="AC10" s="5">
        <v>193.07</v>
      </c>
      <c r="AD10" s="3" t="s">
        <v>80</v>
      </c>
      <c r="AE10" s="3" t="s">
        <v>159</v>
      </c>
      <c r="AF10" s="3" t="s">
        <v>40</v>
      </c>
      <c r="AG10" s="3">
        <v>10143564763</v>
      </c>
    </row>
    <row r="11" spans="1:34" s="3" customFormat="1" x14ac:dyDescent="0.25">
      <c r="A11" s="3" t="s">
        <v>339</v>
      </c>
      <c r="B11" s="3" t="s">
        <v>337</v>
      </c>
      <c r="E11" s="3">
        <v>16163537</v>
      </c>
      <c r="F11" s="3">
        <v>467671832</v>
      </c>
      <c r="G11" s="4">
        <v>45898.773356481484</v>
      </c>
      <c r="H11" s="3" t="s">
        <v>32</v>
      </c>
      <c r="J11" s="3" t="s">
        <v>156</v>
      </c>
      <c r="K11" s="3" t="s">
        <v>157</v>
      </c>
      <c r="L11" s="3">
        <v>6062787533</v>
      </c>
      <c r="M11" s="3" t="s">
        <v>148</v>
      </c>
      <c r="N11" s="3" t="s">
        <v>41</v>
      </c>
      <c r="O11" s="3" t="s">
        <v>158</v>
      </c>
      <c r="P11" s="3" t="s">
        <v>35</v>
      </c>
      <c r="R11" s="3">
        <v>1</v>
      </c>
      <c r="T11" s="4">
        <v>45901.4375</v>
      </c>
      <c r="U11" s="4">
        <v>45901.645833333336</v>
      </c>
      <c r="V11" s="3" t="s">
        <v>36</v>
      </c>
      <c r="W11" s="3" t="s">
        <v>37</v>
      </c>
      <c r="X11" s="5">
        <v>319.58999999999997</v>
      </c>
      <c r="Y11" s="5">
        <v>250.75</v>
      </c>
      <c r="AA11" s="5">
        <v>9.9499999999999993</v>
      </c>
      <c r="AB11" s="5">
        <v>58.89</v>
      </c>
      <c r="AC11" s="5">
        <v>319.58999999999997</v>
      </c>
      <c r="AD11" s="3" t="s">
        <v>159</v>
      </c>
      <c r="AE11" s="3" t="s">
        <v>80</v>
      </c>
      <c r="AF11" s="3" t="s">
        <v>40</v>
      </c>
      <c r="AG11" s="3">
        <v>10143566622</v>
      </c>
    </row>
    <row r="12" spans="1:34" s="3" customFormat="1" x14ac:dyDescent="0.25">
      <c r="A12" s="3" t="s">
        <v>339</v>
      </c>
      <c r="B12" s="3" t="s">
        <v>340</v>
      </c>
      <c r="E12" s="3">
        <v>16126807</v>
      </c>
      <c r="F12" s="3">
        <v>10001320282.01</v>
      </c>
      <c r="G12" s="4">
        <v>45895.636481481481</v>
      </c>
      <c r="H12" s="3" t="s">
        <v>32</v>
      </c>
      <c r="J12" s="3" t="s">
        <v>47</v>
      </c>
      <c r="K12" s="3" t="s">
        <v>303</v>
      </c>
      <c r="L12" s="3" t="s">
        <v>304</v>
      </c>
      <c r="M12" s="3" t="s">
        <v>33</v>
      </c>
      <c r="N12" s="3" t="s">
        <v>41</v>
      </c>
      <c r="O12" s="3" t="s">
        <v>197</v>
      </c>
      <c r="P12" s="3" t="s">
        <v>35</v>
      </c>
      <c r="R12" s="3">
        <v>2</v>
      </c>
      <c r="T12" s="4">
        <v>45900.916666666664</v>
      </c>
      <c r="U12" s="4">
        <v>45901.23333333333</v>
      </c>
      <c r="V12" s="3" t="s">
        <v>36</v>
      </c>
      <c r="W12" s="3" t="s">
        <v>37</v>
      </c>
      <c r="X12" s="5">
        <v>672.6</v>
      </c>
      <c r="Y12" s="5">
        <v>570</v>
      </c>
      <c r="AA12" s="5">
        <v>0</v>
      </c>
      <c r="AB12" s="5">
        <v>102.6</v>
      </c>
      <c r="AC12" s="5">
        <v>672.6</v>
      </c>
      <c r="AD12" s="3" t="s">
        <v>199</v>
      </c>
      <c r="AE12" s="3" t="s">
        <v>198</v>
      </c>
      <c r="AF12" s="3" t="s">
        <v>40</v>
      </c>
    </row>
    <row r="13" spans="1:34" s="3" customFormat="1" x14ac:dyDescent="0.25">
      <c r="A13" s="3" t="s">
        <v>339</v>
      </c>
      <c r="B13" s="3" t="s">
        <v>340</v>
      </c>
      <c r="E13" s="3">
        <v>16161810</v>
      </c>
      <c r="F13" s="3">
        <v>10001328820.01</v>
      </c>
      <c r="G13" s="4">
        <v>45898.692719907405</v>
      </c>
      <c r="H13" s="3" t="s">
        <v>32</v>
      </c>
      <c r="J13" s="3" t="s">
        <v>47</v>
      </c>
      <c r="K13" s="3" t="s">
        <v>196</v>
      </c>
      <c r="L13" s="3">
        <v>10214682.102146801</v>
      </c>
      <c r="M13" s="3" t="s">
        <v>33</v>
      </c>
      <c r="N13" s="3" t="s">
        <v>41</v>
      </c>
      <c r="O13" s="3" t="s">
        <v>197</v>
      </c>
      <c r="P13" s="3" t="s">
        <v>35</v>
      </c>
      <c r="R13" s="3">
        <v>2</v>
      </c>
      <c r="T13" s="4">
        <v>45901.833333333336</v>
      </c>
      <c r="U13" s="4">
        <v>45902.166666666664</v>
      </c>
      <c r="V13" s="3" t="s">
        <v>36</v>
      </c>
      <c r="W13" s="3" t="s">
        <v>37</v>
      </c>
      <c r="X13" s="5">
        <v>672.6</v>
      </c>
      <c r="Y13" s="5">
        <v>570</v>
      </c>
      <c r="AA13" s="5">
        <v>0</v>
      </c>
      <c r="AB13" s="5">
        <v>102.6</v>
      </c>
      <c r="AC13" s="5">
        <v>672.6</v>
      </c>
      <c r="AD13" s="3" t="s">
        <v>198</v>
      </c>
      <c r="AE13" s="3" t="s">
        <v>199</v>
      </c>
      <c r="AF13" s="3" t="s">
        <v>40</v>
      </c>
    </row>
    <row r="14" spans="1:34" s="3" customFormat="1" x14ac:dyDescent="0.25">
      <c r="A14" s="3" t="s">
        <v>339</v>
      </c>
      <c r="B14" s="3" t="s">
        <v>340</v>
      </c>
      <c r="E14" s="3">
        <v>16126337</v>
      </c>
      <c r="F14" s="3">
        <v>10002916845.01</v>
      </c>
      <c r="G14" s="4">
        <v>45895.615324074075</v>
      </c>
      <c r="H14" s="3" t="s">
        <v>32</v>
      </c>
      <c r="J14" s="3" t="s">
        <v>285</v>
      </c>
      <c r="K14" s="3" t="s">
        <v>308</v>
      </c>
      <c r="L14" s="3">
        <v>352115610.35211498</v>
      </c>
      <c r="M14" s="3" t="s">
        <v>33</v>
      </c>
      <c r="N14" s="3" t="s">
        <v>91</v>
      </c>
      <c r="O14" s="3" t="s">
        <v>309</v>
      </c>
      <c r="P14" s="3" t="s">
        <v>35</v>
      </c>
      <c r="R14" s="3">
        <v>2</v>
      </c>
      <c r="T14" s="4">
        <v>45898.423611111109</v>
      </c>
      <c r="U14" s="4">
        <v>45898.548611111109</v>
      </c>
      <c r="V14" s="3" t="s">
        <v>36</v>
      </c>
      <c r="W14" s="3" t="s">
        <v>37</v>
      </c>
      <c r="X14" s="5">
        <v>159.53</v>
      </c>
      <c r="Y14" s="5">
        <v>135.19999999999999</v>
      </c>
      <c r="AA14" s="5">
        <v>0</v>
      </c>
      <c r="AB14" s="5">
        <v>24.33</v>
      </c>
      <c r="AC14" s="5">
        <v>159.53</v>
      </c>
      <c r="AD14" s="3" t="s">
        <v>310</v>
      </c>
      <c r="AE14" s="3" t="s">
        <v>311</v>
      </c>
      <c r="AF14" s="3" t="s">
        <v>63</v>
      </c>
    </row>
    <row r="15" spans="1:34" s="3" customFormat="1" x14ac:dyDescent="0.25">
      <c r="A15" s="3" t="s">
        <v>338</v>
      </c>
      <c r="B15" s="3" t="s">
        <v>340</v>
      </c>
      <c r="D15" s="3" t="s">
        <v>73</v>
      </c>
      <c r="E15" s="3">
        <v>16114555</v>
      </c>
      <c r="F15" s="3">
        <v>10005933159</v>
      </c>
      <c r="G15" s="4">
        <v>45894.583287037036</v>
      </c>
      <c r="H15" s="3" t="s">
        <v>32</v>
      </c>
      <c r="I15" s="3" t="s">
        <v>73</v>
      </c>
      <c r="J15" s="3" t="s">
        <v>43</v>
      </c>
      <c r="K15" s="3" t="s">
        <v>327</v>
      </c>
      <c r="L15" s="3">
        <v>203441803</v>
      </c>
      <c r="M15" s="3" t="s">
        <v>33</v>
      </c>
      <c r="N15" s="3" t="s">
        <v>34</v>
      </c>
      <c r="O15" s="3" t="s">
        <v>102</v>
      </c>
      <c r="P15" s="3" t="s">
        <v>44</v>
      </c>
      <c r="Q15" s="3" t="s">
        <v>65</v>
      </c>
      <c r="R15" s="3">
        <v>1</v>
      </c>
      <c r="T15" s="4">
        <v>45896.583333333336</v>
      </c>
      <c r="U15" s="4">
        <v>45896.708333333336</v>
      </c>
      <c r="V15" s="3" t="s">
        <v>36</v>
      </c>
      <c r="W15" s="3" t="s">
        <v>37</v>
      </c>
      <c r="X15" s="5">
        <v>102.78</v>
      </c>
      <c r="Y15" s="5">
        <v>78.67</v>
      </c>
      <c r="AA15" s="5">
        <v>9.9499999999999993</v>
      </c>
      <c r="AB15" s="5">
        <v>14.16</v>
      </c>
      <c r="AC15" s="5">
        <v>102.78</v>
      </c>
      <c r="AD15" s="3" t="s">
        <v>38</v>
      </c>
      <c r="AE15" s="3" t="s">
        <v>103</v>
      </c>
      <c r="AF15" s="3" t="s">
        <v>40</v>
      </c>
      <c r="AG15" s="3">
        <v>10143533485</v>
      </c>
    </row>
    <row r="16" spans="1:34" s="3" customFormat="1" x14ac:dyDescent="0.25">
      <c r="A16" s="3" t="s">
        <v>339</v>
      </c>
      <c r="B16" s="3" t="s">
        <v>340</v>
      </c>
      <c r="E16" s="3">
        <v>16180869</v>
      </c>
      <c r="F16" s="3">
        <v>10005957427</v>
      </c>
      <c r="G16" s="4">
        <v>45901.449942129628</v>
      </c>
      <c r="H16" s="3" t="s">
        <v>32</v>
      </c>
      <c r="J16" s="3" t="s">
        <v>137</v>
      </c>
      <c r="K16" s="3" t="s">
        <v>138</v>
      </c>
      <c r="L16" s="3">
        <v>114294168</v>
      </c>
      <c r="M16" s="3" t="s">
        <v>33</v>
      </c>
      <c r="N16" s="3" t="s">
        <v>34</v>
      </c>
      <c r="O16" s="3" t="s">
        <v>102</v>
      </c>
      <c r="P16" s="3" t="s">
        <v>35</v>
      </c>
      <c r="R16" s="3">
        <v>1</v>
      </c>
      <c r="T16" s="4">
        <v>45904.833333333336</v>
      </c>
      <c r="U16" s="4">
        <v>45904.958333333336</v>
      </c>
      <c r="V16" s="3" t="s">
        <v>36</v>
      </c>
      <c r="W16" s="3" t="s">
        <v>37</v>
      </c>
      <c r="X16" s="5">
        <v>102.78</v>
      </c>
      <c r="Y16" s="5">
        <v>78.67</v>
      </c>
      <c r="AA16" s="5">
        <v>9.9499999999999993</v>
      </c>
      <c r="AB16" s="5">
        <v>14.16</v>
      </c>
      <c r="AC16" s="5">
        <v>102.78</v>
      </c>
      <c r="AD16" s="3" t="s">
        <v>38</v>
      </c>
      <c r="AE16" s="3" t="s">
        <v>103</v>
      </c>
      <c r="AF16" s="3" t="s">
        <v>40</v>
      </c>
      <c r="AG16" s="3">
        <v>10143577495</v>
      </c>
    </row>
    <row r="17" spans="1:33" s="3" customFormat="1" x14ac:dyDescent="0.25">
      <c r="A17" s="3" t="s">
        <v>339</v>
      </c>
      <c r="B17" s="3" t="s">
        <v>340</v>
      </c>
      <c r="E17" s="3">
        <v>16180869</v>
      </c>
      <c r="F17" s="3">
        <v>10005957427</v>
      </c>
      <c r="G17" s="4">
        <v>45901.449942129628</v>
      </c>
      <c r="H17" s="3" t="s">
        <v>32</v>
      </c>
      <c r="J17" s="3" t="s">
        <v>137</v>
      </c>
      <c r="K17" s="3" t="s">
        <v>138</v>
      </c>
      <c r="L17" s="3">
        <v>114294168</v>
      </c>
      <c r="M17" s="3" t="s">
        <v>33</v>
      </c>
      <c r="N17" s="3" t="s">
        <v>34</v>
      </c>
      <c r="O17" s="3" t="s">
        <v>102</v>
      </c>
      <c r="P17" s="3" t="s">
        <v>35</v>
      </c>
      <c r="R17" s="3">
        <v>1</v>
      </c>
      <c r="T17" s="4">
        <v>45904.833333333336</v>
      </c>
      <c r="U17" s="4">
        <v>45904.958333333336</v>
      </c>
      <c r="V17" s="3" t="s">
        <v>36</v>
      </c>
      <c r="W17" s="3" t="s">
        <v>37</v>
      </c>
      <c r="X17" s="5">
        <v>102.78</v>
      </c>
      <c r="Y17" s="5">
        <v>78.67</v>
      </c>
      <c r="AA17" s="5">
        <v>9.9499999999999993</v>
      </c>
      <c r="AB17" s="5">
        <v>14.16</v>
      </c>
      <c r="AC17" s="5">
        <v>102.78</v>
      </c>
      <c r="AD17" s="3" t="s">
        <v>38</v>
      </c>
      <c r="AE17" s="3" t="s">
        <v>103</v>
      </c>
      <c r="AF17" s="3" t="s">
        <v>40</v>
      </c>
      <c r="AG17" s="3">
        <v>10143577495</v>
      </c>
    </row>
    <row r="18" spans="1:33" s="3" customFormat="1" x14ac:dyDescent="0.25">
      <c r="A18" s="3" t="s">
        <v>339</v>
      </c>
      <c r="B18" s="3" t="s">
        <v>340</v>
      </c>
      <c r="E18" s="3">
        <v>16162584</v>
      </c>
      <c r="F18" s="3">
        <v>10006541727</v>
      </c>
      <c r="G18" s="4">
        <v>45898.724097222221</v>
      </c>
      <c r="H18" s="3" t="s">
        <v>32</v>
      </c>
      <c r="J18" s="3" t="s">
        <v>137</v>
      </c>
      <c r="K18" s="3" t="s">
        <v>185</v>
      </c>
      <c r="L18" s="3">
        <v>434825165</v>
      </c>
      <c r="M18" s="3" t="s">
        <v>33</v>
      </c>
      <c r="N18" s="3" t="s">
        <v>41</v>
      </c>
      <c r="O18" s="3" t="s">
        <v>186</v>
      </c>
      <c r="P18" s="3" t="s">
        <v>35</v>
      </c>
      <c r="R18" s="3">
        <v>1</v>
      </c>
      <c r="T18" s="4">
        <v>45927.34375</v>
      </c>
      <c r="U18" s="4">
        <v>45927.454861111109</v>
      </c>
      <c r="V18" s="3" t="s">
        <v>36</v>
      </c>
      <c r="W18" s="3" t="s">
        <v>37</v>
      </c>
      <c r="X18" s="5">
        <v>96.5</v>
      </c>
      <c r="Y18" s="5">
        <v>73.349999999999994</v>
      </c>
      <c r="AA18" s="5">
        <v>9.9499999999999993</v>
      </c>
      <c r="AB18" s="5">
        <v>13.2</v>
      </c>
      <c r="AC18" s="5">
        <v>96.5</v>
      </c>
      <c r="AD18" s="3" t="s">
        <v>83</v>
      </c>
      <c r="AE18" s="3" t="s">
        <v>187</v>
      </c>
      <c r="AF18" s="3" t="s">
        <v>40</v>
      </c>
      <c r="AG18" s="3">
        <v>10143566005</v>
      </c>
    </row>
    <row r="19" spans="1:33" s="3" customFormat="1" x14ac:dyDescent="0.25">
      <c r="A19" s="3" t="s">
        <v>339</v>
      </c>
      <c r="B19" s="3" t="s">
        <v>337</v>
      </c>
      <c r="E19" s="3">
        <v>16151341</v>
      </c>
      <c r="F19" s="3">
        <v>10006872308</v>
      </c>
      <c r="G19" s="4">
        <v>45897.778657407405</v>
      </c>
      <c r="H19" s="3" t="s">
        <v>32</v>
      </c>
      <c r="J19" s="3" t="s">
        <v>110</v>
      </c>
      <c r="K19" s="3" t="s">
        <v>246</v>
      </c>
      <c r="L19" s="3">
        <v>7173375</v>
      </c>
      <c r="M19" s="3" t="s">
        <v>148</v>
      </c>
      <c r="N19" s="3" t="s">
        <v>34</v>
      </c>
      <c r="O19" s="3" t="s">
        <v>247</v>
      </c>
      <c r="P19" s="3" t="s">
        <v>35</v>
      </c>
      <c r="R19" s="3">
        <v>1</v>
      </c>
      <c r="T19" s="4">
        <v>45901.291666666664</v>
      </c>
      <c r="U19" s="4">
        <v>45901.493055555555</v>
      </c>
      <c r="V19" s="3" t="s">
        <v>36</v>
      </c>
      <c r="W19" s="3" t="s">
        <v>37</v>
      </c>
      <c r="X19" s="5">
        <v>121.38</v>
      </c>
      <c r="Y19" s="5">
        <v>90</v>
      </c>
      <c r="AA19" s="5">
        <v>9.9499999999999993</v>
      </c>
      <c r="AB19" s="5">
        <v>21.43</v>
      </c>
      <c r="AC19" s="5">
        <v>121.38</v>
      </c>
      <c r="AD19" s="3" t="s">
        <v>176</v>
      </c>
      <c r="AE19" s="3" t="s">
        <v>248</v>
      </c>
      <c r="AF19" s="3" t="s">
        <v>40</v>
      </c>
      <c r="AG19" s="3">
        <v>10143559141</v>
      </c>
    </row>
    <row r="20" spans="1:33" s="3" customFormat="1" x14ac:dyDescent="0.25">
      <c r="A20" s="3" t="s">
        <v>339</v>
      </c>
      <c r="B20" s="3" t="s">
        <v>340</v>
      </c>
      <c r="E20" s="3">
        <v>16165583</v>
      </c>
      <c r="F20" s="3">
        <v>10008326782</v>
      </c>
      <c r="G20" s="4">
        <v>45898.999560185184</v>
      </c>
      <c r="H20" s="3" t="s">
        <v>32</v>
      </c>
      <c r="J20" s="3" t="s">
        <v>147</v>
      </c>
      <c r="K20" s="3" t="s">
        <v>117</v>
      </c>
      <c r="L20" s="3">
        <v>546867765</v>
      </c>
      <c r="M20" s="3" t="s">
        <v>33</v>
      </c>
      <c r="N20" s="3" t="s">
        <v>34</v>
      </c>
      <c r="O20" s="3" t="s">
        <v>118</v>
      </c>
      <c r="P20" s="3" t="s">
        <v>35</v>
      </c>
      <c r="R20" s="3">
        <v>1</v>
      </c>
      <c r="T20" s="4">
        <v>45901.333333333336</v>
      </c>
      <c r="U20" s="4">
        <v>45901.694444444445</v>
      </c>
      <c r="V20" s="3" t="s">
        <v>36</v>
      </c>
      <c r="W20" s="3" t="s">
        <v>37</v>
      </c>
      <c r="X20" s="5">
        <v>273.77</v>
      </c>
      <c r="Y20" s="5">
        <v>223.58</v>
      </c>
      <c r="AA20" s="5">
        <v>9.9499999999999993</v>
      </c>
      <c r="AB20" s="5">
        <v>40.24</v>
      </c>
      <c r="AC20" s="5">
        <v>273.77</v>
      </c>
      <c r="AD20" s="3" t="s">
        <v>120</v>
      </c>
      <c r="AE20" s="3" t="s">
        <v>119</v>
      </c>
      <c r="AF20" s="3" t="s">
        <v>40</v>
      </c>
      <c r="AG20" s="3">
        <v>10143567974</v>
      </c>
    </row>
    <row r="21" spans="1:33" s="3" customFormat="1" x14ac:dyDescent="0.25">
      <c r="A21" s="3" t="s">
        <v>339</v>
      </c>
      <c r="B21" s="3" t="s">
        <v>337</v>
      </c>
      <c r="E21" s="3">
        <v>16185808</v>
      </c>
      <c r="F21" s="3">
        <v>10008358753</v>
      </c>
      <c r="G21" s="4">
        <v>45901.696759259263</v>
      </c>
      <c r="H21" s="3" t="s">
        <v>32</v>
      </c>
      <c r="J21" s="3" t="s">
        <v>105</v>
      </c>
      <c r="K21" s="3" t="s">
        <v>117</v>
      </c>
      <c r="L21" s="3">
        <v>47809142801</v>
      </c>
      <c r="M21" s="3" t="s">
        <v>33</v>
      </c>
      <c r="N21" s="3" t="s">
        <v>34</v>
      </c>
      <c r="O21" s="3" t="s">
        <v>118</v>
      </c>
      <c r="P21" s="3" t="s">
        <v>35</v>
      </c>
      <c r="R21" s="3">
        <v>1</v>
      </c>
      <c r="T21" s="4">
        <v>45905.583333333336</v>
      </c>
      <c r="U21" s="4">
        <v>45905.923611111109</v>
      </c>
      <c r="V21" s="3" t="s">
        <v>36</v>
      </c>
      <c r="W21" s="3" t="s">
        <v>37</v>
      </c>
      <c r="X21" s="5">
        <v>233.02</v>
      </c>
      <c r="Y21" s="5">
        <v>189.05</v>
      </c>
      <c r="AA21" s="5">
        <v>9.9499999999999993</v>
      </c>
      <c r="AB21" s="5">
        <v>34.020000000000003</v>
      </c>
      <c r="AC21" s="5">
        <v>233.02</v>
      </c>
      <c r="AD21" s="3" t="s">
        <v>119</v>
      </c>
      <c r="AE21" s="3" t="s">
        <v>120</v>
      </c>
      <c r="AF21" s="3" t="s">
        <v>40</v>
      </c>
      <c r="AG21" s="3">
        <v>10143580548</v>
      </c>
    </row>
    <row r="22" spans="1:33" s="3" customFormat="1" x14ac:dyDescent="0.25">
      <c r="A22" s="3" t="s">
        <v>339</v>
      </c>
      <c r="B22" s="3" t="s">
        <v>337</v>
      </c>
      <c r="E22" s="3">
        <v>16128206</v>
      </c>
      <c r="F22" s="3">
        <v>10012834712.01</v>
      </c>
      <c r="G22" s="4">
        <v>45895.702199074076</v>
      </c>
      <c r="H22" s="3" t="s">
        <v>32</v>
      </c>
      <c r="J22" s="3" t="s">
        <v>156</v>
      </c>
      <c r="K22" s="3" t="s">
        <v>280</v>
      </c>
      <c r="L22" s="3">
        <v>214805840.21480501</v>
      </c>
      <c r="M22" s="3" t="s">
        <v>148</v>
      </c>
      <c r="N22" s="3" t="s">
        <v>41</v>
      </c>
      <c r="O22" s="3" t="s">
        <v>281</v>
      </c>
      <c r="P22" s="3" t="s">
        <v>35</v>
      </c>
      <c r="R22" s="3">
        <v>2</v>
      </c>
      <c r="T22" s="4">
        <v>45900.513888888891</v>
      </c>
      <c r="U22" s="4">
        <v>45900.673611111109</v>
      </c>
      <c r="V22" s="3" t="s">
        <v>36</v>
      </c>
      <c r="W22" s="3" t="s">
        <v>37</v>
      </c>
      <c r="X22" s="5">
        <v>156.82</v>
      </c>
      <c r="Y22" s="5">
        <v>110.32</v>
      </c>
      <c r="AA22" s="5">
        <v>19.899999999999999</v>
      </c>
      <c r="AB22" s="5">
        <v>26.6</v>
      </c>
      <c r="AC22" s="5">
        <v>156.82</v>
      </c>
      <c r="AD22" s="3" t="s">
        <v>282</v>
      </c>
      <c r="AE22" s="3" t="s">
        <v>283</v>
      </c>
      <c r="AF22" s="3" t="s">
        <v>40</v>
      </c>
      <c r="AG22" s="3" t="s">
        <v>284</v>
      </c>
    </row>
    <row r="23" spans="1:33" s="3" customFormat="1" x14ac:dyDescent="0.25">
      <c r="A23" s="3" t="s">
        <v>339</v>
      </c>
      <c r="B23" s="3" t="s">
        <v>340</v>
      </c>
      <c r="E23" s="3">
        <v>16127132</v>
      </c>
      <c r="F23" s="3">
        <v>10030570697</v>
      </c>
      <c r="G23" s="4">
        <v>45895.651145833333</v>
      </c>
      <c r="H23" s="3" t="s">
        <v>32</v>
      </c>
      <c r="J23" s="3" t="s">
        <v>285</v>
      </c>
      <c r="K23" s="3" t="s">
        <v>286</v>
      </c>
      <c r="L23" s="3">
        <v>350707133</v>
      </c>
      <c r="M23" s="3" t="s">
        <v>33</v>
      </c>
      <c r="N23" s="3" t="s">
        <v>41</v>
      </c>
      <c r="O23" s="3" t="s">
        <v>287</v>
      </c>
      <c r="P23" s="3" t="s">
        <v>35</v>
      </c>
      <c r="R23" s="3">
        <v>1</v>
      </c>
      <c r="T23" s="4">
        <v>45896.583333333336</v>
      </c>
      <c r="U23" s="4">
        <v>45896.694444444445</v>
      </c>
      <c r="V23" s="3" t="s">
        <v>36</v>
      </c>
      <c r="W23" s="3" t="s">
        <v>37</v>
      </c>
      <c r="X23" s="5">
        <v>89.28</v>
      </c>
      <c r="Y23" s="5">
        <v>67.23</v>
      </c>
      <c r="AA23" s="5">
        <v>9.9499999999999993</v>
      </c>
      <c r="AB23" s="5">
        <v>12.1</v>
      </c>
      <c r="AC23" s="5">
        <v>89.28</v>
      </c>
      <c r="AD23" s="3" t="s">
        <v>288</v>
      </c>
      <c r="AE23" s="3" t="s">
        <v>38</v>
      </c>
      <c r="AF23" s="3" t="s">
        <v>40</v>
      </c>
      <c r="AG23" s="3">
        <v>10143543439</v>
      </c>
    </row>
    <row r="24" spans="1:33" s="3" customFormat="1" x14ac:dyDescent="0.25">
      <c r="A24" s="3" t="s">
        <v>339</v>
      </c>
      <c r="B24" s="3" t="s">
        <v>340</v>
      </c>
      <c r="E24" s="3">
        <v>16117116</v>
      </c>
      <c r="F24" s="3">
        <v>10289587580.010201</v>
      </c>
      <c r="G24" s="4">
        <v>45894.69</v>
      </c>
      <c r="H24" s="3" t="s">
        <v>32</v>
      </c>
      <c r="J24" s="3" t="s">
        <v>85</v>
      </c>
      <c r="K24" s="3" t="s">
        <v>318</v>
      </c>
      <c r="L24" s="3">
        <v>462298851.46229798</v>
      </c>
      <c r="M24" s="3" t="s">
        <v>33</v>
      </c>
      <c r="N24" s="3" t="s">
        <v>81</v>
      </c>
      <c r="O24" s="3" t="s">
        <v>82</v>
      </c>
      <c r="P24" s="3" t="s">
        <v>35</v>
      </c>
      <c r="Q24" s="3" t="s">
        <v>65</v>
      </c>
      <c r="R24" s="3">
        <v>2</v>
      </c>
      <c r="T24" s="4">
        <v>45916.979166666664</v>
      </c>
      <c r="U24" s="4">
        <v>45917.236111111109</v>
      </c>
      <c r="V24" s="3" t="s">
        <v>36</v>
      </c>
      <c r="W24" s="3" t="s">
        <v>37</v>
      </c>
      <c r="X24" s="5">
        <v>398.65</v>
      </c>
      <c r="Y24" s="5">
        <v>319.29000000000002</v>
      </c>
      <c r="AA24" s="5">
        <v>21.9</v>
      </c>
      <c r="AB24" s="5">
        <v>57.46</v>
      </c>
      <c r="AC24" s="5">
        <v>398.65</v>
      </c>
      <c r="AD24" s="3" t="s">
        <v>319</v>
      </c>
      <c r="AE24" s="3" t="s">
        <v>83</v>
      </c>
      <c r="AF24" s="3" t="s">
        <v>40</v>
      </c>
      <c r="AG24" s="3" t="s">
        <v>320</v>
      </c>
    </row>
    <row r="25" spans="1:33" s="3" customFormat="1" x14ac:dyDescent="0.25">
      <c r="A25" s="3" t="s">
        <v>339</v>
      </c>
      <c r="B25" s="3" t="s">
        <v>337</v>
      </c>
      <c r="E25" s="3">
        <v>16128562</v>
      </c>
      <c r="F25" s="3">
        <v>10289693404.010201</v>
      </c>
      <c r="G25" s="4">
        <v>45895.720104166663</v>
      </c>
      <c r="H25" s="3" t="s">
        <v>32</v>
      </c>
      <c r="J25" s="3" t="s">
        <v>156</v>
      </c>
      <c r="K25" s="3" t="s">
        <v>273</v>
      </c>
      <c r="L25" s="3">
        <v>413698804.41369802</v>
      </c>
      <c r="M25" s="3" t="s">
        <v>148</v>
      </c>
      <c r="N25" s="3" t="s">
        <v>81</v>
      </c>
      <c r="O25" s="3" t="s">
        <v>150</v>
      </c>
      <c r="P25" s="3" t="s">
        <v>35</v>
      </c>
      <c r="R25" s="3">
        <v>2</v>
      </c>
      <c r="T25" s="4">
        <v>45936.034722222219</v>
      </c>
      <c r="U25" s="4">
        <v>45936.208333333336</v>
      </c>
      <c r="V25" s="3" t="s">
        <v>36</v>
      </c>
      <c r="W25" s="3" t="s">
        <v>37</v>
      </c>
      <c r="X25" s="5">
        <v>363.37</v>
      </c>
      <c r="Y25" s="5">
        <v>277.82</v>
      </c>
      <c r="AA25" s="5">
        <v>19.899999999999999</v>
      </c>
      <c r="AB25" s="5">
        <v>65.650000000000006</v>
      </c>
      <c r="AC25" s="5">
        <v>363.37</v>
      </c>
      <c r="AD25" s="3" t="s">
        <v>192</v>
      </c>
      <c r="AE25" s="3" t="s">
        <v>83</v>
      </c>
      <c r="AF25" s="3" t="s">
        <v>40</v>
      </c>
      <c r="AG25" s="3" t="s">
        <v>275</v>
      </c>
    </row>
    <row r="26" spans="1:33" s="3" customFormat="1" x14ac:dyDescent="0.25">
      <c r="A26" s="3" t="s">
        <v>339</v>
      </c>
      <c r="B26" s="3" t="s">
        <v>337</v>
      </c>
      <c r="E26" s="3">
        <v>16128598</v>
      </c>
      <c r="F26" s="3">
        <v>10289693641.010201</v>
      </c>
      <c r="G26" s="4">
        <v>45895.721701388888</v>
      </c>
      <c r="H26" s="3" t="s">
        <v>32</v>
      </c>
      <c r="J26" s="3" t="s">
        <v>156</v>
      </c>
      <c r="K26" s="3" t="s">
        <v>273</v>
      </c>
      <c r="L26" s="3">
        <v>413698804.41369802</v>
      </c>
      <c r="M26" s="3" t="s">
        <v>148</v>
      </c>
      <c r="N26" s="3" t="s">
        <v>81</v>
      </c>
      <c r="O26" s="3" t="s">
        <v>150</v>
      </c>
      <c r="P26" s="3" t="s">
        <v>35</v>
      </c>
      <c r="R26" s="3">
        <v>2</v>
      </c>
      <c r="T26" s="4">
        <v>45944.034722222219</v>
      </c>
      <c r="U26" s="4">
        <v>45944.208333333336</v>
      </c>
      <c r="V26" s="3" t="s">
        <v>36</v>
      </c>
      <c r="W26" s="3" t="s">
        <v>37</v>
      </c>
      <c r="X26" s="5">
        <v>363.37</v>
      </c>
      <c r="Y26" s="5">
        <v>277.82</v>
      </c>
      <c r="AA26" s="5">
        <v>19.899999999999999</v>
      </c>
      <c r="AB26" s="5">
        <v>65.650000000000006</v>
      </c>
      <c r="AC26" s="5">
        <v>363.37</v>
      </c>
      <c r="AD26" s="3" t="s">
        <v>192</v>
      </c>
      <c r="AE26" s="3" t="s">
        <v>83</v>
      </c>
      <c r="AF26" s="3" t="s">
        <v>40</v>
      </c>
      <c r="AG26" s="3" t="s">
        <v>274</v>
      </c>
    </row>
    <row r="27" spans="1:33" s="3" customFormat="1" x14ac:dyDescent="0.25">
      <c r="A27" s="3" t="s">
        <v>339</v>
      </c>
      <c r="B27" s="3" t="s">
        <v>340</v>
      </c>
      <c r="E27" s="3">
        <v>16156679</v>
      </c>
      <c r="F27" s="3">
        <v>10289949582.010201</v>
      </c>
      <c r="G27" s="4">
        <v>45898.46329861111</v>
      </c>
      <c r="H27" s="3" t="s">
        <v>32</v>
      </c>
      <c r="J27" s="3" t="s">
        <v>214</v>
      </c>
      <c r="K27" s="3" t="s">
        <v>215</v>
      </c>
      <c r="L27" s="3" t="s">
        <v>216</v>
      </c>
      <c r="M27" s="3" t="s">
        <v>33</v>
      </c>
      <c r="N27" s="3" t="s">
        <v>41</v>
      </c>
      <c r="O27" s="3" t="s">
        <v>217</v>
      </c>
      <c r="P27" s="3" t="s">
        <v>35</v>
      </c>
      <c r="R27" s="3">
        <v>2</v>
      </c>
      <c r="T27" s="4">
        <v>45911.3125</v>
      </c>
      <c r="U27" s="4">
        <v>45911.5625</v>
      </c>
      <c r="V27" s="3" t="s">
        <v>36</v>
      </c>
      <c r="W27" s="3" t="s">
        <v>37</v>
      </c>
      <c r="X27" s="5">
        <v>349.99</v>
      </c>
      <c r="Y27" s="5">
        <v>279.74</v>
      </c>
      <c r="AA27" s="5">
        <v>19.899999999999999</v>
      </c>
      <c r="AB27" s="5">
        <v>50.35</v>
      </c>
      <c r="AC27" s="5">
        <v>349.99</v>
      </c>
      <c r="AD27" s="3" t="s">
        <v>54</v>
      </c>
      <c r="AE27" s="3" t="s">
        <v>218</v>
      </c>
      <c r="AF27" s="3" t="s">
        <v>40</v>
      </c>
      <c r="AG27" s="3" t="s">
        <v>219</v>
      </c>
    </row>
    <row r="28" spans="1:33" s="3" customFormat="1" x14ac:dyDescent="0.25">
      <c r="A28" s="3" t="s">
        <v>339</v>
      </c>
      <c r="B28" s="3" t="s">
        <v>340</v>
      </c>
      <c r="E28" s="3">
        <v>16163894</v>
      </c>
      <c r="F28" s="3">
        <v>10290008603.010201</v>
      </c>
      <c r="G28" s="4">
        <v>45898.796550925923</v>
      </c>
      <c r="H28" s="3" t="s">
        <v>32</v>
      </c>
      <c r="J28" s="3" t="s">
        <v>85</v>
      </c>
      <c r="K28" s="3" t="s">
        <v>149</v>
      </c>
      <c r="L28" s="3">
        <v>504264977.504264</v>
      </c>
      <c r="M28" s="3" t="s">
        <v>33</v>
      </c>
      <c r="N28" s="3" t="s">
        <v>81</v>
      </c>
      <c r="O28" s="3" t="s">
        <v>150</v>
      </c>
      <c r="P28" s="3" t="s">
        <v>35</v>
      </c>
      <c r="Q28" s="3" t="s">
        <v>65</v>
      </c>
      <c r="R28" s="3">
        <v>2</v>
      </c>
      <c r="T28" s="4">
        <v>45945.291666666664</v>
      </c>
      <c r="U28" s="4">
        <v>45945.5</v>
      </c>
      <c r="V28" s="3" t="s">
        <v>36</v>
      </c>
      <c r="W28" s="3" t="s">
        <v>37</v>
      </c>
      <c r="X28" s="5">
        <v>486.58</v>
      </c>
      <c r="Y28" s="5">
        <v>394.65</v>
      </c>
      <c r="AA28" s="5">
        <v>20.9</v>
      </c>
      <c r="AB28" s="5">
        <v>71.03</v>
      </c>
      <c r="AC28" s="5">
        <v>486.58</v>
      </c>
      <c r="AD28" s="3" t="s">
        <v>151</v>
      </c>
      <c r="AE28" s="3" t="s">
        <v>83</v>
      </c>
      <c r="AF28" s="3" t="s">
        <v>40</v>
      </c>
      <c r="AG28" s="3" t="s">
        <v>152</v>
      </c>
    </row>
    <row r="29" spans="1:33" s="3" customFormat="1" x14ac:dyDescent="0.25">
      <c r="A29" s="3" t="s">
        <v>339</v>
      </c>
      <c r="B29" s="3" t="s">
        <v>337</v>
      </c>
      <c r="E29" s="3">
        <v>16145913</v>
      </c>
      <c r="F29" s="3">
        <v>11175353139186</v>
      </c>
      <c r="G29" s="4">
        <v>45897.511782407404</v>
      </c>
      <c r="H29" s="3" t="s">
        <v>32</v>
      </c>
      <c r="J29" s="3" t="s">
        <v>156</v>
      </c>
      <c r="K29" s="3" t="s">
        <v>257</v>
      </c>
      <c r="L29" s="3">
        <v>4085742148</v>
      </c>
      <c r="M29" s="3" t="s">
        <v>148</v>
      </c>
      <c r="N29" s="3" t="s">
        <v>41</v>
      </c>
      <c r="O29" s="3" t="s">
        <v>158</v>
      </c>
      <c r="P29" s="3" t="s">
        <v>35</v>
      </c>
      <c r="R29" s="3">
        <v>1</v>
      </c>
      <c r="T29" s="4">
        <v>45899.291666666664</v>
      </c>
      <c r="U29" s="4">
        <v>45899.472222222219</v>
      </c>
      <c r="V29" s="3" t="s">
        <v>36</v>
      </c>
      <c r="W29" s="3" t="s">
        <v>37</v>
      </c>
      <c r="X29" s="5">
        <v>193.07</v>
      </c>
      <c r="Y29" s="5">
        <v>148.15</v>
      </c>
      <c r="AA29" s="5">
        <v>9.9499999999999993</v>
      </c>
      <c r="AB29" s="5">
        <v>34.97</v>
      </c>
      <c r="AC29" s="5">
        <v>193.07</v>
      </c>
      <c r="AD29" s="3" t="s">
        <v>159</v>
      </c>
      <c r="AE29" s="3" t="s">
        <v>80</v>
      </c>
      <c r="AF29" s="3" t="s">
        <v>40</v>
      </c>
      <c r="AG29" s="3">
        <v>10143555938</v>
      </c>
    </row>
    <row r="30" spans="1:33" s="3" customFormat="1" x14ac:dyDescent="0.25">
      <c r="A30" s="3" t="s">
        <v>339</v>
      </c>
      <c r="B30" s="3" t="s">
        <v>337</v>
      </c>
      <c r="E30" s="3">
        <v>16160524</v>
      </c>
      <c r="F30" s="3" t="s">
        <v>200</v>
      </c>
      <c r="G30" s="4">
        <v>45898.642766203702</v>
      </c>
      <c r="H30" s="3" t="s">
        <v>32</v>
      </c>
      <c r="J30" s="3" t="s">
        <v>156</v>
      </c>
      <c r="K30" s="3" t="s">
        <v>173</v>
      </c>
      <c r="L30" s="3">
        <v>4670795</v>
      </c>
      <c r="M30" s="3" t="s">
        <v>148</v>
      </c>
      <c r="N30" s="3" t="s">
        <v>34</v>
      </c>
      <c r="O30" s="3" t="s">
        <v>174</v>
      </c>
      <c r="P30" s="3" t="s">
        <v>35</v>
      </c>
      <c r="R30" s="3">
        <v>1</v>
      </c>
      <c r="T30" s="4">
        <v>45901.243055555555</v>
      </c>
      <c r="U30" s="4">
        <v>45901.451388888891</v>
      </c>
      <c r="V30" s="3" t="s">
        <v>36</v>
      </c>
      <c r="W30" s="3" t="s">
        <v>37</v>
      </c>
      <c r="X30" s="5">
        <v>164.54</v>
      </c>
      <c r="Y30" s="5">
        <v>125</v>
      </c>
      <c r="AA30" s="5">
        <v>9.9499999999999993</v>
      </c>
      <c r="AB30" s="5">
        <v>29.59</v>
      </c>
      <c r="AC30" s="5">
        <v>164.54</v>
      </c>
      <c r="AD30" s="3" t="s">
        <v>201</v>
      </c>
      <c r="AE30" s="3" t="s">
        <v>55</v>
      </c>
      <c r="AF30" s="3" t="s">
        <v>40</v>
      </c>
      <c r="AG30" s="3">
        <v>10143564860</v>
      </c>
    </row>
    <row r="31" spans="1:33" s="3" customFormat="1" x14ac:dyDescent="0.25">
      <c r="A31" s="3" t="s">
        <v>339</v>
      </c>
      <c r="B31" s="3" t="s">
        <v>337</v>
      </c>
      <c r="E31" s="3">
        <v>16162909</v>
      </c>
      <c r="F31" s="3" t="s">
        <v>172</v>
      </c>
      <c r="G31" s="4">
        <v>45898.738622685189</v>
      </c>
      <c r="H31" s="3" t="s">
        <v>32</v>
      </c>
      <c r="J31" s="3" t="s">
        <v>156</v>
      </c>
      <c r="K31" s="3" t="s">
        <v>173</v>
      </c>
      <c r="L31" s="3">
        <v>4670795</v>
      </c>
      <c r="M31" s="3" t="s">
        <v>148</v>
      </c>
      <c r="N31" s="3" t="s">
        <v>91</v>
      </c>
      <c r="O31" s="3" t="s">
        <v>174</v>
      </c>
      <c r="P31" s="3" t="s">
        <v>35</v>
      </c>
      <c r="R31" s="3">
        <v>1</v>
      </c>
      <c r="T31" s="4">
        <v>45899.666666666664</v>
      </c>
      <c r="U31" s="4">
        <v>45899.756944444445</v>
      </c>
      <c r="V31" s="3" t="s">
        <v>36</v>
      </c>
      <c r="W31" s="3" t="s">
        <v>37</v>
      </c>
      <c r="X31" s="5">
        <v>63.42</v>
      </c>
      <c r="Y31" s="5">
        <v>43</v>
      </c>
      <c r="AA31" s="5">
        <v>9.9499999999999993</v>
      </c>
      <c r="AB31" s="5">
        <v>10.47</v>
      </c>
      <c r="AC31" s="5">
        <v>63.42</v>
      </c>
      <c r="AD31" s="3" t="s">
        <v>175</v>
      </c>
      <c r="AE31" s="3" t="s">
        <v>176</v>
      </c>
      <c r="AF31" s="3" t="s">
        <v>40</v>
      </c>
      <c r="AG31" s="3">
        <v>10143566213</v>
      </c>
    </row>
    <row r="32" spans="1:33" s="3" customFormat="1" x14ac:dyDescent="0.25">
      <c r="A32" s="3" t="s">
        <v>339</v>
      </c>
      <c r="B32" s="3" t="s">
        <v>337</v>
      </c>
      <c r="E32" s="3">
        <v>16156267</v>
      </c>
      <c r="F32" s="3" t="s">
        <v>220</v>
      </c>
      <c r="G32" s="4">
        <v>45898.445416666669</v>
      </c>
      <c r="H32" s="3" t="s">
        <v>221</v>
      </c>
      <c r="J32" s="3" t="s">
        <v>110</v>
      </c>
      <c r="K32" s="3" t="s">
        <v>173</v>
      </c>
      <c r="L32" s="3">
        <v>4670795</v>
      </c>
      <c r="M32" s="3" t="s">
        <v>148</v>
      </c>
      <c r="N32" s="3" t="s">
        <v>91</v>
      </c>
      <c r="O32" s="3" t="s">
        <v>222</v>
      </c>
      <c r="P32" s="3" t="s">
        <v>35</v>
      </c>
      <c r="R32" s="3">
        <v>0</v>
      </c>
      <c r="S32" s="3" t="s">
        <v>223</v>
      </c>
      <c r="T32" s="4">
        <v>45899.375</v>
      </c>
      <c r="U32" s="4">
        <v>45899.46597222222</v>
      </c>
      <c r="V32" s="3" t="s">
        <v>65</v>
      </c>
      <c r="W32" s="3" t="s">
        <v>37</v>
      </c>
      <c r="X32" s="5">
        <v>63.42</v>
      </c>
      <c r="Y32" s="5">
        <v>-20.420000000000002</v>
      </c>
      <c r="AA32" s="5">
        <v>9.9499999999999993</v>
      </c>
      <c r="AB32" s="5">
        <v>10.47</v>
      </c>
      <c r="AC32" s="5">
        <v>53.47</v>
      </c>
      <c r="AD32" s="3" t="s">
        <v>175</v>
      </c>
      <c r="AE32" s="3" t="s">
        <v>176</v>
      </c>
      <c r="AF32" s="3" t="s">
        <v>40</v>
      </c>
    </row>
    <row r="33" spans="1:33" s="3" customFormat="1" x14ac:dyDescent="0.25">
      <c r="A33" s="3" t="s">
        <v>339</v>
      </c>
      <c r="B33" s="3" t="s">
        <v>340</v>
      </c>
      <c r="E33" s="3">
        <v>16197017</v>
      </c>
      <c r="F33" s="3" t="s">
        <v>46</v>
      </c>
      <c r="G33" s="4">
        <v>45902.695023148146</v>
      </c>
      <c r="H33" s="3" t="s">
        <v>32</v>
      </c>
      <c r="J33" s="3" t="s">
        <v>47</v>
      </c>
      <c r="K33" s="3" t="s">
        <v>48</v>
      </c>
      <c r="L33" s="3">
        <v>2293024.2293023998</v>
      </c>
      <c r="M33" s="3" t="s">
        <v>33</v>
      </c>
      <c r="N33" s="3" t="s">
        <v>41</v>
      </c>
      <c r="O33" s="3" t="s">
        <v>49</v>
      </c>
      <c r="P33" s="3" t="s">
        <v>35</v>
      </c>
      <c r="R33" s="3">
        <v>2</v>
      </c>
      <c r="T33" s="4">
        <v>45903.34375</v>
      </c>
      <c r="U33" s="4">
        <v>45903.503472222219</v>
      </c>
      <c r="V33" s="3" t="s">
        <v>36</v>
      </c>
      <c r="W33" s="3" t="s">
        <v>37</v>
      </c>
      <c r="X33" s="5">
        <v>223.89</v>
      </c>
      <c r="Y33" s="5">
        <v>189.75</v>
      </c>
      <c r="AA33" s="5">
        <v>0</v>
      </c>
      <c r="AB33" s="5">
        <v>34.14</v>
      </c>
      <c r="AC33" s="5">
        <v>223.89</v>
      </c>
      <c r="AD33" s="3" t="s">
        <v>50</v>
      </c>
      <c r="AE33" s="3" t="s">
        <v>51</v>
      </c>
      <c r="AF33" s="3" t="s">
        <v>40</v>
      </c>
    </row>
    <row r="34" spans="1:33" s="3" customFormat="1" x14ac:dyDescent="0.25">
      <c r="A34" s="3" t="s">
        <v>339</v>
      </c>
      <c r="B34" s="3" t="s">
        <v>337</v>
      </c>
      <c r="E34" s="3">
        <v>16129617</v>
      </c>
      <c r="F34" s="3" t="s">
        <v>265</v>
      </c>
      <c r="G34" s="4">
        <v>45895.779872685183</v>
      </c>
      <c r="H34" s="3" t="s">
        <v>32</v>
      </c>
      <c r="J34" s="3" t="s">
        <v>105</v>
      </c>
      <c r="K34" s="3" t="s">
        <v>266</v>
      </c>
      <c r="L34" s="3">
        <v>3765204.3765203999</v>
      </c>
      <c r="M34" s="3" t="s">
        <v>148</v>
      </c>
      <c r="N34" s="3" t="s">
        <v>130</v>
      </c>
      <c r="O34" s="3" t="s">
        <v>267</v>
      </c>
      <c r="P34" s="3" t="s">
        <v>35</v>
      </c>
      <c r="R34" s="3">
        <v>2</v>
      </c>
      <c r="T34" s="4">
        <v>45896.4375</v>
      </c>
      <c r="U34" s="4">
        <v>45896.673611111109</v>
      </c>
      <c r="V34" s="3" t="s">
        <v>36</v>
      </c>
      <c r="W34" s="3" t="s">
        <v>37</v>
      </c>
      <c r="X34" s="5">
        <v>292.04000000000002</v>
      </c>
      <c r="Y34" s="5">
        <v>219.98</v>
      </c>
      <c r="AA34" s="5">
        <v>19.899999999999999</v>
      </c>
      <c r="AB34" s="5">
        <v>52.16</v>
      </c>
      <c r="AC34" s="5">
        <v>292.04000000000002</v>
      </c>
      <c r="AD34" s="3" t="s">
        <v>54</v>
      </c>
      <c r="AE34" s="3" t="s">
        <v>209</v>
      </c>
      <c r="AF34" s="3" t="s">
        <v>63</v>
      </c>
      <c r="AG34" s="3" t="s">
        <v>268</v>
      </c>
    </row>
    <row r="35" spans="1:33" s="3" customFormat="1" x14ac:dyDescent="0.25">
      <c r="A35" s="3" t="s">
        <v>339</v>
      </c>
      <c r="B35" s="3" t="s">
        <v>337</v>
      </c>
      <c r="E35" s="3">
        <v>16118210</v>
      </c>
      <c r="F35" s="3" t="s">
        <v>314</v>
      </c>
      <c r="G35" s="4">
        <v>45894.736342592594</v>
      </c>
      <c r="H35" s="3" t="s">
        <v>32</v>
      </c>
      <c r="J35" s="3" t="s">
        <v>110</v>
      </c>
      <c r="K35" s="3" t="s">
        <v>315</v>
      </c>
      <c r="L35" s="3">
        <v>668999748</v>
      </c>
      <c r="M35" s="3" t="s">
        <v>148</v>
      </c>
      <c r="N35" s="3" t="s">
        <v>91</v>
      </c>
      <c r="O35" s="3" t="s">
        <v>261</v>
      </c>
      <c r="P35" s="3" t="s">
        <v>35</v>
      </c>
      <c r="R35" s="3">
        <v>1</v>
      </c>
      <c r="T35" s="4">
        <v>45895.583333333336</v>
      </c>
      <c r="U35" s="4">
        <v>45895.788194444445</v>
      </c>
      <c r="V35" s="3" t="s">
        <v>36</v>
      </c>
      <c r="W35" s="3" t="s">
        <v>37</v>
      </c>
      <c r="X35" s="5">
        <v>176.85</v>
      </c>
      <c r="Y35" s="5">
        <v>134.99</v>
      </c>
      <c r="AA35" s="5">
        <v>9.9499999999999993</v>
      </c>
      <c r="AB35" s="5">
        <v>31.91</v>
      </c>
      <c r="AC35" s="5">
        <v>176.85</v>
      </c>
      <c r="AD35" s="3" t="s">
        <v>316</v>
      </c>
      <c r="AE35" s="3" t="s">
        <v>317</v>
      </c>
      <c r="AF35" s="3" t="s">
        <v>40</v>
      </c>
      <c r="AG35" s="3">
        <v>10143536678</v>
      </c>
    </row>
    <row r="36" spans="1:33" s="3" customFormat="1" x14ac:dyDescent="0.25">
      <c r="A36" s="3" t="s">
        <v>339</v>
      </c>
      <c r="B36" s="3" t="s">
        <v>337</v>
      </c>
      <c r="E36" s="3">
        <v>16137796</v>
      </c>
      <c r="F36" s="3" t="s">
        <v>259</v>
      </c>
      <c r="G36" s="4">
        <v>45896.655381944445</v>
      </c>
      <c r="H36" s="3" t="s">
        <v>32</v>
      </c>
      <c r="J36" s="3" t="s">
        <v>110</v>
      </c>
      <c r="K36" s="3" t="s">
        <v>260</v>
      </c>
      <c r="L36" s="3">
        <v>244849754</v>
      </c>
      <c r="M36" s="3" t="s">
        <v>148</v>
      </c>
      <c r="N36" s="3" t="s">
        <v>59</v>
      </c>
      <c r="O36" s="3" t="s">
        <v>60</v>
      </c>
      <c r="P36" s="3" t="s">
        <v>35</v>
      </c>
      <c r="R36" s="3">
        <v>1</v>
      </c>
      <c r="T36" s="4">
        <v>45898.3125</v>
      </c>
      <c r="U36" s="4">
        <v>45898.787499999999</v>
      </c>
      <c r="V36" s="3" t="s">
        <v>36</v>
      </c>
      <c r="W36" s="3" t="s">
        <v>37</v>
      </c>
      <c r="X36" s="5">
        <v>457.39</v>
      </c>
      <c r="Y36" s="5">
        <v>362.5</v>
      </c>
      <c r="AA36" s="5">
        <v>9.9499999999999993</v>
      </c>
      <c r="AB36" s="5">
        <v>84.94</v>
      </c>
      <c r="AC36" s="5">
        <v>457.39</v>
      </c>
      <c r="AD36" s="3" t="s">
        <v>195</v>
      </c>
      <c r="AE36" s="3" t="s">
        <v>175</v>
      </c>
      <c r="AF36" s="3" t="s">
        <v>40</v>
      </c>
      <c r="AG36" s="3">
        <v>10143551179</v>
      </c>
    </row>
    <row r="37" spans="1:33" s="3" customFormat="1" x14ac:dyDescent="0.25">
      <c r="A37" s="3" t="s">
        <v>339</v>
      </c>
      <c r="B37" s="3" t="s">
        <v>337</v>
      </c>
      <c r="E37" s="3">
        <v>16150106</v>
      </c>
      <c r="F37" s="3" t="s">
        <v>253</v>
      </c>
      <c r="G37" s="4">
        <v>45897.712847222225</v>
      </c>
      <c r="H37" s="3" t="s">
        <v>32</v>
      </c>
      <c r="J37" s="3" t="s">
        <v>156</v>
      </c>
      <c r="K37" s="3" t="s">
        <v>194</v>
      </c>
      <c r="L37" s="3">
        <v>8685015</v>
      </c>
      <c r="M37" s="3" t="s">
        <v>148</v>
      </c>
      <c r="N37" s="3" t="s">
        <v>59</v>
      </c>
      <c r="O37" s="3" t="s">
        <v>60</v>
      </c>
      <c r="P37" s="3" t="s">
        <v>35</v>
      </c>
      <c r="R37" s="3">
        <v>1</v>
      </c>
      <c r="T37" s="4">
        <v>45898.375</v>
      </c>
      <c r="U37" s="4">
        <v>45898.752083333333</v>
      </c>
      <c r="V37" s="3" t="s">
        <v>36</v>
      </c>
      <c r="W37" s="3" t="s">
        <v>37</v>
      </c>
      <c r="X37" s="5">
        <v>426.11</v>
      </c>
      <c r="Y37" s="5">
        <v>337.13</v>
      </c>
      <c r="AA37" s="5">
        <v>9.9499999999999993</v>
      </c>
      <c r="AB37" s="5">
        <v>79.03</v>
      </c>
      <c r="AC37" s="5">
        <v>426.11</v>
      </c>
      <c r="AD37" s="3" t="s">
        <v>55</v>
      </c>
      <c r="AE37" s="3" t="s">
        <v>195</v>
      </c>
      <c r="AF37" s="3" t="s">
        <v>40</v>
      </c>
      <c r="AG37" s="3">
        <v>10143558544</v>
      </c>
    </row>
    <row r="38" spans="1:33" s="3" customFormat="1" x14ac:dyDescent="0.25">
      <c r="A38" s="3" t="s">
        <v>339</v>
      </c>
      <c r="B38" s="3" t="s">
        <v>340</v>
      </c>
      <c r="E38" s="3">
        <v>16157314</v>
      </c>
      <c r="F38" s="3" t="s">
        <v>207</v>
      </c>
      <c r="G38" s="4">
        <v>45898.491087962961</v>
      </c>
      <c r="H38" s="3" t="s">
        <v>32</v>
      </c>
      <c r="J38" s="3" t="s">
        <v>85</v>
      </c>
      <c r="K38" s="3" t="s">
        <v>208</v>
      </c>
      <c r="L38" s="3">
        <v>2083280.208328</v>
      </c>
      <c r="M38" s="3" t="s">
        <v>33</v>
      </c>
      <c r="N38" s="3" t="s">
        <v>69</v>
      </c>
      <c r="O38" s="3" t="s">
        <v>70</v>
      </c>
      <c r="P38" s="3" t="s">
        <v>35</v>
      </c>
      <c r="Q38" s="3" t="s">
        <v>65</v>
      </c>
      <c r="R38" s="3">
        <v>2</v>
      </c>
      <c r="T38" s="4">
        <v>45935.614583333336</v>
      </c>
      <c r="U38" s="4">
        <v>45935.913194444445</v>
      </c>
      <c r="V38" s="3" t="s">
        <v>36</v>
      </c>
      <c r="W38" s="3" t="s">
        <v>37</v>
      </c>
      <c r="X38" s="5">
        <v>540.1</v>
      </c>
      <c r="Y38" s="5">
        <v>440</v>
      </c>
      <c r="AA38" s="5">
        <v>20.9</v>
      </c>
      <c r="AB38" s="5">
        <v>79.2</v>
      </c>
      <c r="AC38" s="5">
        <v>540.1</v>
      </c>
      <c r="AD38" s="3" t="s">
        <v>209</v>
      </c>
      <c r="AE38" s="3" t="s">
        <v>210</v>
      </c>
      <c r="AF38" s="3" t="s">
        <v>63</v>
      </c>
      <c r="AG38" s="3" t="s">
        <v>211</v>
      </c>
    </row>
    <row r="39" spans="1:33" s="3" customFormat="1" x14ac:dyDescent="0.25">
      <c r="A39" s="3" t="s">
        <v>339</v>
      </c>
      <c r="B39" s="3" t="s">
        <v>337</v>
      </c>
      <c r="E39" s="3">
        <v>16162156</v>
      </c>
      <c r="F39" s="3" t="s">
        <v>193</v>
      </c>
      <c r="G39" s="4">
        <v>45898.705277777779</v>
      </c>
      <c r="H39" s="3" t="s">
        <v>32</v>
      </c>
      <c r="J39" s="3" t="s">
        <v>156</v>
      </c>
      <c r="K39" s="3" t="s">
        <v>194</v>
      </c>
      <c r="L39" s="3">
        <v>8685015</v>
      </c>
      <c r="M39" s="3" t="s">
        <v>148</v>
      </c>
      <c r="N39" s="3" t="s">
        <v>69</v>
      </c>
      <c r="O39" s="3" t="s">
        <v>60</v>
      </c>
      <c r="P39" s="3" t="s">
        <v>35</v>
      </c>
      <c r="R39" s="3">
        <v>1</v>
      </c>
      <c r="T39" s="4">
        <v>45899.375</v>
      </c>
      <c r="U39" s="4">
        <v>45899.752083333333</v>
      </c>
      <c r="V39" s="3" t="s">
        <v>36</v>
      </c>
      <c r="W39" s="3" t="s">
        <v>37</v>
      </c>
      <c r="X39" s="5">
        <v>319.88</v>
      </c>
      <c r="Y39" s="5">
        <v>250.99</v>
      </c>
      <c r="AA39" s="5">
        <v>9.9499999999999993</v>
      </c>
      <c r="AB39" s="5">
        <v>58.94</v>
      </c>
      <c r="AC39" s="5">
        <v>319.88</v>
      </c>
      <c r="AD39" s="3" t="s">
        <v>55</v>
      </c>
      <c r="AE39" s="3" t="s">
        <v>195</v>
      </c>
      <c r="AF39" s="3" t="s">
        <v>40</v>
      </c>
      <c r="AG39" s="3">
        <v>10143565729</v>
      </c>
    </row>
    <row r="40" spans="1:33" s="3" customFormat="1" x14ac:dyDescent="0.25">
      <c r="A40" s="3" t="s">
        <v>339</v>
      </c>
      <c r="B40" s="3" t="s">
        <v>337</v>
      </c>
      <c r="E40" s="3">
        <v>16149232</v>
      </c>
      <c r="F40" s="3" t="s">
        <v>254</v>
      </c>
      <c r="G40" s="4">
        <v>45897.679097222222</v>
      </c>
      <c r="H40" s="3" t="s">
        <v>32</v>
      </c>
      <c r="J40" s="3" t="s">
        <v>110</v>
      </c>
      <c r="K40" s="3" t="s">
        <v>255</v>
      </c>
      <c r="L40" s="3">
        <v>47146542013</v>
      </c>
      <c r="M40" s="3" t="s">
        <v>148</v>
      </c>
      <c r="N40" s="3" t="s">
        <v>41</v>
      </c>
      <c r="O40" s="3" t="s">
        <v>256</v>
      </c>
      <c r="P40" s="3" t="s">
        <v>35</v>
      </c>
      <c r="R40" s="3">
        <v>1</v>
      </c>
      <c r="T40" s="4">
        <v>45898.25</v>
      </c>
      <c r="U40" s="4">
        <v>45898.878472222219</v>
      </c>
      <c r="V40" s="3" t="s">
        <v>36</v>
      </c>
      <c r="W40" s="3" t="s">
        <v>37</v>
      </c>
      <c r="X40" s="5">
        <v>308.81</v>
      </c>
      <c r="Y40" s="5">
        <v>242</v>
      </c>
      <c r="AA40" s="5">
        <v>9.9499999999999993</v>
      </c>
      <c r="AB40" s="5">
        <v>56.86</v>
      </c>
      <c r="AC40" s="5">
        <v>308.81</v>
      </c>
      <c r="AD40" s="3" t="s">
        <v>86</v>
      </c>
      <c r="AE40" s="3" t="s">
        <v>182</v>
      </c>
      <c r="AF40" s="3" t="s">
        <v>40</v>
      </c>
      <c r="AG40" s="3">
        <v>10143557967</v>
      </c>
    </row>
    <row r="41" spans="1:33" s="3" customFormat="1" x14ac:dyDescent="0.25">
      <c r="A41" s="3" t="s">
        <v>339</v>
      </c>
      <c r="B41" s="3" t="s">
        <v>337</v>
      </c>
      <c r="E41" s="3">
        <v>16129520</v>
      </c>
      <c r="F41" s="3" t="s">
        <v>269</v>
      </c>
      <c r="G41" s="4">
        <v>45895.772719907407</v>
      </c>
      <c r="H41" s="3" t="s">
        <v>32</v>
      </c>
      <c r="J41" s="3" t="s">
        <v>156</v>
      </c>
      <c r="K41" s="3" t="s">
        <v>270</v>
      </c>
      <c r="L41" s="3">
        <v>1449869509.14498</v>
      </c>
      <c r="M41" s="3" t="s">
        <v>33</v>
      </c>
      <c r="N41" s="3" t="s">
        <v>41</v>
      </c>
      <c r="O41" s="3" t="s">
        <v>57</v>
      </c>
      <c r="P41" s="3" t="s">
        <v>35</v>
      </c>
      <c r="R41" s="3">
        <v>2</v>
      </c>
      <c r="T41" s="4">
        <v>45900.916666666664</v>
      </c>
      <c r="U41" s="4">
        <v>45901.25</v>
      </c>
      <c r="V41" s="3" t="s">
        <v>36</v>
      </c>
      <c r="W41" s="3" t="s">
        <v>37</v>
      </c>
      <c r="X41" s="5">
        <v>706.05</v>
      </c>
      <c r="Y41" s="5">
        <v>579.79</v>
      </c>
      <c r="AA41" s="5">
        <v>21.9</v>
      </c>
      <c r="AB41" s="5">
        <v>104.36</v>
      </c>
      <c r="AC41" s="5">
        <v>706.05</v>
      </c>
      <c r="AD41" s="3" t="s">
        <v>72</v>
      </c>
      <c r="AE41" s="3" t="s">
        <v>271</v>
      </c>
      <c r="AF41" s="3" t="s">
        <v>40</v>
      </c>
      <c r="AG41" s="3" t="s">
        <v>272</v>
      </c>
    </row>
    <row r="42" spans="1:33" s="3" customFormat="1" x14ac:dyDescent="0.25">
      <c r="A42" s="3" t="s">
        <v>339</v>
      </c>
      <c r="B42" s="3" t="s">
        <v>340</v>
      </c>
      <c r="E42" s="3">
        <v>16155651</v>
      </c>
      <c r="F42" s="3" t="s">
        <v>224</v>
      </c>
      <c r="G42" s="4">
        <v>45898.418622685182</v>
      </c>
      <c r="H42" s="3" t="s">
        <v>32</v>
      </c>
      <c r="J42" s="3" t="s">
        <v>214</v>
      </c>
      <c r="K42" s="3" t="s">
        <v>225</v>
      </c>
      <c r="L42" s="3" t="s">
        <v>226</v>
      </c>
      <c r="M42" s="3" t="s">
        <v>33</v>
      </c>
      <c r="N42" s="3" t="s">
        <v>41</v>
      </c>
      <c r="O42" s="3" t="s">
        <v>57</v>
      </c>
      <c r="P42" s="3" t="s">
        <v>35</v>
      </c>
      <c r="R42" s="3">
        <v>1</v>
      </c>
      <c r="T42" s="4">
        <v>45899.270833333336</v>
      </c>
      <c r="U42" s="4">
        <v>45899.506944444445</v>
      </c>
      <c r="V42" s="3" t="s">
        <v>36</v>
      </c>
      <c r="W42" s="3" t="s">
        <v>37</v>
      </c>
      <c r="X42" s="5">
        <v>158.51</v>
      </c>
      <c r="Y42" s="5">
        <v>125.9</v>
      </c>
      <c r="AA42" s="5">
        <v>9.9499999999999993</v>
      </c>
      <c r="AB42" s="5">
        <v>22.66</v>
      </c>
      <c r="AC42" s="5">
        <v>158.51</v>
      </c>
      <c r="AD42" s="3" t="s">
        <v>129</v>
      </c>
      <c r="AE42" s="3" t="s">
        <v>64</v>
      </c>
      <c r="AF42" s="3" t="s">
        <v>40</v>
      </c>
      <c r="AG42" s="3">
        <v>10143561788</v>
      </c>
    </row>
    <row r="43" spans="1:33" s="3" customFormat="1" x14ac:dyDescent="0.25">
      <c r="A43" s="3" t="s">
        <v>339</v>
      </c>
      <c r="B43" s="3" t="s">
        <v>340</v>
      </c>
      <c r="E43" s="3">
        <v>16110297</v>
      </c>
      <c r="F43" s="3" t="s">
        <v>330</v>
      </c>
      <c r="G43" s="4">
        <v>45894.341956018521</v>
      </c>
      <c r="H43" s="3" t="s">
        <v>32</v>
      </c>
      <c r="J43" s="3" t="s">
        <v>47</v>
      </c>
      <c r="K43" s="3" t="s">
        <v>331</v>
      </c>
      <c r="L43" s="3" t="s">
        <v>332</v>
      </c>
      <c r="M43" s="3" t="s">
        <v>33</v>
      </c>
      <c r="N43" s="3" t="s">
        <v>333</v>
      </c>
      <c r="O43" s="3" t="s">
        <v>334</v>
      </c>
      <c r="P43" s="3" t="s">
        <v>35</v>
      </c>
      <c r="R43" s="3">
        <v>2</v>
      </c>
      <c r="T43" s="4">
        <v>45895.954861111109</v>
      </c>
      <c r="U43" s="4">
        <v>45896.225694444445</v>
      </c>
      <c r="V43" s="3" t="s">
        <v>36</v>
      </c>
      <c r="W43" s="3" t="s">
        <v>37</v>
      </c>
      <c r="X43" s="5">
        <v>566.16</v>
      </c>
      <c r="Y43" s="5">
        <v>479.8</v>
      </c>
      <c r="AA43" s="5">
        <v>0</v>
      </c>
      <c r="AB43" s="5">
        <v>86.36</v>
      </c>
      <c r="AC43" s="5">
        <v>566.16</v>
      </c>
      <c r="AD43" s="3" t="s">
        <v>38</v>
      </c>
      <c r="AE43" s="3" t="s">
        <v>71</v>
      </c>
      <c r="AF43" s="3" t="s">
        <v>63</v>
      </c>
    </row>
    <row r="44" spans="1:33" s="3" customFormat="1" x14ac:dyDescent="0.25">
      <c r="A44" s="3" t="s">
        <v>338</v>
      </c>
      <c r="B44" s="3" t="s">
        <v>340</v>
      </c>
      <c r="D44" s="3" t="s">
        <v>84</v>
      </c>
      <c r="E44" s="3">
        <v>16185608</v>
      </c>
      <c r="F44" s="3" t="s">
        <v>122</v>
      </c>
      <c r="G44" s="4">
        <v>45901.689074074071</v>
      </c>
      <c r="H44" s="3" t="s">
        <v>32</v>
      </c>
      <c r="I44" s="3" t="s">
        <v>84</v>
      </c>
      <c r="J44" s="3" t="s">
        <v>43</v>
      </c>
      <c r="K44" s="3" t="s">
        <v>97</v>
      </c>
      <c r="L44" s="3">
        <v>211688429</v>
      </c>
      <c r="M44" s="3" t="s">
        <v>33</v>
      </c>
      <c r="N44" s="3" t="s">
        <v>34</v>
      </c>
      <c r="O44" s="3" t="s">
        <v>77</v>
      </c>
      <c r="P44" s="3" t="s">
        <v>44</v>
      </c>
      <c r="R44" s="3">
        <v>1</v>
      </c>
      <c r="T44" s="4">
        <v>45915.791666666664</v>
      </c>
      <c r="U44" s="4">
        <v>45915.913194444445</v>
      </c>
      <c r="V44" s="3" t="s">
        <v>36</v>
      </c>
      <c r="W44" s="3" t="s">
        <v>37</v>
      </c>
      <c r="X44" s="5">
        <v>78.33</v>
      </c>
      <c r="Y44" s="5">
        <v>57.95</v>
      </c>
      <c r="AA44" s="5">
        <v>9.9499999999999993</v>
      </c>
      <c r="AB44" s="5">
        <v>10.43</v>
      </c>
      <c r="AC44" s="5">
        <v>78.33</v>
      </c>
      <c r="AD44" s="3" t="s">
        <v>115</v>
      </c>
      <c r="AE44" s="3" t="s">
        <v>116</v>
      </c>
      <c r="AF44" s="3" t="s">
        <v>40</v>
      </c>
      <c r="AG44" s="3">
        <v>10143580423</v>
      </c>
    </row>
    <row r="45" spans="1:33" s="3" customFormat="1" x14ac:dyDescent="0.25">
      <c r="A45" s="3" t="s">
        <v>339</v>
      </c>
      <c r="B45" s="3" t="s">
        <v>340</v>
      </c>
      <c r="E45" s="3">
        <v>16163831</v>
      </c>
      <c r="F45" s="3" t="s">
        <v>153</v>
      </c>
      <c r="G45" s="4">
        <v>45898.79173611111</v>
      </c>
      <c r="H45" s="3" t="s">
        <v>32</v>
      </c>
      <c r="J45" s="3" t="s">
        <v>85</v>
      </c>
      <c r="K45" s="3" t="s">
        <v>154</v>
      </c>
      <c r="L45" s="3">
        <v>293039830.29303902</v>
      </c>
      <c r="M45" s="3" t="s">
        <v>33</v>
      </c>
      <c r="N45" s="3" t="s">
        <v>34</v>
      </c>
      <c r="O45" s="3" t="s">
        <v>77</v>
      </c>
      <c r="P45" s="3" t="s">
        <v>35</v>
      </c>
      <c r="Q45" s="3" t="s">
        <v>65</v>
      </c>
      <c r="R45" s="3">
        <v>1</v>
      </c>
      <c r="S45" s="3" t="s">
        <v>155</v>
      </c>
      <c r="T45" s="4">
        <v>45945.333333333336</v>
      </c>
      <c r="U45" s="4">
        <v>45945.541666666664</v>
      </c>
      <c r="V45" s="3" t="s">
        <v>36</v>
      </c>
      <c r="W45" s="3" t="s">
        <v>37</v>
      </c>
      <c r="X45" s="5">
        <v>271.81</v>
      </c>
      <c r="Y45" s="5">
        <v>201.95</v>
      </c>
      <c r="AA45" s="5">
        <v>20.9</v>
      </c>
      <c r="AB45" s="5">
        <v>48.96</v>
      </c>
      <c r="AC45" s="5">
        <v>260.86</v>
      </c>
      <c r="AD45" s="3" t="s">
        <v>53</v>
      </c>
      <c r="AE45" s="3" t="s">
        <v>71</v>
      </c>
      <c r="AF45" s="3" t="s">
        <v>63</v>
      </c>
      <c r="AG45" s="3">
        <v>10143566798</v>
      </c>
    </row>
    <row r="46" spans="1:33" s="3" customFormat="1" x14ac:dyDescent="0.25">
      <c r="A46" s="3" t="s">
        <v>338</v>
      </c>
      <c r="B46" s="3" t="s">
        <v>340</v>
      </c>
      <c r="D46" s="3" t="s">
        <v>84</v>
      </c>
      <c r="E46" s="3">
        <v>16185975</v>
      </c>
      <c r="F46" s="3" t="s">
        <v>114</v>
      </c>
      <c r="G46" s="4">
        <v>45901.704629629632</v>
      </c>
      <c r="H46" s="3" t="s">
        <v>32</v>
      </c>
      <c r="I46" s="3" t="s">
        <v>84</v>
      </c>
      <c r="J46" s="3" t="s">
        <v>43</v>
      </c>
      <c r="K46" s="3" t="s">
        <v>97</v>
      </c>
      <c r="L46" s="3">
        <v>211688429</v>
      </c>
      <c r="M46" s="3" t="s">
        <v>33</v>
      </c>
      <c r="N46" s="3" t="s">
        <v>34</v>
      </c>
      <c r="O46" s="3" t="s">
        <v>77</v>
      </c>
      <c r="P46" s="3" t="s">
        <v>44</v>
      </c>
      <c r="R46" s="3">
        <v>1</v>
      </c>
      <c r="T46" s="4">
        <v>45918.791666666664</v>
      </c>
      <c r="U46" s="4">
        <v>45918.913194444445</v>
      </c>
      <c r="V46" s="3" t="s">
        <v>36</v>
      </c>
      <c r="W46" s="3" t="s">
        <v>37</v>
      </c>
      <c r="X46" s="5">
        <v>78.33</v>
      </c>
      <c r="Y46" s="5">
        <v>57.95</v>
      </c>
      <c r="AA46" s="5">
        <v>9.9499999999999993</v>
      </c>
      <c r="AB46" s="5">
        <v>10.43</v>
      </c>
      <c r="AC46" s="5">
        <v>78.33</v>
      </c>
      <c r="AD46" s="3" t="s">
        <v>115</v>
      </c>
      <c r="AE46" s="3" t="s">
        <v>116</v>
      </c>
      <c r="AF46" s="3" t="s">
        <v>40</v>
      </c>
      <c r="AG46" s="3">
        <v>10143580643</v>
      </c>
    </row>
    <row r="47" spans="1:33" s="3" customFormat="1" x14ac:dyDescent="0.25">
      <c r="A47" s="3" t="s">
        <v>339</v>
      </c>
      <c r="B47" s="3" t="s">
        <v>340</v>
      </c>
      <c r="E47" s="3">
        <v>16151670</v>
      </c>
      <c r="F47" s="3" t="s">
        <v>237</v>
      </c>
      <c r="G47" s="4">
        <v>45897.798842592594</v>
      </c>
      <c r="H47" s="3" t="s">
        <v>32</v>
      </c>
      <c r="J47" s="3" t="s">
        <v>85</v>
      </c>
      <c r="K47" s="3" t="s">
        <v>238</v>
      </c>
      <c r="L47" s="3">
        <v>501107721.50110698</v>
      </c>
      <c r="M47" s="3" t="s">
        <v>33</v>
      </c>
      <c r="N47" s="3" t="s">
        <v>34</v>
      </c>
      <c r="O47" s="3" t="s">
        <v>77</v>
      </c>
      <c r="P47" s="3" t="s">
        <v>35</v>
      </c>
      <c r="Q47" s="3" t="s">
        <v>65</v>
      </c>
      <c r="R47" s="3">
        <v>2</v>
      </c>
      <c r="T47" s="4">
        <v>45904.3125</v>
      </c>
      <c r="U47" s="4">
        <v>45904.395833333336</v>
      </c>
      <c r="V47" s="3" t="s">
        <v>36</v>
      </c>
      <c r="W47" s="3" t="s">
        <v>37</v>
      </c>
      <c r="X47" s="5">
        <v>137.13</v>
      </c>
      <c r="Y47" s="5">
        <v>99.35</v>
      </c>
      <c r="AA47" s="5">
        <v>19.899999999999999</v>
      </c>
      <c r="AB47" s="5">
        <v>17.88</v>
      </c>
      <c r="AC47" s="5">
        <v>137.13</v>
      </c>
      <c r="AD47" s="3" t="s">
        <v>239</v>
      </c>
      <c r="AE47" s="3" t="s">
        <v>83</v>
      </c>
      <c r="AF47" s="3" t="s">
        <v>63</v>
      </c>
      <c r="AG47" s="3" t="s">
        <v>240</v>
      </c>
    </row>
    <row r="48" spans="1:33" s="3" customFormat="1" x14ac:dyDescent="0.25">
      <c r="A48" s="3" t="s">
        <v>338</v>
      </c>
      <c r="B48" s="3" t="s">
        <v>340</v>
      </c>
      <c r="D48" s="3" t="s">
        <v>52</v>
      </c>
      <c r="E48" s="3">
        <v>16167440</v>
      </c>
      <c r="F48" s="3" t="s">
        <v>142</v>
      </c>
      <c r="G48" s="4">
        <v>45899.480879629627</v>
      </c>
      <c r="H48" s="3" t="s">
        <v>32</v>
      </c>
      <c r="I48" s="3" t="s">
        <v>52</v>
      </c>
      <c r="J48" s="3" t="s">
        <v>43</v>
      </c>
      <c r="K48" s="3" t="s">
        <v>143</v>
      </c>
      <c r="L48" s="3">
        <v>131955817</v>
      </c>
      <c r="M48" s="3" t="s">
        <v>33</v>
      </c>
      <c r="N48" s="3" t="s">
        <v>34</v>
      </c>
      <c r="O48" s="3">
        <v>1001</v>
      </c>
      <c r="P48" s="3" t="s">
        <v>44</v>
      </c>
      <c r="R48" s="3">
        <v>1</v>
      </c>
      <c r="T48" s="4">
        <v>45899.645833333336</v>
      </c>
      <c r="U48" s="4">
        <v>45899.790972222225</v>
      </c>
      <c r="V48" s="3" t="s">
        <v>36</v>
      </c>
      <c r="W48" s="3" t="s">
        <v>37</v>
      </c>
      <c r="X48" s="5">
        <v>148.97</v>
      </c>
      <c r="Y48" s="5">
        <v>117.82</v>
      </c>
      <c r="AA48" s="5">
        <v>9.9499999999999993</v>
      </c>
      <c r="AB48" s="5">
        <v>21.2</v>
      </c>
      <c r="AC48" s="5">
        <v>148.97</v>
      </c>
      <c r="AD48" s="3" t="s">
        <v>76</v>
      </c>
      <c r="AE48" s="3" t="s">
        <v>38</v>
      </c>
      <c r="AF48" s="3" t="s">
        <v>40</v>
      </c>
      <c r="AG48" s="3">
        <v>10143569107</v>
      </c>
    </row>
    <row r="49" spans="1:33" s="3" customFormat="1" x14ac:dyDescent="0.25">
      <c r="A49" s="3" t="s">
        <v>339</v>
      </c>
      <c r="B49" s="3" t="s">
        <v>340</v>
      </c>
      <c r="E49" s="3">
        <v>16127129</v>
      </c>
      <c r="F49" s="3" t="s">
        <v>289</v>
      </c>
      <c r="G49" s="4">
        <v>45895.650960648149</v>
      </c>
      <c r="H49" s="3" t="s">
        <v>32</v>
      </c>
      <c r="J49" s="3" t="s">
        <v>290</v>
      </c>
      <c r="K49" s="3" t="s">
        <v>291</v>
      </c>
      <c r="L49" s="3">
        <v>94045010.094044998</v>
      </c>
      <c r="M49" s="3" t="s">
        <v>33</v>
      </c>
      <c r="N49" s="3" t="s">
        <v>113</v>
      </c>
      <c r="O49" s="3" t="s">
        <v>292</v>
      </c>
      <c r="P49" s="3" t="s">
        <v>35</v>
      </c>
      <c r="R49" s="3">
        <v>2</v>
      </c>
      <c r="T49" s="4">
        <v>45901.520833333336</v>
      </c>
      <c r="U49" s="4">
        <v>45901.791666666664</v>
      </c>
      <c r="V49" s="3" t="s">
        <v>36</v>
      </c>
      <c r="W49" s="3" t="s">
        <v>37</v>
      </c>
      <c r="X49" s="5">
        <v>539.95000000000005</v>
      </c>
      <c r="Y49" s="5">
        <v>439.88</v>
      </c>
      <c r="AA49" s="5">
        <v>20.9</v>
      </c>
      <c r="AB49" s="5">
        <v>79.17</v>
      </c>
      <c r="AC49" s="5">
        <v>539.95000000000005</v>
      </c>
      <c r="AD49" s="3" t="s">
        <v>38</v>
      </c>
      <c r="AE49" s="3" t="s">
        <v>71</v>
      </c>
      <c r="AF49" s="3" t="s">
        <v>63</v>
      </c>
      <c r="AG49" s="3" t="s">
        <v>293</v>
      </c>
    </row>
    <row r="50" spans="1:33" s="3" customFormat="1" x14ac:dyDescent="0.25">
      <c r="A50" s="3" t="s">
        <v>339</v>
      </c>
      <c r="B50" s="3" t="s">
        <v>340</v>
      </c>
      <c r="E50" s="3">
        <v>16127053</v>
      </c>
      <c r="F50" s="3" t="s">
        <v>294</v>
      </c>
      <c r="G50" s="4">
        <v>45895.647731481484</v>
      </c>
      <c r="H50" s="3" t="s">
        <v>32</v>
      </c>
      <c r="J50" s="3" t="s">
        <v>290</v>
      </c>
      <c r="K50" s="3" t="s">
        <v>295</v>
      </c>
      <c r="L50" s="3">
        <v>213513351.21351299</v>
      </c>
      <c r="M50" s="3" t="s">
        <v>33</v>
      </c>
      <c r="N50" s="3" t="s">
        <v>113</v>
      </c>
      <c r="O50" s="3" t="s">
        <v>292</v>
      </c>
      <c r="P50" s="3" t="s">
        <v>35</v>
      </c>
      <c r="R50" s="3">
        <v>2</v>
      </c>
      <c r="T50" s="4">
        <v>45901.520833333336</v>
      </c>
      <c r="U50" s="4">
        <v>45901.791666666664</v>
      </c>
      <c r="V50" s="3" t="s">
        <v>36</v>
      </c>
      <c r="W50" s="3" t="s">
        <v>37</v>
      </c>
      <c r="X50" s="5">
        <v>539.95000000000005</v>
      </c>
      <c r="Y50" s="5">
        <v>439.88</v>
      </c>
      <c r="AA50" s="5">
        <v>20.9</v>
      </c>
      <c r="AB50" s="5">
        <v>79.17</v>
      </c>
      <c r="AC50" s="5">
        <v>539.95000000000005</v>
      </c>
      <c r="AD50" s="3" t="s">
        <v>38</v>
      </c>
      <c r="AE50" s="3" t="s">
        <v>71</v>
      </c>
      <c r="AF50" s="3" t="s">
        <v>63</v>
      </c>
      <c r="AG50" s="3" t="s">
        <v>296</v>
      </c>
    </row>
    <row r="51" spans="1:33" s="3" customFormat="1" x14ac:dyDescent="0.25">
      <c r="A51" s="3" t="s">
        <v>339</v>
      </c>
      <c r="B51" s="3" t="s">
        <v>340</v>
      </c>
      <c r="E51" s="3">
        <v>16126869</v>
      </c>
      <c r="F51" s="3" t="s">
        <v>300</v>
      </c>
      <c r="G51" s="4">
        <v>45895.639479166668</v>
      </c>
      <c r="H51" s="3" t="s">
        <v>32</v>
      </c>
      <c r="J51" s="3" t="s">
        <v>290</v>
      </c>
      <c r="K51" s="3" t="s">
        <v>301</v>
      </c>
      <c r="L51" s="3">
        <v>210369450.21036899</v>
      </c>
      <c r="M51" s="3" t="s">
        <v>33</v>
      </c>
      <c r="N51" s="3" t="s">
        <v>113</v>
      </c>
      <c r="O51" s="3" t="s">
        <v>292</v>
      </c>
      <c r="P51" s="3" t="s">
        <v>35</v>
      </c>
      <c r="R51" s="3">
        <v>2</v>
      </c>
      <c r="T51" s="4">
        <v>45901.520833333336</v>
      </c>
      <c r="U51" s="4">
        <v>45901.791666666664</v>
      </c>
      <c r="V51" s="3" t="s">
        <v>36</v>
      </c>
      <c r="W51" s="3" t="s">
        <v>37</v>
      </c>
      <c r="X51" s="5">
        <v>480.95</v>
      </c>
      <c r="Y51" s="5">
        <v>389.88</v>
      </c>
      <c r="AA51" s="5">
        <v>20.9</v>
      </c>
      <c r="AB51" s="5">
        <v>70.17</v>
      </c>
      <c r="AC51" s="5">
        <v>480.95</v>
      </c>
      <c r="AD51" s="3" t="s">
        <v>38</v>
      </c>
      <c r="AE51" s="3" t="s">
        <v>71</v>
      </c>
      <c r="AF51" s="3" t="s">
        <v>63</v>
      </c>
      <c r="AG51" s="3" t="s">
        <v>302</v>
      </c>
    </row>
    <row r="52" spans="1:33" s="3" customFormat="1" x14ac:dyDescent="0.25">
      <c r="A52" s="3" t="s">
        <v>338</v>
      </c>
      <c r="B52" s="3" t="s">
        <v>340</v>
      </c>
      <c r="D52" s="3" t="s">
        <v>73</v>
      </c>
      <c r="E52" s="3">
        <v>16133388</v>
      </c>
      <c r="F52" s="3" t="s">
        <v>264</v>
      </c>
      <c r="G52" s="4">
        <v>45896.427175925928</v>
      </c>
      <c r="H52" s="3" t="s">
        <v>32</v>
      </c>
      <c r="I52" s="3" t="s">
        <v>73</v>
      </c>
      <c r="J52" s="3" t="s">
        <v>43</v>
      </c>
      <c r="K52" s="3" t="s">
        <v>263</v>
      </c>
      <c r="L52" s="3">
        <v>212140610</v>
      </c>
      <c r="M52" s="3" t="s">
        <v>33</v>
      </c>
      <c r="N52" s="3" t="s">
        <v>34</v>
      </c>
      <c r="O52" s="3">
        <v>1001</v>
      </c>
      <c r="P52" s="3" t="s">
        <v>44</v>
      </c>
      <c r="R52" s="3">
        <v>1</v>
      </c>
      <c r="T52" s="4">
        <v>45896.745138888888</v>
      </c>
      <c r="U52" s="4">
        <v>45896.856944444444</v>
      </c>
      <c r="V52" s="3" t="s">
        <v>36</v>
      </c>
      <c r="W52" s="3" t="s">
        <v>37</v>
      </c>
      <c r="X52" s="5">
        <v>135.97</v>
      </c>
      <c r="Y52" s="5">
        <v>106.8</v>
      </c>
      <c r="AA52" s="5">
        <v>9.9499999999999993</v>
      </c>
      <c r="AB52" s="5">
        <v>19.22</v>
      </c>
      <c r="AC52" s="5">
        <v>135.97</v>
      </c>
      <c r="AD52" s="3" t="s">
        <v>38</v>
      </c>
      <c r="AE52" s="3" t="s">
        <v>75</v>
      </c>
      <c r="AF52" s="3" t="s">
        <v>40</v>
      </c>
      <c r="AG52" s="3">
        <v>10143547692</v>
      </c>
    </row>
    <row r="53" spans="1:33" s="3" customFormat="1" x14ac:dyDescent="0.25">
      <c r="A53" s="3" t="s">
        <v>339</v>
      </c>
      <c r="B53" s="3" t="s">
        <v>337</v>
      </c>
      <c r="E53" s="3">
        <v>16118352</v>
      </c>
      <c r="F53" s="3" t="s">
        <v>312</v>
      </c>
      <c r="G53" s="4">
        <v>45894.743368055555</v>
      </c>
      <c r="H53" s="3" t="s">
        <v>32</v>
      </c>
      <c r="J53" s="3" t="s">
        <v>110</v>
      </c>
      <c r="K53" s="3" t="s">
        <v>313</v>
      </c>
      <c r="L53" s="3">
        <v>7265818</v>
      </c>
      <c r="M53" s="3" t="s">
        <v>148</v>
      </c>
      <c r="N53" s="3" t="s">
        <v>34</v>
      </c>
      <c r="O53" s="3" t="s">
        <v>68</v>
      </c>
      <c r="P53" s="3" t="s">
        <v>35</v>
      </c>
      <c r="R53" s="3">
        <v>1</v>
      </c>
      <c r="T53" s="4">
        <v>45895.34375</v>
      </c>
      <c r="U53" s="4">
        <v>45895.513888888891</v>
      </c>
      <c r="V53" s="3" t="s">
        <v>36</v>
      </c>
      <c r="W53" s="3" t="s">
        <v>37</v>
      </c>
      <c r="X53" s="5">
        <v>109.92</v>
      </c>
      <c r="Y53" s="5">
        <v>80.72</v>
      </c>
      <c r="AA53" s="5">
        <v>9.9499999999999993</v>
      </c>
      <c r="AB53" s="5">
        <v>19.25</v>
      </c>
      <c r="AC53" s="5">
        <v>109.92</v>
      </c>
      <c r="AD53" s="3" t="s">
        <v>204</v>
      </c>
      <c r="AE53" s="3" t="s">
        <v>67</v>
      </c>
      <c r="AF53" s="3" t="s">
        <v>40</v>
      </c>
      <c r="AG53" s="3">
        <v>10143536761</v>
      </c>
    </row>
    <row r="54" spans="1:33" s="3" customFormat="1" x14ac:dyDescent="0.25">
      <c r="A54" s="3" t="s">
        <v>339</v>
      </c>
      <c r="B54" s="3" t="s">
        <v>337</v>
      </c>
      <c r="E54" s="3">
        <v>16114887</v>
      </c>
      <c r="F54" s="3" t="s">
        <v>324</v>
      </c>
      <c r="G54" s="4">
        <v>45894.59952546296</v>
      </c>
      <c r="H54" s="3" t="s">
        <v>32</v>
      </c>
      <c r="J54" s="3" t="s">
        <v>110</v>
      </c>
      <c r="K54" s="3" t="s">
        <v>325</v>
      </c>
      <c r="L54" s="3">
        <v>4713169.4713169001</v>
      </c>
      <c r="M54" s="3" t="s">
        <v>148</v>
      </c>
      <c r="N54" s="3" t="s">
        <v>34</v>
      </c>
      <c r="O54" s="3" t="s">
        <v>68</v>
      </c>
      <c r="P54" s="3" t="s">
        <v>35</v>
      </c>
      <c r="R54" s="3">
        <v>2</v>
      </c>
      <c r="T54" s="4">
        <v>45895.440972222219</v>
      </c>
      <c r="U54" s="4">
        <v>45895.819444444445</v>
      </c>
      <c r="V54" s="3" t="s">
        <v>36</v>
      </c>
      <c r="W54" s="3" t="s">
        <v>37</v>
      </c>
      <c r="X54" s="5">
        <v>698.96</v>
      </c>
      <c r="Y54" s="5">
        <v>549.98</v>
      </c>
      <c r="AA54" s="5">
        <v>19.899999999999999</v>
      </c>
      <c r="AB54" s="5">
        <v>129.08000000000001</v>
      </c>
      <c r="AC54" s="5">
        <v>698.96</v>
      </c>
      <c r="AD54" s="3" t="s">
        <v>204</v>
      </c>
      <c r="AE54" s="3" t="s">
        <v>71</v>
      </c>
      <c r="AF54" s="3" t="s">
        <v>63</v>
      </c>
      <c r="AG54" s="3" t="s">
        <v>326</v>
      </c>
    </row>
    <row r="55" spans="1:33" s="3" customFormat="1" x14ac:dyDescent="0.25">
      <c r="A55" s="3" t="s">
        <v>339</v>
      </c>
      <c r="B55" s="3" t="s">
        <v>337</v>
      </c>
      <c r="E55" s="3">
        <v>16155195</v>
      </c>
      <c r="F55" s="3" t="s">
        <v>231</v>
      </c>
      <c r="G55" s="4">
        <v>45898.396944444445</v>
      </c>
      <c r="H55" s="3" t="s">
        <v>32</v>
      </c>
      <c r="J55" s="3" t="s">
        <v>110</v>
      </c>
      <c r="K55" s="3" t="s">
        <v>232</v>
      </c>
      <c r="L55" s="3">
        <v>1505567</v>
      </c>
      <c r="M55" s="3" t="s">
        <v>148</v>
      </c>
      <c r="N55" s="3" t="s">
        <v>41</v>
      </c>
      <c r="O55" s="3" t="s">
        <v>233</v>
      </c>
      <c r="P55" s="3" t="s">
        <v>35</v>
      </c>
      <c r="R55" s="3">
        <v>1</v>
      </c>
      <c r="T55" s="4">
        <v>45898.541666666664</v>
      </c>
      <c r="U55" s="4">
        <v>45898.614583333336</v>
      </c>
      <c r="V55" s="3" t="s">
        <v>36</v>
      </c>
      <c r="W55" s="3" t="s">
        <v>37</v>
      </c>
      <c r="X55" s="5">
        <v>67.64</v>
      </c>
      <c r="Y55" s="5">
        <v>46.43</v>
      </c>
      <c r="AA55" s="5">
        <v>9.9499999999999993</v>
      </c>
      <c r="AB55" s="5">
        <v>11.26</v>
      </c>
      <c r="AC55" s="5">
        <v>67.64</v>
      </c>
      <c r="AD55" s="3" t="s">
        <v>234</v>
      </c>
      <c r="AE55" s="3" t="s">
        <v>175</v>
      </c>
      <c r="AF55" s="3" t="s">
        <v>40</v>
      </c>
      <c r="AG55" s="3">
        <v>10143561528</v>
      </c>
    </row>
    <row r="56" spans="1:33" s="3" customFormat="1" x14ac:dyDescent="0.25">
      <c r="A56" s="3" t="s">
        <v>339</v>
      </c>
      <c r="B56" s="3" t="s">
        <v>340</v>
      </c>
      <c r="E56" s="3">
        <v>16190878</v>
      </c>
      <c r="F56" s="3" t="s">
        <v>87</v>
      </c>
      <c r="G56" s="4">
        <v>45902.401655092595</v>
      </c>
      <c r="H56" s="3" t="s">
        <v>32</v>
      </c>
      <c r="J56" s="3" t="s">
        <v>88</v>
      </c>
      <c r="K56" s="3" t="s">
        <v>89</v>
      </c>
      <c r="L56" s="3" t="s">
        <v>90</v>
      </c>
      <c r="M56" s="3" t="s">
        <v>33</v>
      </c>
      <c r="N56" s="3" t="s">
        <v>91</v>
      </c>
      <c r="O56" s="3" t="s">
        <v>92</v>
      </c>
      <c r="P56" s="3" t="s">
        <v>35</v>
      </c>
      <c r="R56" s="3">
        <v>2</v>
      </c>
      <c r="T56" s="4">
        <v>45912.604166666664</v>
      </c>
      <c r="U56" s="4">
        <v>45912.635416666664</v>
      </c>
      <c r="V56" s="3" t="s">
        <v>36</v>
      </c>
      <c r="W56" s="3" t="s">
        <v>37</v>
      </c>
      <c r="X56" s="5">
        <v>61.3</v>
      </c>
      <c r="Y56" s="5">
        <v>35.1</v>
      </c>
      <c r="AA56" s="5">
        <v>19.899999999999999</v>
      </c>
      <c r="AB56" s="5">
        <v>6.3</v>
      </c>
      <c r="AC56" s="5">
        <v>61.3</v>
      </c>
      <c r="AD56" s="3" t="s">
        <v>93</v>
      </c>
      <c r="AE56" s="3" t="s">
        <v>94</v>
      </c>
      <c r="AF56" s="3" t="s">
        <v>63</v>
      </c>
      <c r="AG56" s="3" t="s">
        <v>95</v>
      </c>
    </row>
    <row r="57" spans="1:33" s="3" customFormat="1" x14ac:dyDescent="0.25">
      <c r="A57" s="3" t="s">
        <v>339</v>
      </c>
      <c r="B57" s="3" t="s">
        <v>340</v>
      </c>
      <c r="E57" s="3">
        <v>16163207</v>
      </c>
      <c r="F57" s="3" t="s">
        <v>166</v>
      </c>
      <c r="G57" s="4">
        <v>45898.754432870373</v>
      </c>
      <c r="H57" s="3" t="s">
        <v>32</v>
      </c>
      <c r="J57" s="3" t="s">
        <v>167</v>
      </c>
      <c r="K57" s="3" t="s">
        <v>168</v>
      </c>
      <c r="L57" s="3">
        <v>2255658.2255658</v>
      </c>
      <c r="M57" s="3" t="s">
        <v>33</v>
      </c>
      <c r="N57" s="3" t="s">
        <v>41</v>
      </c>
      <c r="O57" s="3" t="s">
        <v>169</v>
      </c>
      <c r="P57" s="3" t="s">
        <v>35</v>
      </c>
      <c r="R57" s="3">
        <v>2</v>
      </c>
      <c r="T57" s="4">
        <v>45901.375</v>
      </c>
      <c r="U57" s="4">
        <v>45902.333333333336</v>
      </c>
      <c r="V57" s="3" t="s">
        <v>36</v>
      </c>
      <c r="W57" s="3" t="s">
        <v>37</v>
      </c>
      <c r="X57" s="5">
        <v>925.41</v>
      </c>
      <c r="Y57" s="5">
        <v>774.98</v>
      </c>
      <c r="AA57" s="5">
        <v>10.95</v>
      </c>
      <c r="AB57" s="5">
        <v>139.47999999999999</v>
      </c>
      <c r="AC57" s="5">
        <v>925.41</v>
      </c>
      <c r="AD57" s="3" t="s">
        <v>170</v>
      </c>
      <c r="AE57" s="3" t="s">
        <v>171</v>
      </c>
      <c r="AF57" s="3" t="s">
        <v>40</v>
      </c>
      <c r="AG57" s="3">
        <v>10143566394</v>
      </c>
    </row>
    <row r="58" spans="1:33" s="3" customFormat="1" x14ac:dyDescent="0.25">
      <c r="A58" s="3" t="s">
        <v>339</v>
      </c>
      <c r="B58" s="3" t="s">
        <v>337</v>
      </c>
      <c r="E58" s="3">
        <v>16150334</v>
      </c>
      <c r="F58" s="3" t="s">
        <v>252</v>
      </c>
      <c r="G58" s="4">
        <v>45897.723344907405</v>
      </c>
      <c r="H58" s="3" t="s">
        <v>32</v>
      </c>
      <c r="J58" s="3" t="s">
        <v>156</v>
      </c>
      <c r="K58" s="3" t="s">
        <v>189</v>
      </c>
      <c r="L58" s="3" t="s">
        <v>190</v>
      </c>
      <c r="M58" s="3" t="s">
        <v>148</v>
      </c>
      <c r="N58" s="3" t="s">
        <v>41</v>
      </c>
      <c r="O58" s="3" t="s">
        <v>169</v>
      </c>
      <c r="P58" s="3" t="s">
        <v>35</v>
      </c>
      <c r="R58" s="3">
        <v>1</v>
      </c>
      <c r="T58" s="4">
        <v>45901.90625</v>
      </c>
      <c r="U58" s="4">
        <v>45902.28125</v>
      </c>
      <c r="V58" s="3" t="s">
        <v>36</v>
      </c>
      <c r="W58" s="3" t="s">
        <v>37</v>
      </c>
      <c r="X58" s="5">
        <v>465.2</v>
      </c>
      <c r="Y58" s="5">
        <v>367.99</v>
      </c>
      <c r="AA58" s="5">
        <v>10.95</v>
      </c>
      <c r="AB58" s="5">
        <v>86.26</v>
      </c>
      <c r="AC58" s="5">
        <v>465.2</v>
      </c>
      <c r="AD58" s="3" t="s">
        <v>191</v>
      </c>
      <c r="AE58" s="3" t="s">
        <v>119</v>
      </c>
      <c r="AF58" s="3" t="s">
        <v>40</v>
      </c>
      <c r="AG58" s="3">
        <v>10143558523</v>
      </c>
    </row>
    <row r="59" spans="1:33" s="3" customFormat="1" x14ac:dyDescent="0.25">
      <c r="A59" s="3" t="s">
        <v>339</v>
      </c>
      <c r="B59" s="3" t="s">
        <v>337</v>
      </c>
      <c r="E59" s="3">
        <v>16162412</v>
      </c>
      <c r="F59" s="3" t="s">
        <v>188</v>
      </c>
      <c r="G59" s="4">
        <v>45898.716087962966</v>
      </c>
      <c r="H59" s="3" t="s">
        <v>32</v>
      </c>
      <c r="J59" s="3" t="s">
        <v>156</v>
      </c>
      <c r="K59" s="3" t="s">
        <v>189</v>
      </c>
      <c r="L59" s="3" t="s">
        <v>190</v>
      </c>
      <c r="M59" s="3" t="s">
        <v>148</v>
      </c>
      <c r="N59" s="3" t="s">
        <v>41</v>
      </c>
      <c r="O59" s="3" t="s">
        <v>169</v>
      </c>
      <c r="P59" s="3" t="s">
        <v>35</v>
      </c>
      <c r="R59" s="3">
        <v>1</v>
      </c>
      <c r="T59" s="4">
        <v>45905.996527777781</v>
      </c>
      <c r="U59" s="4">
        <v>45906.40625</v>
      </c>
      <c r="V59" s="3" t="s">
        <v>36</v>
      </c>
      <c r="W59" s="3" t="s">
        <v>37</v>
      </c>
      <c r="X59" s="5">
        <v>299.97000000000003</v>
      </c>
      <c r="Y59" s="5">
        <v>233.99</v>
      </c>
      <c r="AA59" s="5">
        <v>10.95</v>
      </c>
      <c r="AB59" s="5">
        <v>55.03</v>
      </c>
      <c r="AC59" s="5">
        <v>299.97000000000003</v>
      </c>
      <c r="AD59" s="3" t="s">
        <v>119</v>
      </c>
      <c r="AE59" s="3" t="s">
        <v>191</v>
      </c>
      <c r="AF59" s="3" t="s">
        <v>40</v>
      </c>
      <c r="AG59" s="3">
        <v>10143565906</v>
      </c>
    </row>
    <row r="60" spans="1:33" s="3" customFormat="1" x14ac:dyDescent="0.25">
      <c r="A60" s="3" t="s">
        <v>338</v>
      </c>
      <c r="B60" s="3" t="s">
        <v>340</v>
      </c>
      <c r="D60" s="3" t="s">
        <v>74</v>
      </c>
      <c r="E60" s="3">
        <v>16189520</v>
      </c>
      <c r="F60" s="3" t="s">
        <v>98</v>
      </c>
      <c r="G60" s="4">
        <v>45902.002766203703</v>
      </c>
      <c r="H60" s="3" t="s">
        <v>32</v>
      </c>
      <c r="I60" s="3" t="s">
        <v>74</v>
      </c>
      <c r="J60" s="3" t="s">
        <v>43</v>
      </c>
      <c r="K60" s="3" t="s">
        <v>99</v>
      </c>
      <c r="L60" s="3">
        <v>856094048</v>
      </c>
      <c r="M60" s="3" t="s">
        <v>33</v>
      </c>
      <c r="N60" s="3" t="s">
        <v>34</v>
      </c>
      <c r="O60" s="3">
        <v>1001</v>
      </c>
      <c r="P60" s="3" t="s">
        <v>44</v>
      </c>
      <c r="Q60" s="3" t="s">
        <v>65</v>
      </c>
      <c r="R60" s="3">
        <v>1</v>
      </c>
      <c r="T60" s="4">
        <v>45910.625</v>
      </c>
      <c r="U60" s="4">
        <v>45910.739583333336</v>
      </c>
      <c r="V60" s="3" t="s">
        <v>36</v>
      </c>
      <c r="W60" s="3" t="s">
        <v>37</v>
      </c>
      <c r="X60" s="5">
        <v>97.6</v>
      </c>
      <c r="Y60" s="5">
        <v>74.28</v>
      </c>
      <c r="AA60" s="5">
        <v>9.9499999999999993</v>
      </c>
      <c r="AB60" s="5">
        <v>13.37</v>
      </c>
      <c r="AC60" s="5">
        <v>97.6</v>
      </c>
      <c r="AD60" s="3" t="s">
        <v>38</v>
      </c>
      <c r="AE60" s="3" t="s">
        <v>100</v>
      </c>
      <c r="AF60" s="3" t="s">
        <v>40</v>
      </c>
      <c r="AG60" s="3">
        <v>10143583013</v>
      </c>
    </row>
    <row r="61" spans="1:33" s="3" customFormat="1" x14ac:dyDescent="0.25">
      <c r="A61" s="3" t="s">
        <v>338</v>
      </c>
      <c r="B61" s="3" t="s">
        <v>340</v>
      </c>
      <c r="D61" s="3" t="s">
        <v>84</v>
      </c>
      <c r="E61" s="3">
        <v>16185722</v>
      </c>
      <c r="F61" s="3" t="s">
        <v>121</v>
      </c>
      <c r="G61" s="4">
        <v>45901.693657407406</v>
      </c>
      <c r="H61" s="3" t="s">
        <v>32</v>
      </c>
      <c r="I61" s="3" t="s">
        <v>84</v>
      </c>
      <c r="J61" s="3" t="s">
        <v>43</v>
      </c>
      <c r="K61" s="3" t="s">
        <v>96</v>
      </c>
      <c r="L61" s="3">
        <v>502246212</v>
      </c>
      <c r="M61" s="3" t="s">
        <v>33</v>
      </c>
      <c r="N61" s="3" t="s">
        <v>34</v>
      </c>
      <c r="O61" s="3" t="s">
        <v>77</v>
      </c>
      <c r="P61" s="3" t="s">
        <v>44</v>
      </c>
      <c r="R61" s="3">
        <v>1</v>
      </c>
      <c r="T61" s="4">
        <v>45918.791666666664</v>
      </c>
      <c r="U61" s="4">
        <v>45918.913194444445</v>
      </c>
      <c r="V61" s="3" t="s">
        <v>36</v>
      </c>
      <c r="W61" s="3" t="s">
        <v>37</v>
      </c>
      <c r="X61" s="5">
        <v>78.33</v>
      </c>
      <c r="Y61" s="5">
        <v>57.95</v>
      </c>
      <c r="AA61" s="5">
        <v>9.9499999999999993</v>
      </c>
      <c r="AB61" s="5">
        <v>10.43</v>
      </c>
      <c r="AC61" s="5">
        <v>78.33</v>
      </c>
      <c r="AD61" s="3" t="s">
        <v>115</v>
      </c>
      <c r="AE61" s="3" t="s">
        <v>116</v>
      </c>
      <c r="AF61" s="3" t="s">
        <v>40</v>
      </c>
      <c r="AG61" s="3">
        <v>10143580497</v>
      </c>
    </row>
    <row r="62" spans="1:33" s="3" customFormat="1" x14ac:dyDescent="0.25">
      <c r="A62" s="3" t="s">
        <v>339</v>
      </c>
      <c r="B62" s="3" t="s">
        <v>340</v>
      </c>
      <c r="E62" s="3">
        <v>16126963</v>
      </c>
      <c r="F62" s="3" t="s">
        <v>297</v>
      </c>
      <c r="G62" s="4">
        <v>45895.643518518518</v>
      </c>
      <c r="H62" s="3" t="s">
        <v>32</v>
      </c>
      <c r="J62" s="3" t="s">
        <v>290</v>
      </c>
      <c r="K62" s="3" t="s">
        <v>298</v>
      </c>
      <c r="L62" s="3">
        <v>290234624.29023403</v>
      </c>
      <c r="M62" s="3" t="s">
        <v>33</v>
      </c>
      <c r="N62" s="3" t="s">
        <v>113</v>
      </c>
      <c r="O62" s="3" t="s">
        <v>292</v>
      </c>
      <c r="P62" s="3" t="s">
        <v>35</v>
      </c>
      <c r="R62" s="3">
        <v>2</v>
      </c>
      <c r="T62" s="4">
        <v>45901.520833333336</v>
      </c>
      <c r="U62" s="4">
        <v>45901.791666666664</v>
      </c>
      <c r="V62" s="3" t="s">
        <v>36</v>
      </c>
      <c r="W62" s="3" t="s">
        <v>37</v>
      </c>
      <c r="X62" s="5">
        <v>504.55</v>
      </c>
      <c r="Y62" s="5">
        <v>409.88</v>
      </c>
      <c r="AA62" s="5">
        <v>20.9</v>
      </c>
      <c r="AB62" s="5">
        <v>73.77</v>
      </c>
      <c r="AC62" s="5">
        <v>504.55</v>
      </c>
      <c r="AD62" s="3" t="s">
        <v>38</v>
      </c>
      <c r="AE62" s="3" t="s">
        <v>71</v>
      </c>
      <c r="AF62" s="3" t="s">
        <v>63</v>
      </c>
      <c r="AG62" s="3" t="s">
        <v>299</v>
      </c>
    </row>
    <row r="63" spans="1:33" s="3" customFormat="1" x14ac:dyDescent="0.25">
      <c r="A63" s="3" t="s">
        <v>338</v>
      </c>
      <c r="B63" s="3" t="s">
        <v>340</v>
      </c>
      <c r="D63" s="3" t="s">
        <v>73</v>
      </c>
      <c r="E63" s="3">
        <v>16133392</v>
      </c>
      <c r="F63" s="3" t="s">
        <v>262</v>
      </c>
      <c r="G63" s="4">
        <v>45896.427291666667</v>
      </c>
      <c r="H63" s="3" t="s">
        <v>32</v>
      </c>
      <c r="I63" s="3" t="s">
        <v>73</v>
      </c>
      <c r="J63" s="3" t="s">
        <v>43</v>
      </c>
      <c r="K63" s="3" t="s">
        <v>263</v>
      </c>
      <c r="L63" s="3">
        <v>212140610</v>
      </c>
      <c r="M63" s="3" t="s">
        <v>33</v>
      </c>
      <c r="N63" s="3" t="s">
        <v>34</v>
      </c>
      <c r="O63" s="3">
        <v>1001</v>
      </c>
      <c r="P63" s="3" t="s">
        <v>44</v>
      </c>
      <c r="R63" s="3">
        <v>1</v>
      </c>
      <c r="T63" s="4">
        <v>45897.854166666664</v>
      </c>
      <c r="U63" s="4">
        <v>45897.965277777781</v>
      </c>
      <c r="V63" s="3" t="s">
        <v>36</v>
      </c>
      <c r="W63" s="3" t="s">
        <v>37</v>
      </c>
      <c r="X63" s="5">
        <v>121.75</v>
      </c>
      <c r="Y63" s="5">
        <v>94.75</v>
      </c>
      <c r="AA63" s="5">
        <v>9.9499999999999993</v>
      </c>
      <c r="AB63" s="5">
        <v>17.05</v>
      </c>
      <c r="AC63" s="5">
        <v>121.75</v>
      </c>
      <c r="AD63" s="3" t="s">
        <v>75</v>
      </c>
      <c r="AE63" s="3" t="s">
        <v>38</v>
      </c>
      <c r="AF63" s="3" t="s">
        <v>40</v>
      </c>
      <c r="AG63" s="3">
        <v>10143547691</v>
      </c>
    </row>
    <row r="64" spans="1:33" s="3" customFormat="1" x14ac:dyDescent="0.25">
      <c r="A64" s="3" t="s">
        <v>339</v>
      </c>
      <c r="B64" s="3" t="s">
        <v>340</v>
      </c>
      <c r="E64" s="3">
        <v>16126674</v>
      </c>
      <c r="F64" s="3" t="s">
        <v>305</v>
      </c>
      <c r="G64" s="4">
        <v>45895.630266203705</v>
      </c>
      <c r="H64" s="3" t="s">
        <v>32</v>
      </c>
      <c r="J64" s="3" t="s">
        <v>290</v>
      </c>
      <c r="K64" s="3" t="s">
        <v>306</v>
      </c>
      <c r="L64" s="3">
        <v>208299602.02082899</v>
      </c>
      <c r="M64" s="3" t="s">
        <v>33</v>
      </c>
      <c r="N64" s="3" t="s">
        <v>113</v>
      </c>
      <c r="O64" s="3" t="s">
        <v>292</v>
      </c>
      <c r="P64" s="3" t="s">
        <v>35</v>
      </c>
      <c r="R64" s="3">
        <v>2</v>
      </c>
      <c r="T64" s="4">
        <v>45901.520833333336</v>
      </c>
      <c r="U64" s="4">
        <v>45901.791666666664</v>
      </c>
      <c r="V64" s="3" t="s">
        <v>36</v>
      </c>
      <c r="W64" s="3" t="s">
        <v>37</v>
      </c>
      <c r="X64" s="5">
        <v>469.15</v>
      </c>
      <c r="Y64" s="5">
        <v>379.88</v>
      </c>
      <c r="AA64" s="5">
        <v>20.9</v>
      </c>
      <c r="AB64" s="5">
        <v>68.37</v>
      </c>
      <c r="AC64" s="5">
        <v>469.15</v>
      </c>
      <c r="AD64" s="3" t="s">
        <v>38</v>
      </c>
      <c r="AE64" s="3" t="s">
        <v>71</v>
      </c>
      <c r="AF64" s="3" t="s">
        <v>63</v>
      </c>
      <c r="AG64" s="3" t="s">
        <v>307</v>
      </c>
    </row>
    <row r="65" spans="1:33" s="3" customFormat="1" x14ac:dyDescent="0.25">
      <c r="A65" s="3" t="s">
        <v>339</v>
      </c>
      <c r="B65" s="3" t="s">
        <v>340</v>
      </c>
      <c r="E65" s="3">
        <v>16117007</v>
      </c>
      <c r="F65" s="3" t="s">
        <v>321</v>
      </c>
      <c r="G65" s="4">
        <v>45894.685416666667</v>
      </c>
      <c r="H65" s="3" t="s">
        <v>32</v>
      </c>
      <c r="J65" s="3" t="s">
        <v>85</v>
      </c>
      <c r="K65" s="3" t="s">
        <v>322</v>
      </c>
      <c r="L65" s="3">
        <v>483796190.483796</v>
      </c>
      <c r="M65" s="3" t="s">
        <v>33</v>
      </c>
      <c r="N65" s="3" t="s">
        <v>34</v>
      </c>
      <c r="O65" s="3" t="s">
        <v>77</v>
      </c>
      <c r="P65" s="3" t="s">
        <v>35</v>
      </c>
      <c r="Q65" s="3" t="s">
        <v>65</v>
      </c>
      <c r="R65" s="3">
        <v>2</v>
      </c>
      <c r="T65" s="4">
        <v>45908.270833333336</v>
      </c>
      <c r="U65" s="4">
        <v>45908.458333333336</v>
      </c>
      <c r="V65" s="3" t="s">
        <v>36</v>
      </c>
      <c r="W65" s="3" t="s">
        <v>37</v>
      </c>
      <c r="X65" s="5">
        <v>330.88</v>
      </c>
      <c r="Y65" s="5">
        <v>263.55</v>
      </c>
      <c r="AA65" s="5">
        <v>19.899999999999999</v>
      </c>
      <c r="AB65" s="5">
        <v>47.43</v>
      </c>
      <c r="AC65" s="5">
        <v>330.88</v>
      </c>
      <c r="AD65" s="3" t="s">
        <v>258</v>
      </c>
      <c r="AE65" s="3" t="s">
        <v>71</v>
      </c>
      <c r="AF65" s="3" t="s">
        <v>63</v>
      </c>
      <c r="AG65" s="3" t="s">
        <v>323</v>
      </c>
    </row>
    <row r="66" spans="1:33" s="3" customFormat="1" x14ac:dyDescent="0.25">
      <c r="A66" s="3" t="s">
        <v>338</v>
      </c>
      <c r="B66" s="3" t="s">
        <v>340</v>
      </c>
      <c r="D66" s="3" t="s">
        <v>56</v>
      </c>
      <c r="E66" s="3">
        <v>16110582</v>
      </c>
      <c r="F66" s="3" t="s">
        <v>329</v>
      </c>
      <c r="G66" s="4">
        <v>45894.366446759261</v>
      </c>
      <c r="H66" s="3" t="s">
        <v>32</v>
      </c>
      <c r="I66" s="3" t="s">
        <v>56</v>
      </c>
      <c r="J66" s="3" t="s">
        <v>43</v>
      </c>
      <c r="K66" s="3" t="s">
        <v>328</v>
      </c>
      <c r="L66" s="3">
        <v>16707622</v>
      </c>
      <c r="M66" s="3" t="s">
        <v>33</v>
      </c>
      <c r="N66" s="3" t="s">
        <v>34</v>
      </c>
      <c r="O66" s="3">
        <v>1001</v>
      </c>
      <c r="P66" s="3" t="s">
        <v>44</v>
      </c>
      <c r="R66" s="3">
        <v>1</v>
      </c>
      <c r="T66" s="4">
        <v>45894.479166666664</v>
      </c>
      <c r="U66" s="4">
        <v>45894.645833333336</v>
      </c>
      <c r="V66" s="3" t="s">
        <v>36</v>
      </c>
      <c r="W66" s="3" t="s">
        <v>37</v>
      </c>
      <c r="X66" s="5">
        <v>183.28</v>
      </c>
      <c r="Y66" s="5">
        <v>146.88999999999999</v>
      </c>
      <c r="AA66" s="5">
        <v>9.9499999999999993</v>
      </c>
      <c r="AB66" s="5">
        <v>26.44</v>
      </c>
      <c r="AC66" s="5">
        <v>183.28</v>
      </c>
      <c r="AD66" s="3" t="s">
        <v>39</v>
      </c>
      <c r="AE66" s="3" t="s">
        <v>38</v>
      </c>
      <c r="AF66" s="3" t="s">
        <v>40</v>
      </c>
      <c r="AG66" s="3">
        <v>10143526349</v>
      </c>
    </row>
    <row r="67" spans="1:33" s="3" customFormat="1" x14ac:dyDescent="0.25">
      <c r="A67" s="3" t="s">
        <v>339</v>
      </c>
      <c r="B67" s="3" t="s">
        <v>337</v>
      </c>
      <c r="E67" s="3">
        <v>16160447</v>
      </c>
      <c r="F67" s="3" t="s">
        <v>202</v>
      </c>
      <c r="G67" s="4">
        <v>45898.640138888892</v>
      </c>
      <c r="H67" s="3" t="s">
        <v>32</v>
      </c>
      <c r="J67" s="3" t="s">
        <v>156</v>
      </c>
      <c r="K67" s="3" t="s">
        <v>203</v>
      </c>
      <c r="L67" s="3">
        <v>23488069</v>
      </c>
      <c r="M67" s="3" t="s">
        <v>148</v>
      </c>
      <c r="N67" s="3" t="s">
        <v>41</v>
      </c>
      <c r="O67" s="3" t="s">
        <v>66</v>
      </c>
      <c r="P67" s="3" t="s">
        <v>35</v>
      </c>
      <c r="R67" s="3">
        <v>1</v>
      </c>
      <c r="T67" s="4">
        <v>45901.25</v>
      </c>
      <c r="U67" s="4">
        <v>45901.697916666664</v>
      </c>
      <c r="V67" s="3" t="s">
        <v>36</v>
      </c>
      <c r="W67" s="3" t="s">
        <v>37</v>
      </c>
      <c r="X67" s="5">
        <v>263.39999999999998</v>
      </c>
      <c r="Y67" s="5">
        <v>205.18</v>
      </c>
      <c r="AA67" s="5">
        <v>9.9499999999999993</v>
      </c>
      <c r="AB67" s="5">
        <v>48.27</v>
      </c>
      <c r="AC67" s="5">
        <v>263.39999999999998</v>
      </c>
      <c r="AD67" s="3" t="s">
        <v>204</v>
      </c>
      <c r="AE67" s="3" t="s">
        <v>205</v>
      </c>
      <c r="AF67" s="3" t="s">
        <v>40</v>
      </c>
      <c r="AG67" s="3">
        <v>10143564812</v>
      </c>
    </row>
    <row r="68" spans="1:33" s="3" customFormat="1" x14ac:dyDescent="0.25">
      <c r="A68" s="3" t="s">
        <v>339</v>
      </c>
      <c r="B68" s="3" t="s">
        <v>340</v>
      </c>
      <c r="E68" s="3">
        <v>16168140</v>
      </c>
      <c r="F68" s="3" t="s">
        <v>139</v>
      </c>
      <c r="G68" s="4">
        <v>45899.539259259262</v>
      </c>
      <c r="H68" s="3" t="s">
        <v>32</v>
      </c>
      <c r="J68" s="3" t="s">
        <v>140</v>
      </c>
      <c r="K68" s="3" t="s">
        <v>141</v>
      </c>
      <c r="L68" s="3">
        <v>668069848</v>
      </c>
      <c r="M68" s="3" t="s">
        <v>33</v>
      </c>
      <c r="N68" s="3" t="s">
        <v>41</v>
      </c>
      <c r="O68" s="3" t="s">
        <v>125</v>
      </c>
      <c r="P68" s="3" t="s">
        <v>35</v>
      </c>
      <c r="R68" s="3">
        <v>1</v>
      </c>
      <c r="T68" s="4">
        <v>45901.333333333336</v>
      </c>
      <c r="U68" s="4">
        <v>45901.541666666664</v>
      </c>
      <c r="V68" s="3" t="s">
        <v>36</v>
      </c>
      <c r="W68" s="3" t="s">
        <v>37</v>
      </c>
      <c r="X68" s="5">
        <v>110.25</v>
      </c>
      <c r="Y68" s="5">
        <v>85</v>
      </c>
      <c r="AA68" s="5">
        <v>9.9499999999999993</v>
      </c>
      <c r="AB68" s="5">
        <v>15.3</v>
      </c>
      <c r="AC68" s="5">
        <v>110.25</v>
      </c>
      <c r="AD68" s="3" t="s">
        <v>126</v>
      </c>
      <c r="AE68" s="3" t="s">
        <v>132</v>
      </c>
      <c r="AF68" s="3" t="s">
        <v>40</v>
      </c>
      <c r="AG68" s="3">
        <v>10143569545</v>
      </c>
    </row>
    <row r="69" spans="1:33" s="3" customFormat="1" x14ac:dyDescent="0.25">
      <c r="A69" s="3" t="s">
        <v>339</v>
      </c>
      <c r="B69" s="3" t="s">
        <v>337</v>
      </c>
      <c r="E69" s="3">
        <v>16187858</v>
      </c>
      <c r="F69" s="3" t="s">
        <v>104</v>
      </c>
      <c r="G69" s="4">
        <v>45901.805497685185</v>
      </c>
      <c r="H69" s="3" t="s">
        <v>32</v>
      </c>
      <c r="J69" s="3" t="s">
        <v>105</v>
      </c>
      <c r="K69" s="3" t="s">
        <v>106</v>
      </c>
      <c r="L69" s="3">
        <v>1203888554</v>
      </c>
      <c r="M69" s="3" t="s">
        <v>33</v>
      </c>
      <c r="N69" s="3" t="s">
        <v>41</v>
      </c>
      <c r="O69" s="3" t="s">
        <v>107</v>
      </c>
      <c r="P69" s="3" t="s">
        <v>35</v>
      </c>
      <c r="R69" s="3">
        <v>1</v>
      </c>
      <c r="T69" s="4">
        <v>45905.770833333336</v>
      </c>
      <c r="U69" s="4">
        <v>45906.25</v>
      </c>
      <c r="V69" s="3" t="s">
        <v>36</v>
      </c>
      <c r="W69" s="3" t="s">
        <v>37</v>
      </c>
      <c r="X69" s="5">
        <v>289.97000000000003</v>
      </c>
      <c r="Y69" s="5">
        <v>236.46</v>
      </c>
      <c r="AA69" s="5">
        <v>10.95</v>
      </c>
      <c r="AB69" s="5">
        <v>42.56</v>
      </c>
      <c r="AC69" s="5">
        <v>289.97000000000003</v>
      </c>
      <c r="AD69" s="3" t="s">
        <v>108</v>
      </c>
      <c r="AE69" s="3" t="s">
        <v>72</v>
      </c>
      <c r="AF69" s="3" t="s">
        <v>40</v>
      </c>
      <c r="AG69" s="3">
        <v>10143581803</v>
      </c>
    </row>
    <row r="70" spans="1:33" s="3" customFormat="1" x14ac:dyDescent="0.25">
      <c r="A70" s="3" t="s">
        <v>339</v>
      </c>
      <c r="B70" s="3" t="s">
        <v>340</v>
      </c>
      <c r="E70" s="3">
        <v>16155526</v>
      </c>
      <c r="F70" s="3" t="s">
        <v>227</v>
      </c>
      <c r="G70" s="4">
        <v>45898.412743055553</v>
      </c>
      <c r="H70" s="3" t="s">
        <v>32</v>
      </c>
      <c r="J70" s="3" t="s">
        <v>214</v>
      </c>
      <c r="K70" s="3" t="s">
        <v>225</v>
      </c>
      <c r="L70" s="3" t="s">
        <v>226</v>
      </c>
      <c r="M70" s="3" t="s">
        <v>33</v>
      </c>
      <c r="N70" s="3" t="s">
        <v>69</v>
      </c>
      <c r="O70" s="3" t="s">
        <v>125</v>
      </c>
      <c r="P70" s="3" t="s">
        <v>35</v>
      </c>
      <c r="R70" s="3">
        <v>1</v>
      </c>
      <c r="T70" s="4">
        <v>45898.999305555553</v>
      </c>
      <c r="U70" s="4">
        <v>45899.166666666664</v>
      </c>
      <c r="V70" s="3" t="s">
        <v>36</v>
      </c>
      <c r="W70" s="3" t="s">
        <v>37</v>
      </c>
      <c r="X70" s="5">
        <v>247.06</v>
      </c>
      <c r="Y70" s="5">
        <v>200.1</v>
      </c>
      <c r="AA70" s="5">
        <v>10.95</v>
      </c>
      <c r="AB70" s="5">
        <v>36.01</v>
      </c>
      <c r="AC70" s="5">
        <v>247.06</v>
      </c>
      <c r="AD70" s="3" t="s">
        <v>146</v>
      </c>
      <c r="AE70" s="3" t="s">
        <v>129</v>
      </c>
      <c r="AF70" s="3" t="s">
        <v>40</v>
      </c>
      <c r="AG70" s="3">
        <v>10143561735</v>
      </c>
    </row>
    <row r="71" spans="1:33" s="3" customFormat="1" x14ac:dyDescent="0.25">
      <c r="A71" s="3" t="s">
        <v>339</v>
      </c>
      <c r="B71" s="3" t="s">
        <v>337</v>
      </c>
      <c r="E71" s="3">
        <v>16185230</v>
      </c>
      <c r="F71" s="3" t="s">
        <v>123</v>
      </c>
      <c r="G71" s="4">
        <v>45901.672465277778</v>
      </c>
      <c r="H71" s="3" t="s">
        <v>32</v>
      </c>
      <c r="J71" s="3" t="s">
        <v>105</v>
      </c>
      <c r="K71" s="3" t="s">
        <v>124</v>
      </c>
      <c r="L71" s="3">
        <v>413591271.41359103</v>
      </c>
      <c r="M71" s="3" t="s">
        <v>33</v>
      </c>
      <c r="N71" s="3" t="s">
        <v>91</v>
      </c>
      <c r="O71" s="3" t="s">
        <v>125</v>
      </c>
      <c r="P71" s="3" t="s">
        <v>35</v>
      </c>
      <c r="R71" s="3">
        <v>2</v>
      </c>
      <c r="T71" s="4">
        <v>45902.291666666664</v>
      </c>
      <c r="U71" s="4">
        <v>45902.638888888891</v>
      </c>
      <c r="V71" s="3" t="s">
        <v>36</v>
      </c>
      <c r="W71" s="3" t="s">
        <v>37</v>
      </c>
      <c r="X71" s="5">
        <v>200.61</v>
      </c>
      <c r="Y71" s="5">
        <v>151.63</v>
      </c>
      <c r="AA71" s="5">
        <v>19.899999999999999</v>
      </c>
      <c r="AB71" s="5">
        <v>29.08</v>
      </c>
      <c r="AC71" s="5">
        <v>200.61</v>
      </c>
      <c r="AD71" s="3" t="s">
        <v>126</v>
      </c>
      <c r="AE71" s="3" t="s">
        <v>127</v>
      </c>
      <c r="AF71" s="3" t="s">
        <v>40</v>
      </c>
      <c r="AG71" s="3" t="s">
        <v>128</v>
      </c>
    </row>
    <row r="72" spans="1:33" s="3" customFormat="1" x14ac:dyDescent="0.25">
      <c r="A72" s="3" t="s">
        <v>339</v>
      </c>
      <c r="B72" s="3" t="s">
        <v>337</v>
      </c>
      <c r="E72" s="3">
        <v>16155185</v>
      </c>
      <c r="F72" s="3" t="s">
        <v>235</v>
      </c>
      <c r="G72" s="4">
        <v>45898.396527777775</v>
      </c>
      <c r="H72" s="3" t="s">
        <v>32</v>
      </c>
      <c r="J72" s="3" t="s">
        <v>156</v>
      </c>
      <c r="K72" s="3" t="s">
        <v>236</v>
      </c>
      <c r="L72" s="3">
        <v>964464128</v>
      </c>
      <c r="M72" s="3" t="s">
        <v>148</v>
      </c>
      <c r="N72" s="3" t="s">
        <v>41</v>
      </c>
      <c r="O72" s="3" t="s">
        <v>230</v>
      </c>
      <c r="P72" s="3" t="s">
        <v>35</v>
      </c>
      <c r="R72" s="3">
        <v>1</v>
      </c>
      <c r="T72" s="4">
        <v>45898.583333333336</v>
      </c>
      <c r="U72" s="4">
        <v>45898.923611111109</v>
      </c>
      <c r="V72" s="3" t="s">
        <v>36</v>
      </c>
      <c r="W72" s="3" t="s">
        <v>37</v>
      </c>
      <c r="X72" s="5">
        <v>146.04</v>
      </c>
      <c r="Y72" s="5">
        <v>110</v>
      </c>
      <c r="AA72" s="5">
        <v>9.9499999999999993</v>
      </c>
      <c r="AB72" s="5">
        <v>26.09</v>
      </c>
      <c r="AC72" s="5">
        <v>146.04</v>
      </c>
      <c r="AD72" s="3" t="s">
        <v>127</v>
      </c>
      <c r="AE72" s="3" t="s">
        <v>126</v>
      </c>
      <c r="AF72" s="3" t="s">
        <v>40</v>
      </c>
      <c r="AG72" s="3">
        <v>10143561534</v>
      </c>
    </row>
    <row r="73" spans="1:33" s="3" customFormat="1" x14ac:dyDescent="0.25">
      <c r="A73" s="3" t="s">
        <v>339</v>
      </c>
      <c r="B73" s="3" t="s">
        <v>337</v>
      </c>
      <c r="E73" s="3">
        <v>16186901</v>
      </c>
      <c r="F73" s="3" t="s">
        <v>109</v>
      </c>
      <c r="G73" s="4">
        <v>45901.746134259258</v>
      </c>
      <c r="H73" s="3" t="s">
        <v>32</v>
      </c>
      <c r="J73" s="3" t="s">
        <v>110</v>
      </c>
      <c r="K73" s="3" t="s">
        <v>111</v>
      </c>
      <c r="L73" s="3">
        <v>115311672</v>
      </c>
      <c r="M73" s="3" t="s">
        <v>33</v>
      </c>
      <c r="N73" s="3" t="s">
        <v>41</v>
      </c>
      <c r="O73" s="3" t="s">
        <v>42</v>
      </c>
      <c r="P73" s="3" t="s">
        <v>35</v>
      </c>
      <c r="R73" s="3">
        <v>1</v>
      </c>
      <c r="T73" s="4">
        <v>45902.333333333336</v>
      </c>
      <c r="U73" s="4">
        <v>45902.729166666664</v>
      </c>
      <c r="V73" s="3" t="s">
        <v>36</v>
      </c>
      <c r="W73" s="3" t="s">
        <v>37</v>
      </c>
      <c r="X73" s="5">
        <v>363.58</v>
      </c>
      <c r="Y73" s="5">
        <v>299.69</v>
      </c>
      <c r="AA73" s="5">
        <v>9.9499999999999993</v>
      </c>
      <c r="AB73" s="5">
        <v>53.94</v>
      </c>
      <c r="AC73" s="5">
        <v>363.58</v>
      </c>
      <c r="AD73" s="3" t="s">
        <v>38</v>
      </c>
      <c r="AE73" s="3" t="s">
        <v>62</v>
      </c>
      <c r="AF73" s="3" t="s">
        <v>40</v>
      </c>
      <c r="AG73" s="3">
        <v>10143581201</v>
      </c>
    </row>
    <row r="74" spans="1:33" s="3" customFormat="1" x14ac:dyDescent="0.25">
      <c r="A74" s="3" t="s">
        <v>339</v>
      </c>
      <c r="B74" s="3" t="s">
        <v>340</v>
      </c>
      <c r="E74" s="3">
        <v>16162773</v>
      </c>
      <c r="F74" s="3" t="s">
        <v>177</v>
      </c>
      <c r="G74" s="4">
        <v>45898.732835648145</v>
      </c>
      <c r="H74" s="3" t="s">
        <v>32</v>
      </c>
      <c r="J74" s="3" t="s">
        <v>178</v>
      </c>
      <c r="K74" s="3" t="s">
        <v>179</v>
      </c>
      <c r="L74" s="3" t="s">
        <v>180</v>
      </c>
      <c r="M74" s="3" t="s">
        <v>33</v>
      </c>
      <c r="N74" s="3" t="s">
        <v>41</v>
      </c>
      <c r="O74" s="3" t="s">
        <v>181</v>
      </c>
      <c r="P74" s="3" t="s">
        <v>35</v>
      </c>
      <c r="R74" s="3">
        <v>2</v>
      </c>
      <c r="T74" s="4">
        <v>45900.604166666664</v>
      </c>
      <c r="U74" s="4">
        <v>45900.818749999999</v>
      </c>
      <c r="V74" s="3" t="s">
        <v>36</v>
      </c>
      <c r="W74" s="3" t="s">
        <v>37</v>
      </c>
      <c r="X74" s="5">
        <v>313.37</v>
      </c>
      <c r="Y74" s="5">
        <v>248.71</v>
      </c>
      <c r="AA74" s="5">
        <v>19.899999999999999</v>
      </c>
      <c r="AB74" s="5">
        <v>44.76</v>
      </c>
      <c r="AC74" s="5">
        <v>313.37</v>
      </c>
      <c r="AD74" s="3" t="s">
        <v>182</v>
      </c>
      <c r="AE74" s="3" t="s">
        <v>183</v>
      </c>
      <c r="AF74" s="3" t="s">
        <v>40</v>
      </c>
      <c r="AG74" s="3" t="s">
        <v>184</v>
      </c>
    </row>
    <row r="75" spans="1:33" s="3" customFormat="1" x14ac:dyDescent="0.25">
      <c r="A75" s="3" t="s">
        <v>339</v>
      </c>
      <c r="B75" s="3" t="s">
        <v>340</v>
      </c>
      <c r="E75" s="3">
        <v>16163217</v>
      </c>
      <c r="F75" s="3" t="s">
        <v>160</v>
      </c>
      <c r="G75" s="4">
        <v>45898.754895833335</v>
      </c>
      <c r="H75" s="3" t="s">
        <v>32</v>
      </c>
      <c r="J75" s="3" t="s">
        <v>88</v>
      </c>
      <c r="K75" s="3" t="s">
        <v>161</v>
      </c>
      <c r="L75" s="3" t="s">
        <v>162</v>
      </c>
      <c r="M75" s="3" t="s">
        <v>33</v>
      </c>
      <c r="N75" s="3" t="s">
        <v>41</v>
      </c>
      <c r="O75" s="3" t="s">
        <v>163</v>
      </c>
      <c r="P75" s="3" t="s">
        <v>35</v>
      </c>
      <c r="R75" s="3">
        <v>1</v>
      </c>
      <c r="T75" s="4">
        <v>45925.732638888891</v>
      </c>
      <c r="U75" s="4">
        <v>45926.243055555555</v>
      </c>
      <c r="V75" s="3" t="s">
        <v>36</v>
      </c>
      <c r="W75" s="3" t="s">
        <v>37</v>
      </c>
      <c r="X75" s="5">
        <v>329.55</v>
      </c>
      <c r="Y75" s="5">
        <v>270</v>
      </c>
      <c r="AA75" s="5">
        <v>10.95</v>
      </c>
      <c r="AB75" s="5">
        <v>48.6</v>
      </c>
      <c r="AC75" s="5">
        <v>329.55</v>
      </c>
      <c r="AD75" s="3" t="s">
        <v>164</v>
      </c>
      <c r="AE75" s="3" t="s">
        <v>165</v>
      </c>
      <c r="AF75" s="3" t="s">
        <v>40</v>
      </c>
      <c r="AG75" s="3">
        <v>10143566395</v>
      </c>
    </row>
    <row r="76" spans="1:33" s="3" customFormat="1" x14ac:dyDescent="0.25">
      <c r="A76" s="3" t="s">
        <v>339</v>
      </c>
      <c r="B76" s="3" t="s">
        <v>340</v>
      </c>
      <c r="E76" s="3">
        <v>16151609</v>
      </c>
      <c r="F76" s="3" t="s">
        <v>241</v>
      </c>
      <c r="G76" s="4">
        <v>45897.79482638889</v>
      </c>
      <c r="H76" s="3" t="s">
        <v>32</v>
      </c>
      <c r="J76" s="3" t="s">
        <v>85</v>
      </c>
      <c r="K76" s="3" t="s">
        <v>242</v>
      </c>
      <c r="L76" s="3">
        <v>507852953.50785202</v>
      </c>
      <c r="M76" s="3" t="s">
        <v>33</v>
      </c>
      <c r="N76" s="3" t="s">
        <v>91</v>
      </c>
      <c r="O76" s="3" t="s">
        <v>243</v>
      </c>
      <c r="P76" s="3" t="s">
        <v>35</v>
      </c>
      <c r="Q76" s="3" t="s">
        <v>65</v>
      </c>
      <c r="R76" s="3">
        <v>2</v>
      </c>
      <c r="T76" s="4">
        <v>45915.3125</v>
      </c>
      <c r="U76" s="4">
        <v>45915.458333333336</v>
      </c>
      <c r="V76" s="3" t="s">
        <v>36</v>
      </c>
      <c r="W76" s="3" t="s">
        <v>37</v>
      </c>
      <c r="X76" s="5">
        <v>226.41</v>
      </c>
      <c r="Y76" s="5">
        <v>175.02</v>
      </c>
      <c r="AA76" s="5">
        <v>19.899999999999999</v>
      </c>
      <c r="AB76" s="5">
        <v>31.49</v>
      </c>
      <c r="AC76" s="5">
        <v>226.41</v>
      </c>
      <c r="AD76" s="3" t="s">
        <v>244</v>
      </c>
      <c r="AE76" s="3" t="s">
        <v>83</v>
      </c>
      <c r="AF76" s="3" t="s">
        <v>63</v>
      </c>
      <c r="AG76" s="3" t="s">
        <v>245</v>
      </c>
    </row>
    <row r="77" spans="1:33" s="3" customFormat="1" x14ac:dyDescent="0.25">
      <c r="A77" s="3" t="s">
        <v>339</v>
      </c>
      <c r="B77" s="3" t="s">
        <v>337</v>
      </c>
      <c r="E77" s="3">
        <v>16150426</v>
      </c>
      <c r="F77" s="3" t="s">
        <v>249</v>
      </c>
      <c r="G77" s="4">
        <v>45897.727025462962</v>
      </c>
      <c r="H77" s="3" t="s">
        <v>32</v>
      </c>
      <c r="J77" s="3" t="s">
        <v>156</v>
      </c>
      <c r="K77" s="3" t="s">
        <v>250</v>
      </c>
      <c r="L77" s="3">
        <v>9062575874</v>
      </c>
      <c r="M77" s="3" t="s">
        <v>148</v>
      </c>
      <c r="N77" s="3" t="s">
        <v>91</v>
      </c>
      <c r="O77" s="3" t="s">
        <v>251</v>
      </c>
      <c r="P77" s="3" t="s">
        <v>35</v>
      </c>
      <c r="R77" s="3">
        <v>1</v>
      </c>
      <c r="T77" s="4">
        <v>45901.822916666664</v>
      </c>
      <c r="U77" s="4">
        <v>45902.225694444445</v>
      </c>
      <c r="V77" s="3" t="s">
        <v>36</v>
      </c>
      <c r="W77" s="3" t="s">
        <v>37</v>
      </c>
      <c r="X77" s="5">
        <v>240.88</v>
      </c>
      <c r="Y77" s="5">
        <v>186.07</v>
      </c>
      <c r="AA77" s="5">
        <v>10.95</v>
      </c>
      <c r="AB77" s="5">
        <v>43.86</v>
      </c>
      <c r="AC77" s="5">
        <v>240.88</v>
      </c>
      <c r="AD77" s="3" t="s">
        <v>67</v>
      </c>
      <c r="AE77" s="3" t="s">
        <v>191</v>
      </c>
      <c r="AF77" s="3" t="s">
        <v>40</v>
      </c>
      <c r="AG77" s="3">
        <v>10143558558</v>
      </c>
    </row>
    <row r="78" spans="1:33" s="3" customFormat="1" x14ac:dyDescent="0.25">
      <c r="A78" s="3" t="s">
        <v>339</v>
      </c>
      <c r="B78" s="3" t="s">
        <v>337</v>
      </c>
      <c r="E78" s="3">
        <v>16155246</v>
      </c>
      <c r="F78" s="3" t="s">
        <v>228</v>
      </c>
      <c r="G78" s="4">
        <v>45898.399282407408</v>
      </c>
      <c r="H78" s="3" t="s">
        <v>32</v>
      </c>
      <c r="J78" s="3" t="s">
        <v>156</v>
      </c>
      <c r="K78" s="3" t="s">
        <v>229</v>
      </c>
      <c r="L78" s="3">
        <v>668069848</v>
      </c>
      <c r="M78" s="3" t="s">
        <v>148</v>
      </c>
      <c r="N78" s="3" t="s">
        <v>41</v>
      </c>
      <c r="O78" s="3" t="s">
        <v>230</v>
      </c>
      <c r="P78" s="3" t="s">
        <v>35</v>
      </c>
      <c r="R78" s="3">
        <v>1</v>
      </c>
      <c r="T78" s="4">
        <v>45898.583333333336</v>
      </c>
      <c r="U78" s="4">
        <v>45898.923611111109</v>
      </c>
      <c r="V78" s="3" t="s">
        <v>36</v>
      </c>
      <c r="W78" s="3" t="s">
        <v>37</v>
      </c>
      <c r="X78" s="5">
        <v>146.04</v>
      </c>
      <c r="Y78" s="5">
        <v>110</v>
      </c>
      <c r="AA78" s="5">
        <v>9.9499999999999993</v>
      </c>
      <c r="AB78" s="5">
        <v>26.09</v>
      </c>
      <c r="AC78" s="5">
        <v>146.04</v>
      </c>
      <c r="AD78" s="3" t="s">
        <v>127</v>
      </c>
      <c r="AE78" s="3" t="s">
        <v>126</v>
      </c>
      <c r="AF78" s="3" t="s">
        <v>40</v>
      </c>
      <c r="AG78" s="3">
        <v>10143561575</v>
      </c>
    </row>
    <row r="79" spans="1:33" s="3" customFormat="1" x14ac:dyDescent="0.25">
      <c r="A79" s="3" t="s">
        <v>339</v>
      </c>
      <c r="B79" s="3" t="s">
        <v>340</v>
      </c>
      <c r="E79" s="3">
        <v>16167238</v>
      </c>
      <c r="F79" s="3" t="s">
        <v>144</v>
      </c>
      <c r="G79" s="4">
        <v>45899.462800925925</v>
      </c>
      <c r="H79" s="3" t="s">
        <v>32</v>
      </c>
      <c r="J79" s="3" t="s">
        <v>140</v>
      </c>
      <c r="K79" s="3" t="s">
        <v>145</v>
      </c>
      <c r="L79" s="3">
        <v>1618178318</v>
      </c>
      <c r="M79" s="3" t="s">
        <v>33</v>
      </c>
      <c r="N79" s="3" t="s">
        <v>41</v>
      </c>
      <c r="O79" s="3" t="s">
        <v>125</v>
      </c>
      <c r="P79" s="3" t="s">
        <v>35</v>
      </c>
      <c r="R79" s="3">
        <v>1</v>
      </c>
      <c r="T79" s="4">
        <v>45899.555555555555</v>
      </c>
      <c r="U79" s="4">
        <v>45899.708333333336</v>
      </c>
      <c r="V79" s="3" t="s">
        <v>36</v>
      </c>
      <c r="W79" s="3" t="s">
        <v>37</v>
      </c>
      <c r="X79" s="5">
        <v>106.28</v>
      </c>
      <c r="Y79" s="5">
        <v>81.64</v>
      </c>
      <c r="AA79" s="5">
        <v>9.9499999999999993</v>
      </c>
      <c r="AB79" s="5">
        <v>14.69</v>
      </c>
      <c r="AC79" s="5">
        <v>106.28</v>
      </c>
      <c r="AD79" s="3" t="s">
        <v>146</v>
      </c>
      <c r="AE79" s="3" t="s">
        <v>132</v>
      </c>
      <c r="AF79" s="3" t="s">
        <v>40</v>
      </c>
      <c r="AG79" s="3">
        <v>10143569002</v>
      </c>
    </row>
  </sheetData>
  <autoFilter ref="A1:AH79" xr:uid="{247699CE-B6D7-46F9-8B54-DE7529B63C4D}"/>
  <pageMargins left="0.511811024" right="0.511811024" top="0.78740157499999996" bottom="0.78740157499999996" header="0.31496062000000002" footer="0.31496062000000002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6FB69-CE4F-4501-8C4E-44759A524ED9}">
  <dimension ref="A1:B85"/>
  <sheetViews>
    <sheetView workbookViewId="0">
      <selection activeCell="B85" sqref="B1:B85"/>
    </sheetView>
  </sheetViews>
  <sheetFormatPr defaultRowHeight="15" x14ac:dyDescent="0.25"/>
  <sheetData>
    <row r="1" spans="1:2" x14ac:dyDescent="0.25">
      <c r="A1" s="3">
        <v>16149247</v>
      </c>
      <c r="B1" t="str">
        <f>0&amp;A1</f>
        <v>016149247</v>
      </c>
    </row>
    <row r="2" spans="1:2" x14ac:dyDescent="0.25">
      <c r="A2" s="3">
        <v>16184541</v>
      </c>
      <c r="B2" t="str">
        <f t="shared" ref="B2:B65" si="0">0&amp;A2</f>
        <v>016184541</v>
      </c>
    </row>
    <row r="3" spans="1:2" x14ac:dyDescent="0.25">
      <c r="A3" s="3">
        <v>16193692</v>
      </c>
      <c r="B3" t="str">
        <f t="shared" si="0"/>
        <v>016193692</v>
      </c>
    </row>
    <row r="4" spans="1:2" x14ac:dyDescent="0.25">
      <c r="A4" s="3">
        <v>16123219</v>
      </c>
      <c r="B4" t="str">
        <f t="shared" si="0"/>
        <v>016123219</v>
      </c>
    </row>
    <row r="5" spans="1:2" x14ac:dyDescent="0.25">
      <c r="A5" s="3">
        <v>16156790</v>
      </c>
      <c r="B5" t="str">
        <f t="shared" si="0"/>
        <v>016156790</v>
      </c>
    </row>
    <row r="6" spans="1:2" x14ac:dyDescent="0.25">
      <c r="A6" s="3">
        <v>16186738</v>
      </c>
      <c r="B6" t="str">
        <f t="shared" si="0"/>
        <v>016186738</v>
      </c>
    </row>
    <row r="7" spans="1:2" x14ac:dyDescent="0.25">
      <c r="A7" s="3">
        <v>16128308</v>
      </c>
      <c r="B7" t="str">
        <f t="shared" si="0"/>
        <v>016128308</v>
      </c>
    </row>
    <row r="8" spans="1:2" x14ac:dyDescent="0.25">
      <c r="A8" s="3">
        <v>16182936</v>
      </c>
      <c r="B8" t="str">
        <f t="shared" si="0"/>
        <v>016182936</v>
      </c>
    </row>
    <row r="9" spans="1:2" x14ac:dyDescent="0.25">
      <c r="A9" s="3">
        <v>16160373</v>
      </c>
      <c r="B9" t="str">
        <f t="shared" si="0"/>
        <v>016160373</v>
      </c>
    </row>
    <row r="10" spans="1:2" x14ac:dyDescent="0.25">
      <c r="A10" s="3">
        <v>16163537</v>
      </c>
      <c r="B10" t="str">
        <f t="shared" si="0"/>
        <v>016163537</v>
      </c>
    </row>
    <row r="11" spans="1:2" x14ac:dyDescent="0.25">
      <c r="A11" s="3">
        <v>16126807</v>
      </c>
      <c r="B11" t="str">
        <f t="shared" si="0"/>
        <v>016126807</v>
      </c>
    </row>
    <row r="12" spans="1:2" x14ac:dyDescent="0.25">
      <c r="A12" s="3">
        <v>16161810</v>
      </c>
      <c r="B12" t="str">
        <f t="shared" si="0"/>
        <v>016161810</v>
      </c>
    </row>
    <row r="13" spans="1:2" x14ac:dyDescent="0.25">
      <c r="A13" s="3">
        <v>16126337</v>
      </c>
      <c r="B13" t="str">
        <f t="shared" si="0"/>
        <v>016126337</v>
      </c>
    </row>
    <row r="14" spans="1:2" x14ac:dyDescent="0.25">
      <c r="A14" s="3">
        <v>16114555</v>
      </c>
      <c r="B14" t="str">
        <f t="shared" si="0"/>
        <v>016114555</v>
      </c>
    </row>
    <row r="15" spans="1:2" x14ac:dyDescent="0.25">
      <c r="A15" s="3">
        <v>16180869</v>
      </c>
      <c r="B15" t="str">
        <f t="shared" si="0"/>
        <v>016180869</v>
      </c>
    </row>
    <row r="16" spans="1:2" x14ac:dyDescent="0.25">
      <c r="A16" s="3">
        <v>16180869</v>
      </c>
      <c r="B16" t="str">
        <f t="shared" si="0"/>
        <v>016180869</v>
      </c>
    </row>
    <row r="17" spans="1:2" x14ac:dyDescent="0.25">
      <c r="A17" s="3">
        <v>16162584</v>
      </c>
      <c r="B17" t="str">
        <f t="shared" si="0"/>
        <v>016162584</v>
      </c>
    </row>
    <row r="18" spans="1:2" x14ac:dyDescent="0.25">
      <c r="A18" s="3">
        <v>16151341</v>
      </c>
      <c r="B18" t="str">
        <f t="shared" si="0"/>
        <v>016151341</v>
      </c>
    </row>
    <row r="19" spans="1:2" x14ac:dyDescent="0.25">
      <c r="A19" s="3">
        <v>16165583</v>
      </c>
      <c r="B19" t="str">
        <f t="shared" si="0"/>
        <v>016165583</v>
      </c>
    </row>
    <row r="20" spans="1:2" x14ac:dyDescent="0.25">
      <c r="A20" s="3">
        <v>16185808</v>
      </c>
      <c r="B20" t="str">
        <f t="shared" si="0"/>
        <v>016185808</v>
      </c>
    </row>
    <row r="21" spans="1:2" x14ac:dyDescent="0.25">
      <c r="A21" s="3">
        <v>16128206</v>
      </c>
      <c r="B21" t="str">
        <f t="shared" si="0"/>
        <v>016128206</v>
      </c>
    </row>
    <row r="22" spans="1:2" x14ac:dyDescent="0.25">
      <c r="A22" s="3">
        <v>16127132</v>
      </c>
      <c r="B22" t="str">
        <f t="shared" si="0"/>
        <v>016127132</v>
      </c>
    </row>
    <row r="23" spans="1:2" x14ac:dyDescent="0.25">
      <c r="A23" s="3">
        <v>16117116</v>
      </c>
      <c r="B23" t="str">
        <f t="shared" si="0"/>
        <v>016117116</v>
      </c>
    </row>
    <row r="24" spans="1:2" x14ac:dyDescent="0.25">
      <c r="A24" s="3">
        <v>16128562</v>
      </c>
      <c r="B24" t="str">
        <f t="shared" si="0"/>
        <v>016128562</v>
      </c>
    </row>
    <row r="25" spans="1:2" x14ac:dyDescent="0.25">
      <c r="A25" s="3">
        <v>16128598</v>
      </c>
      <c r="B25" t="str">
        <f t="shared" si="0"/>
        <v>016128598</v>
      </c>
    </row>
    <row r="26" spans="1:2" x14ac:dyDescent="0.25">
      <c r="A26" s="3">
        <v>16156679</v>
      </c>
      <c r="B26" t="str">
        <f t="shared" si="0"/>
        <v>016156679</v>
      </c>
    </row>
    <row r="27" spans="1:2" x14ac:dyDescent="0.25">
      <c r="A27" s="3">
        <v>16163894</v>
      </c>
      <c r="B27" t="str">
        <f t="shared" si="0"/>
        <v>016163894</v>
      </c>
    </row>
    <row r="28" spans="1:2" x14ac:dyDescent="0.25">
      <c r="A28" s="3">
        <v>16145913</v>
      </c>
      <c r="B28" t="str">
        <f t="shared" si="0"/>
        <v>016145913</v>
      </c>
    </row>
    <row r="29" spans="1:2" x14ac:dyDescent="0.25">
      <c r="A29" s="3">
        <v>16160524</v>
      </c>
      <c r="B29" t="str">
        <f t="shared" si="0"/>
        <v>016160524</v>
      </c>
    </row>
    <row r="30" spans="1:2" x14ac:dyDescent="0.25">
      <c r="A30" s="3">
        <v>16162909</v>
      </c>
      <c r="B30" t="str">
        <f t="shared" si="0"/>
        <v>016162909</v>
      </c>
    </row>
    <row r="31" spans="1:2" x14ac:dyDescent="0.25">
      <c r="A31" s="3">
        <v>16156267</v>
      </c>
      <c r="B31" t="str">
        <f t="shared" si="0"/>
        <v>016156267</v>
      </c>
    </row>
    <row r="32" spans="1:2" x14ac:dyDescent="0.25">
      <c r="A32" s="3">
        <v>16197017</v>
      </c>
      <c r="B32" t="str">
        <f t="shared" si="0"/>
        <v>016197017</v>
      </c>
    </row>
    <row r="33" spans="1:2" x14ac:dyDescent="0.25">
      <c r="A33" s="3">
        <v>16129617</v>
      </c>
      <c r="B33" t="str">
        <f t="shared" si="0"/>
        <v>016129617</v>
      </c>
    </row>
    <row r="34" spans="1:2" x14ac:dyDescent="0.25">
      <c r="A34" s="3">
        <v>16118210</v>
      </c>
      <c r="B34" t="str">
        <f t="shared" si="0"/>
        <v>016118210</v>
      </c>
    </row>
    <row r="35" spans="1:2" x14ac:dyDescent="0.25">
      <c r="A35" s="3">
        <v>16137796</v>
      </c>
      <c r="B35" t="str">
        <f t="shared" si="0"/>
        <v>016137796</v>
      </c>
    </row>
    <row r="36" spans="1:2" x14ac:dyDescent="0.25">
      <c r="A36" s="3">
        <v>16150106</v>
      </c>
      <c r="B36" t="str">
        <f t="shared" si="0"/>
        <v>016150106</v>
      </c>
    </row>
    <row r="37" spans="1:2" x14ac:dyDescent="0.25">
      <c r="A37" s="3">
        <v>16157314</v>
      </c>
      <c r="B37" t="str">
        <f t="shared" si="0"/>
        <v>016157314</v>
      </c>
    </row>
    <row r="38" spans="1:2" x14ac:dyDescent="0.25">
      <c r="A38" s="3">
        <v>16162156</v>
      </c>
      <c r="B38" t="str">
        <f t="shared" si="0"/>
        <v>016162156</v>
      </c>
    </row>
    <row r="39" spans="1:2" x14ac:dyDescent="0.25">
      <c r="A39" s="3">
        <v>16149232</v>
      </c>
      <c r="B39" t="str">
        <f t="shared" si="0"/>
        <v>016149232</v>
      </c>
    </row>
    <row r="40" spans="1:2" x14ac:dyDescent="0.25">
      <c r="A40" s="3">
        <v>16196107</v>
      </c>
      <c r="B40" t="str">
        <f t="shared" si="0"/>
        <v>016196107</v>
      </c>
    </row>
    <row r="41" spans="1:2" x14ac:dyDescent="0.25">
      <c r="A41" s="3">
        <v>16187613</v>
      </c>
      <c r="B41" t="str">
        <f t="shared" si="0"/>
        <v>016187613</v>
      </c>
    </row>
    <row r="42" spans="1:2" x14ac:dyDescent="0.25">
      <c r="A42" s="3">
        <v>16129520</v>
      </c>
      <c r="B42" t="str">
        <f t="shared" si="0"/>
        <v>016129520</v>
      </c>
    </row>
    <row r="43" spans="1:2" x14ac:dyDescent="0.25">
      <c r="A43" s="3">
        <v>16155651</v>
      </c>
      <c r="B43" t="str">
        <f t="shared" si="0"/>
        <v>016155651</v>
      </c>
    </row>
    <row r="44" spans="1:2" x14ac:dyDescent="0.25">
      <c r="A44" s="3">
        <v>16110297</v>
      </c>
      <c r="B44" t="str">
        <f t="shared" si="0"/>
        <v>016110297</v>
      </c>
    </row>
    <row r="45" spans="1:2" x14ac:dyDescent="0.25">
      <c r="A45" s="3">
        <v>16185608</v>
      </c>
      <c r="B45" t="str">
        <f t="shared" si="0"/>
        <v>016185608</v>
      </c>
    </row>
    <row r="46" spans="1:2" x14ac:dyDescent="0.25">
      <c r="A46" s="3">
        <v>16163831</v>
      </c>
      <c r="B46" t="str">
        <f t="shared" si="0"/>
        <v>016163831</v>
      </c>
    </row>
    <row r="47" spans="1:2" x14ac:dyDescent="0.25">
      <c r="A47" s="3">
        <v>16185975</v>
      </c>
      <c r="B47" t="str">
        <f t="shared" si="0"/>
        <v>016185975</v>
      </c>
    </row>
    <row r="48" spans="1:2" x14ac:dyDescent="0.25">
      <c r="A48" s="3">
        <v>16151670</v>
      </c>
      <c r="B48" t="str">
        <f t="shared" si="0"/>
        <v>016151670</v>
      </c>
    </row>
    <row r="49" spans="1:2" x14ac:dyDescent="0.25">
      <c r="A49" s="3">
        <v>16167440</v>
      </c>
      <c r="B49" t="str">
        <f t="shared" si="0"/>
        <v>016167440</v>
      </c>
    </row>
    <row r="50" spans="1:2" x14ac:dyDescent="0.25">
      <c r="A50" s="3">
        <v>16127129</v>
      </c>
      <c r="B50" t="str">
        <f t="shared" si="0"/>
        <v>016127129</v>
      </c>
    </row>
    <row r="51" spans="1:2" x14ac:dyDescent="0.25">
      <c r="A51" s="3">
        <v>16127053</v>
      </c>
      <c r="B51" t="str">
        <f t="shared" si="0"/>
        <v>016127053</v>
      </c>
    </row>
    <row r="52" spans="1:2" x14ac:dyDescent="0.25">
      <c r="A52" s="3">
        <v>16126869</v>
      </c>
      <c r="B52" t="str">
        <f t="shared" si="0"/>
        <v>016126869</v>
      </c>
    </row>
    <row r="53" spans="1:2" x14ac:dyDescent="0.25">
      <c r="A53" s="3">
        <v>16133388</v>
      </c>
      <c r="B53" t="str">
        <f t="shared" si="0"/>
        <v>016133388</v>
      </c>
    </row>
    <row r="54" spans="1:2" x14ac:dyDescent="0.25">
      <c r="A54" s="3">
        <v>16118352</v>
      </c>
      <c r="B54" t="str">
        <f t="shared" si="0"/>
        <v>016118352</v>
      </c>
    </row>
    <row r="55" spans="1:2" x14ac:dyDescent="0.25">
      <c r="A55" s="3">
        <v>16114887</v>
      </c>
      <c r="B55" t="str">
        <f t="shared" si="0"/>
        <v>016114887</v>
      </c>
    </row>
    <row r="56" spans="1:2" x14ac:dyDescent="0.25">
      <c r="A56" s="3">
        <v>16155195</v>
      </c>
      <c r="B56" t="str">
        <f t="shared" si="0"/>
        <v>016155195</v>
      </c>
    </row>
    <row r="57" spans="1:2" x14ac:dyDescent="0.25">
      <c r="A57" s="3">
        <v>16195339</v>
      </c>
      <c r="B57" t="str">
        <f t="shared" si="0"/>
        <v>016195339</v>
      </c>
    </row>
    <row r="58" spans="1:2" x14ac:dyDescent="0.25">
      <c r="A58" s="3">
        <v>16190878</v>
      </c>
      <c r="B58" t="str">
        <f t="shared" si="0"/>
        <v>016190878</v>
      </c>
    </row>
    <row r="59" spans="1:2" x14ac:dyDescent="0.25">
      <c r="A59" s="3">
        <v>16163207</v>
      </c>
      <c r="B59" t="str">
        <f t="shared" si="0"/>
        <v>016163207</v>
      </c>
    </row>
    <row r="60" spans="1:2" x14ac:dyDescent="0.25">
      <c r="A60" s="3">
        <v>16150334</v>
      </c>
      <c r="B60" t="str">
        <f t="shared" si="0"/>
        <v>016150334</v>
      </c>
    </row>
    <row r="61" spans="1:2" x14ac:dyDescent="0.25">
      <c r="A61" s="3">
        <v>16162412</v>
      </c>
      <c r="B61" t="str">
        <f t="shared" si="0"/>
        <v>016162412</v>
      </c>
    </row>
    <row r="62" spans="1:2" x14ac:dyDescent="0.25">
      <c r="A62" s="3">
        <v>16157255</v>
      </c>
      <c r="B62" t="str">
        <f t="shared" si="0"/>
        <v>016157255</v>
      </c>
    </row>
    <row r="63" spans="1:2" x14ac:dyDescent="0.25">
      <c r="A63" s="3">
        <v>16195315</v>
      </c>
      <c r="B63" t="str">
        <f t="shared" si="0"/>
        <v>016195315</v>
      </c>
    </row>
    <row r="64" spans="1:2" x14ac:dyDescent="0.25">
      <c r="A64" s="3">
        <v>16189520</v>
      </c>
      <c r="B64" t="str">
        <f t="shared" si="0"/>
        <v>016189520</v>
      </c>
    </row>
    <row r="65" spans="1:2" x14ac:dyDescent="0.25">
      <c r="A65" s="3">
        <v>16185722</v>
      </c>
      <c r="B65" t="str">
        <f t="shared" si="0"/>
        <v>016185722</v>
      </c>
    </row>
    <row r="66" spans="1:2" x14ac:dyDescent="0.25">
      <c r="A66" s="3">
        <v>16126963</v>
      </c>
      <c r="B66" t="str">
        <f t="shared" ref="B66:B85" si="1">0&amp;A66</f>
        <v>016126963</v>
      </c>
    </row>
    <row r="67" spans="1:2" x14ac:dyDescent="0.25">
      <c r="A67" s="3">
        <v>16133392</v>
      </c>
      <c r="B67" t="str">
        <f t="shared" si="1"/>
        <v>016133392</v>
      </c>
    </row>
    <row r="68" spans="1:2" x14ac:dyDescent="0.25">
      <c r="A68" s="3">
        <v>16126674</v>
      </c>
      <c r="B68" t="str">
        <f t="shared" si="1"/>
        <v>016126674</v>
      </c>
    </row>
    <row r="69" spans="1:2" x14ac:dyDescent="0.25">
      <c r="A69" s="3">
        <v>16117007</v>
      </c>
      <c r="B69" t="str">
        <f t="shared" si="1"/>
        <v>016117007</v>
      </c>
    </row>
    <row r="70" spans="1:2" x14ac:dyDescent="0.25">
      <c r="A70" s="3">
        <v>16110582</v>
      </c>
      <c r="B70" t="str">
        <f t="shared" si="1"/>
        <v>016110582</v>
      </c>
    </row>
    <row r="71" spans="1:2" x14ac:dyDescent="0.25">
      <c r="A71" s="3">
        <v>16160447</v>
      </c>
      <c r="B71" t="str">
        <f t="shared" si="1"/>
        <v>016160447</v>
      </c>
    </row>
    <row r="72" spans="1:2" x14ac:dyDescent="0.25">
      <c r="A72" s="3">
        <v>16168140</v>
      </c>
      <c r="B72" t="str">
        <f t="shared" si="1"/>
        <v>016168140</v>
      </c>
    </row>
    <row r="73" spans="1:2" x14ac:dyDescent="0.25">
      <c r="A73" s="3">
        <v>16187858</v>
      </c>
      <c r="B73" t="str">
        <f t="shared" si="1"/>
        <v>016187858</v>
      </c>
    </row>
    <row r="74" spans="1:2" x14ac:dyDescent="0.25">
      <c r="A74" s="3">
        <v>16155526</v>
      </c>
      <c r="B74" t="str">
        <f t="shared" si="1"/>
        <v>016155526</v>
      </c>
    </row>
    <row r="75" spans="1:2" x14ac:dyDescent="0.25">
      <c r="A75" s="3">
        <v>16185230</v>
      </c>
      <c r="B75" t="str">
        <f t="shared" si="1"/>
        <v>016185230</v>
      </c>
    </row>
    <row r="76" spans="1:2" x14ac:dyDescent="0.25">
      <c r="A76" s="3">
        <v>16155185</v>
      </c>
      <c r="B76" t="str">
        <f t="shared" si="1"/>
        <v>016155185</v>
      </c>
    </row>
    <row r="77" spans="1:2" x14ac:dyDescent="0.25">
      <c r="A77" s="3">
        <v>16186901</v>
      </c>
      <c r="B77" t="str">
        <f t="shared" si="1"/>
        <v>016186901</v>
      </c>
    </row>
    <row r="78" spans="1:2" x14ac:dyDescent="0.25">
      <c r="A78" s="3">
        <v>16162773</v>
      </c>
      <c r="B78" t="str">
        <f t="shared" si="1"/>
        <v>016162773</v>
      </c>
    </row>
    <row r="79" spans="1:2" x14ac:dyDescent="0.25">
      <c r="A79" s="3">
        <v>16163217</v>
      </c>
      <c r="B79" t="str">
        <f t="shared" si="1"/>
        <v>016163217</v>
      </c>
    </row>
    <row r="80" spans="1:2" x14ac:dyDescent="0.25">
      <c r="A80" s="3">
        <v>16195356</v>
      </c>
      <c r="B80" t="str">
        <f t="shared" si="1"/>
        <v>016195356</v>
      </c>
    </row>
    <row r="81" spans="1:2" x14ac:dyDescent="0.25">
      <c r="A81" s="3">
        <v>16151609</v>
      </c>
      <c r="B81" t="str">
        <f t="shared" si="1"/>
        <v>016151609</v>
      </c>
    </row>
    <row r="82" spans="1:2" x14ac:dyDescent="0.25">
      <c r="A82" s="3">
        <v>16150426</v>
      </c>
      <c r="B82" t="str">
        <f t="shared" si="1"/>
        <v>016150426</v>
      </c>
    </row>
    <row r="83" spans="1:2" x14ac:dyDescent="0.25">
      <c r="A83" s="3">
        <v>16155246</v>
      </c>
      <c r="B83" t="str">
        <f t="shared" si="1"/>
        <v>016155246</v>
      </c>
    </row>
    <row r="84" spans="1:2" x14ac:dyDescent="0.25">
      <c r="A84" s="3">
        <v>16167238</v>
      </c>
      <c r="B84" t="str">
        <f t="shared" si="1"/>
        <v>016167238</v>
      </c>
    </row>
    <row r="85" spans="1:2" x14ac:dyDescent="0.25">
      <c r="A85" s="3">
        <v>16195326</v>
      </c>
      <c r="B85" t="str">
        <f t="shared" si="1"/>
        <v>016195326</v>
      </c>
    </row>
  </sheetData>
  <pageMargins left="0.511811024" right="0.511811024" top="0.78740157499999996" bottom="0.78740157499999996" header="0.31496062000000002" footer="0.31496062000000002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mgds_compra_list (1)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Freitas dos Santos</dc:creator>
  <cp:lastModifiedBy>Igor Freitas dos Santos</cp:lastModifiedBy>
  <dcterms:created xsi:type="dcterms:W3CDTF">2025-09-03T10:56:08Z</dcterms:created>
  <dcterms:modified xsi:type="dcterms:W3CDTF">2025-09-11T11:23:13Z</dcterms:modified>
</cp:coreProperties>
</file>