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E256D821-C283-4665-956B-2545053762EB}" xr6:coauthVersionLast="47" xr6:coauthVersionMax="47" xr10:uidLastSave="{00000000-0000-0000-0000-000000000000}"/>
  <bookViews>
    <workbookView xWindow="-28920" yWindow="0" windowWidth="29040" windowHeight="15720" activeTab="2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BASE'!$A$1:$AQ$569</definedName>
  </definedNames>
  <calcPr calcId="191029" iterate="1"/>
  <pivotCaches>
    <pivotCache cacheId="140" r:id="rId5"/>
    <pivotCache cacheId="15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7" i="1"/>
  <c r="A17" i="1"/>
  <c r="A1" i="1"/>
  <c r="C4" i="2"/>
  <c r="C3" i="2"/>
  <c r="C8" i="2"/>
  <c r="C2" i="2"/>
  <c r="C5" i="2"/>
  <c r="C7" i="2"/>
  <c r="C6" i="2"/>
  <c r="C9" i="2" l="1"/>
  <c r="E9" i="2" s="1"/>
  <c r="E4" i="2" l="1"/>
  <c r="E3" i="2"/>
  <c r="E8" i="2"/>
  <c r="E2" i="2"/>
  <c r="E5" i="2"/>
  <c r="E7" i="2"/>
  <c r="E6" i="2"/>
</calcChain>
</file>

<file path=xl/sharedStrings.xml><?xml version="1.0" encoding="utf-8"?>
<sst xmlns="http://schemas.openxmlformats.org/spreadsheetml/2006/main" count="14596" uniqueCount="1791">
  <si>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</si>
  <si>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</si>
  <si>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</si>
  <si>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</si>
  <si>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</si>
  <si>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</si>
  <si>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</si>
  <si>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</si>
  <si>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</si>
  <si>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</si>
  <si>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</si>
  <si>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</si>
  <si>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</si>
  <si>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</si>
  <si>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KONTRIP</t>
  </si>
  <si>
    <t>LEMONTECH</t>
  </si>
  <si>
    <t>MANUAL</t>
  </si>
  <si>
    <t>SABRE</t>
  </si>
  <si>
    <t>ZUPPER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</si>
  <si>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</si>
  <si>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</si>
  <si>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</si>
  <si>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</si>
  <si>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</si>
  <si>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</si>
  <si>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</si>
  <si>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INOVENTS</t>
  </si>
  <si>
    <t>16 a 23 dias</t>
  </si>
  <si>
    <t>Duplicidade de Contabilização</t>
  </si>
  <si>
    <t>24 a 31 dias</t>
  </si>
  <si>
    <t>31 dias ou +</t>
  </si>
  <si>
    <t>INOVENTS Total</t>
  </si>
  <si>
    <t>Operações - KONTRIP</t>
  </si>
  <si>
    <t>Sistema</t>
  </si>
  <si>
    <t>Resolvidos em D-2</t>
  </si>
  <si>
    <t>Dados Gerenciais</t>
  </si>
  <si>
    <t>Ofensores - OBT x Produto</t>
  </si>
  <si>
    <t>Operações - KONTRIP Total</t>
  </si>
  <si>
    <t>Contagem de Serviço</t>
  </si>
  <si>
    <t>Suporte Benner</t>
  </si>
  <si>
    <t>Suporte Benner Total</t>
  </si>
  <si>
    <t>Operações - FCM</t>
  </si>
  <si>
    <t>Operações - FCM Total</t>
  </si>
  <si>
    <t>Conciliação aérea</t>
  </si>
  <si>
    <t>Conciliação aérea Total</t>
  </si>
  <si>
    <t>Operações - CORP</t>
  </si>
  <si>
    <t>Analise de ofensores por OBT</t>
  </si>
  <si>
    <t>Contagem de TIPO DE ERRO</t>
  </si>
  <si>
    <t>Operações - CORP Total</t>
  </si>
  <si>
    <t>Operações - ZUPPER</t>
  </si>
  <si>
    <t>Operações - ZUPPER Total</t>
  </si>
  <si>
    <t>Central de Emissão</t>
  </si>
  <si>
    <t>Edição não Permitida</t>
  </si>
  <si>
    <t>Central de Emissão Total</t>
  </si>
  <si>
    <t>Analise de ofensores por OBT - Campos</t>
  </si>
  <si>
    <t>Contagem de OBTS</t>
  </si>
  <si>
    <t>Falta de Fornecedor</t>
  </si>
  <si>
    <t>Bilhete duplicado</t>
  </si>
  <si>
    <t>Não identificado</t>
  </si>
  <si>
    <t>Contrato de fornecedor</t>
  </si>
  <si>
    <t>Duplicidade de RLOC</t>
  </si>
  <si>
    <t>Mais de um campo não preenchido</t>
  </si>
  <si>
    <t>Falta informação nos trechos</t>
  </si>
  <si>
    <t>Pagamento não permitido para cobrança</t>
  </si>
  <si>
    <t>Todos os Produtos - Canal de Venda</t>
  </si>
  <si>
    <t>Forma de Pagamento indevida</t>
  </si>
  <si>
    <t>Contagem de OBT</t>
  </si>
  <si>
    <t>Falta de informação Gerencial</t>
  </si>
  <si>
    <t>Tarifa máxima</t>
  </si>
  <si>
    <t>Matrícula</t>
  </si>
  <si>
    <t>Finalidade</t>
  </si>
  <si>
    <t>KON-OPE-SAO-PVI-BIOLAB</t>
  </si>
  <si>
    <t>Conciliação de Cartão</t>
  </si>
  <si>
    <t>FCM-OPE-SAO-PVI-BASF</t>
  </si>
  <si>
    <t>Projeto</t>
  </si>
  <si>
    <t>KON-OPE-SAO-PVI-BTC-ARGO</t>
  </si>
  <si>
    <t>Centro de custo</t>
  </si>
  <si>
    <t>KON-OPE-RIO-PVI-CASAS BAHIA</t>
  </si>
  <si>
    <t>Empenho/departamento</t>
  </si>
  <si>
    <t>KON-OPE-SAO-PVI-BERNOULLI</t>
  </si>
  <si>
    <t>KON-OPE-RIO-PVI-UOL</t>
  </si>
  <si>
    <t>KON-OPE-SAO-PVI-BRASKEM</t>
  </si>
  <si>
    <t>FCM-OPE-SAO-PVI-BAT</t>
  </si>
  <si>
    <t>FCM-OPE-SAO-PVI-BTC-CONCUR</t>
  </si>
  <si>
    <t>KON-OPE-SAO-PVI-CCR</t>
  </si>
  <si>
    <t>FCM-OPE-SAO-PVI-DIAGEO</t>
  </si>
  <si>
    <t>KON-OPE-RIO-POS-OCEANPACT</t>
  </si>
  <si>
    <t>KON-OPE-RIO-PVI-BTC</t>
  </si>
  <si>
    <t>Contagem AGING por RESPONSÁVEL - AGING  ALTERAÇÃO</t>
  </si>
  <si>
    <t>KON-OPE-RIO-PVI-ENAEX</t>
  </si>
  <si>
    <t>FCM-OPE-SAO-PVI-MARS</t>
  </si>
  <si>
    <t>FCM-OPE-SAO-PVI-BTC-CONCUR-HONEYWELL</t>
  </si>
  <si>
    <t>-</t>
  </si>
  <si>
    <t>KON-OPE-SAO-PVI-KPMG</t>
  </si>
  <si>
    <t>KON-OPE-SAO-PVI-ACHE</t>
  </si>
  <si>
    <t>FCM-OPE-SAO-PVI-BTC</t>
  </si>
  <si>
    <t>FCM-OPE-SAO-PVI-BTC-CONCUR-CHANEL</t>
  </si>
  <si>
    <t>FCM-OPE-SAO-PVI-BTC-CYTRIC-S&amp;P</t>
  </si>
  <si>
    <t>KON-OPE-POA-PVI-PEPSICO</t>
  </si>
  <si>
    <t>KON-OPE-SAO-PVI-BTC-ARGO-HTB</t>
  </si>
  <si>
    <t>KON-OPE-SAO-PVI-MOVER</t>
  </si>
  <si>
    <t>KON-OPE-SAO-POS-CLARO</t>
  </si>
  <si>
    <t>Contagem de RESPONSÁVEL por SERVIÇO</t>
  </si>
  <si>
    <t>FCM-OPE-SAO-PVI-SHELL</t>
  </si>
  <si>
    <t>FCM-OPE-SAO-PVI-BOSCH</t>
  </si>
  <si>
    <t>KON-OPE-SAO-PVI-BTC-ARGO-DELOITTE</t>
  </si>
  <si>
    <t>FCM-OPE-SAO-PVI-ARCADIS</t>
  </si>
  <si>
    <t>FCM-OPE-SAO-PVI-BTC-PRA/RPS</t>
  </si>
  <si>
    <t>FCM-OPE-SAO-PVI-BTC-CONCUR-NIELSENIQ</t>
  </si>
  <si>
    <t>KON-OPE-SAO-PVI-MATTOS FILHO</t>
  </si>
  <si>
    <t>KON-OPE-RIO-POS-TAESA</t>
  </si>
  <si>
    <t>KON-OPE-RIO-PVI-BTC RJ</t>
  </si>
  <si>
    <t>Todos os Produtos - Grupo Empresarial</t>
  </si>
  <si>
    <t>KON-OPE-RIO-PVI-RENNER</t>
  </si>
  <si>
    <t>Contagem de Grupo Empresarial</t>
  </si>
  <si>
    <t>KON-OPE-RIO-PVI-BTC-BIOMERIEUX</t>
  </si>
  <si>
    <t>Grupo Diageo</t>
  </si>
  <si>
    <t>EMERGENCIAL</t>
  </si>
  <si>
    <t>Grupo Kontrip</t>
  </si>
  <si>
    <t>KON-OPE-SAO-PVI-HYPERA</t>
  </si>
  <si>
    <t>Grupo Biolab</t>
  </si>
  <si>
    <t>FCM-OPE-SAO-PVI-ATOS</t>
  </si>
  <si>
    <t>Grupo Basf</t>
  </si>
  <si>
    <t>FCM-OPE-SAO-PVI-BTC FCM</t>
  </si>
  <si>
    <t>Grupo Ultra</t>
  </si>
  <si>
    <t>KON-OPE-RIO-PVI-BTC-FALCON ACTIVE</t>
  </si>
  <si>
    <t>Grupo Casas Bahia</t>
  </si>
  <si>
    <t>FCM-OPE-SAO-PVI-BTC-CONCUR-SIBELCO</t>
  </si>
  <si>
    <t>Grupo Bernoulli Educacao</t>
  </si>
  <si>
    <t>FCM-OPE-SAO-PVI-BTC-FIRMENICH</t>
  </si>
  <si>
    <t>Grupo British American Tobacco</t>
  </si>
  <si>
    <t>KON-OPE-SAO-PVI-SAMSUNG</t>
  </si>
  <si>
    <t>Grupo Uol</t>
  </si>
  <si>
    <t>Grupo Braskem</t>
  </si>
  <si>
    <t>FCM-OPE-POA-PVI-ATENTO</t>
  </si>
  <si>
    <t>Grupo Motiva</t>
  </si>
  <si>
    <t>KON-OPE-SAO-PVI-ULTRA</t>
  </si>
  <si>
    <t>Grupo Ocean Pact</t>
  </si>
  <si>
    <t>FCM-OPE-SAO-PVI-BTC-FM GLOBAL</t>
  </si>
  <si>
    <t>Grupo Mars</t>
  </si>
  <si>
    <t>Grupo Enaex</t>
  </si>
  <si>
    <t>Grupo Ache</t>
  </si>
  <si>
    <t>Grupo Honeywell</t>
  </si>
  <si>
    <t>Grupo Kpmg</t>
  </si>
  <si>
    <t>Grupo Adidas</t>
  </si>
  <si>
    <t>Grupo Sep</t>
  </si>
  <si>
    <t>Grupo Pepsico</t>
  </si>
  <si>
    <t>Grupo Chanel</t>
  </si>
  <si>
    <t>Grupo Zf</t>
  </si>
  <si>
    <t>Grupo Shell</t>
  </si>
  <si>
    <t>Grupo Deloitte</t>
  </si>
  <si>
    <t>Grupo Htb</t>
  </si>
  <si>
    <t>Grupo Zupper</t>
  </si>
  <si>
    <t>Grupo Intercement</t>
  </si>
  <si>
    <t>Grupo Claro Sa</t>
  </si>
  <si>
    <t>Grupo Bosch</t>
  </si>
  <si>
    <t>Grupo Arcadis</t>
  </si>
  <si>
    <t>Grupo Nielseniq</t>
  </si>
  <si>
    <t>Grupo Icon</t>
  </si>
  <si>
    <t>Grupo Biomerieux</t>
  </si>
  <si>
    <t>Grupo Track e Field</t>
  </si>
  <si>
    <t>Grupo Lojas Renner</t>
  </si>
  <si>
    <t>Grupo Mattos Filho</t>
  </si>
  <si>
    <t>Grupo Taesa</t>
  </si>
  <si>
    <t>Independente</t>
  </si>
  <si>
    <t>Tarifa</t>
  </si>
  <si>
    <t>(Vários itens)</t>
  </si>
  <si>
    <t>Grupo Occ</t>
  </si>
  <si>
    <t>Tarifa - por aging</t>
  </si>
  <si>
    <t>Tarifa por Data de EMISSÃO</t>
  </si>
  <si>
    <t>Tarifa por Data de INCLUSÃO</t>
  </si>
  <si>
    <t>Grupo Jti</t>
  </si>
  <si>
    <t>Soma de Tarifa</t>
  </si>
  <si>
    <t>Grupo Glory</t>
  </si>
  <si>
    <t>2025</t>
  </si>
  <si>
    <t>Grupo Elanco</t>
  </si>
  <si>
    <t>jul</t>
  </si>
  <si>
    <t>ago</t>
  </si>
  <si>
    <t>Grupo Hypera</t>
  </si>
  <si>
    <t>Grupo Epson</t>
  </si>
  <si>
    <t>Grupo Hpe</t>
  </si>
  <si>
    <t>Grupo Airbus/helibras</t>
  </si>
  <si>
    <t>Grupo Atento</t>
  </si>
  <si>
    <t>Grupo Ses</t>
  </si>
  <si>
    <t>Grupo Banco Genial Investimentos</t>
  </si>
  <si>
    <t>Grupo Atlas Copco</t>
  </si>
  <si>
    <t>Grupo Sibelco</t>
  </si>
  <si>
    <t>Grupo Constellation</t>
  </si>
  <si>
    <t>Grupo Atos</t>
  </si>
  <si>
    <t>Grupo Gtm</t>
  </si>
  <si>
    <t>Grupo Fm Global</t>
  </si>
  <si>
    <t>Grupo Jealsa</t>
  </si>
  <si>
    <t>Grupo Isdin</t>
  </si>
  <si>
    <t>Grupo Nzte</t>
  </si>
  <si>
    <t>Grupo Falcon Active</t>
  </si>
  <si>
    <t>Grupo Samsung</t>
  </si>
  <si>
    <t>Grupo Firmenich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</si>
  <si>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</si>
  <si>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</si>
  <si>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</si>
  <si>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</si>
  <si>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</si>
  <si>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</si>
  <si>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</si>
  <si>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</si>
  <si>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</si>
  <si>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</si>
  <si>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</si>
  <si>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</si>
  <si>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</si>
  <si>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</si>
  <si>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</si>
  <si>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</si>
  <si>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</si>
  <si>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</si>
  <si>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</si>
  <si>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</si>
  <si>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</si>
  <si>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</si>
  <si>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</si>
  <si>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</si>
  <si>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</si>
  <si>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</si>
  <si>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</si>
  <si>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</si>
  <si>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</si>
  <si>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</si>
  <si>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</si>
  <si>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</si>
  <si>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</si>
  <si>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</si>
  <si>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</si>
  <si>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</si>
  <si>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</si>
  <si>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</si>
  <si>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</si>
  <si>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</si>
  <si>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</si>
  <si>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</si>
  <si>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</si>
  <si>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</si>
  <si>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</si>
  <si>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5FLEUO</t>
  </si>
  <si>
    <t>SERVICO</t>
  </si>
  <si>
    <t>Elaine Cristina Martins</t>
  </si>
  <si>
    <t>OFF LINE</t>
  </si>
  <si>
    <t>Invoice</t>
  </si>
  <si>
    <t>Faturado</t>
  </si>
  <si>
    <t>N</t>
  </si>
  <si>
    <t>Claro S/a</t>
  </si>
  <si>
    <t>Ciclo Academy</t>
  </si>
  <si>
    <t>Necessário cadastrar um contrato para o cliente ""</t>
  </si>
  <si>
    <t>Análise Cadastro</t>
  </si>
  <si>
    <t>Qualidade dos dados</t>
  </si>
  <si>
    <t>KONTIK BUSINESS TRAVEL</t>
  </si>
  <si>
    <t>ACC02</t>
  </si>
  <si>
    <t>FEE+TAXAS</t>
  </si>
  <si>
    <t>5GMXUP</t>
  </si>
  <si>
    <t>5FKC78</t>
  </si>
  <si>
    <t>TMS</t>
  </si>
  <si>
    <t>TADEU FERNANDES</t>
  </si>
  <si>
    <t>Ariane de Sousa Farias</t>
  </si>
  <si>
    <t>Biogaia Ab</t>
  </si>
  <si>
    <t>Reserva importada do Sistema TMS. OS: 276</t>
  </si>
  <si>
    <t>Fornecedor não preenchido! (ACC01)</t>
  </si>
  <si>
    <t>Campo Fornecedor</t>
  </si>
  <si>
    <t>WOOBA</t>
  </si>
  <si>
    <t>NEVER/WELTON</t>
  </si>
  <si>
    <t>Welton Silva da Cunha</t>
  </si>
  <si>
    <t>teste</t>
  </si>
  <si>
    <t>Constellation</t>
  </si>
  <si>
    <t>Cardim Plaza Hotel</t>
  </si>
  <si>
    <t>Reserva importada do Sistema WOOBA. Id: 1014</t>
  </si>
  <si>
    <t>Canal de venda não preenchido! (ACC01)</t>
  </si>
  <si>
    <t>Canal de venda</t>
  </si>
  <si>
    <t>NEVER/VANESSA</t>
  </si>
  <si>
    <t>TESTE2</t>
  </si>
  <si>
    <t>Dan Inn Planalto Sao Paulo</t>
  </si>
  <si>
    <t>Reserva importada do Sistema WOOBA. Id: 1015</t>
  </si>
  <si>
    <t>5GDF7M</t>
  </si>
  <si>
    <t>HNMBIK</t>
  </si>
  <si>
    <t>BARBARA MAGALHAES</t>
  </si>
  <si>
    <t>Jaqueline Rodrigues Teixeira</t>
  </si>
  <si>
    <t>Diageo Brasil</t>
  </si>
  <si>
    <t>Cliente FEE no POS</t>
  </si>
  <si>
    <t>Latam Airlines Brasil</t>
  </si>
  <si>
    <t>Reserva importada via planilha. Solicitação: |PC:</t>
  </si>
  <si>
    <t>Verificação de bilhetes: Bilhete 2243398493 já sendo utilizado para este fornecedor.</t>
  </si>
  <si>
    <t>Bilhete Já Contabilizado</t>
  </si>
  <si>
    <t>JAMYLE PINHEIRO FACANHA CAVALCANTE</t>
  </si>
  <si>
    <t>ACC03</t>
  </si>
  <si>
    <t>CHRISTIANE GURGEL DO AMARAL CHAVES</t>
  </si>
  <si>
    <t>ACC04</t>
  </si>
  <si>
    <t>HELEN LIDIA MENDES</t>
  </si>
  <si>
    <t>ACC05</t>
  </si>
  <si>
    <t>DAMARIS RAQUELINA MALAQUIAS SARAIVA</t>
  </si>
  <si>
    <t>ACC06</t>
  </si>
  <si>
    <t>ANTONIA LETICIA DE SOUZA</t>
  </si>
  <si>
    <t>ACC07</t>
  </si>
  <si>
    <t>ROSALINA FARIAS DIAS</t>
  </si>
  <si>
    <t>ACC08</t>
  </si>
  <si>
    <t>LUANA CAROLINA LIMA DO NASCIMENTO</t>
  </si>
  <si>
    <t>ACC09</t>
  </si>
  <si>
    <t>RAQUEL PEREIRA DA SILVA</t>
  </si>
  <si>
    <t>ACC10</t>
  </si>
  <si>
    <t>DANIELA VAZ CAMILO</t>
  </si>
  <si>
    <t>ACC11</t>
  </si>
  <si>
    <t>JESSICA RODRIGUES VIANA</t>
  </si>
  <si>
    <t>ACC12</t>
  </si>
  <si>
    <t>JULIANA SILVA MACIEL</t>
  </si>
  <si>
    <t>ACC13</t>
  </si>
  <si>
    <t>RAISA SANTOS FERNANDES</t>
  </si>
  <si>
    <t>ACC14</t>
  </si>
  <si>
    <t>DANIELA APRIGIO TELES</t>
  </si>
  <si>
    <t>ACC15</t>
  </si>
  <si>
    <t>ANA CARLA BARROSO DE SOUSA TOMAZ</t>
  </si>
  <si>
    <t>ACC16</t>
  </si>
  <si>
    <t>MARIA GISANE DOS SANTOS MACHADO</t>
  </si>
  <si>
    <t>ACC17</t>
  </si>
  <si>
    <t>RANGIELE DO CARMO ASSUNCAO</t>
  </si>
  <si>
    <t>ACC18</t>
  </si>
  <si>
    <t>LUNARA SOUSA MOTA</t>
  </si>
  <si>
    <t>ACC19</t>
  </si>
  <si>
    <t>HERLIA FERREIRA PEREIRA PALACIO</t>
  </si>
  <si>
    <t>ACC20</t>
  </si>
  <si>
    <t>GEANNE PIRES DE MESQUITA</t>
  </si>
  <si>
    <t>ACC21</t>
  </si>
  <si>
    <t>DANIELE FREITAS CAVALCANTE DE OLIVEIRA</t>
  </si>
  <si>
    <t>ACC22</t>
  </si>
  <si>
    <t>ADAILMA MENDES DOS SANTOS</t>
  </si>
  <si>
    <t>ACC23</t>
  </si>
  <si>
    <t>KELEN CRISTINA MARTINS ALENCAR PINTO</t>
  </si>
  <si>
    <t>ACC24</t>
  </si>
  <si>
    <t>JORGEANA MORAIS MONTEIRO</t>
  </si>
  <si>
    <t>ACC25</t>
  </si>
  <si>
    <t>ANA CAROLINA CORREA</t>
  </si>
  <si>
    <t>ACC26</t>
  </si>
  <si>
    <t>IRLA GOMES DE SOUZA</t>
  </si>
  <si>
    <t>ACC27</t>
  </si>
  <si>
    <t>DAIANA MAGALHAES DE PAIVA</t>
  </si>
  <si>
    <t>ACC28</t>
  </si>
  <si>
    <t>FERNANDA HELENA ALVES DA ROCHA</t>
  </si>
  <si>
    <t>ACC29</t>
  </si>
  <si>
    <t>KESSYA CARDOSO LIMA</t>
  </si>
  <si>
    <t>ACC30</t>
  </si>
  <si>
    <t>JESSICA CORREIA SALES</t>
  </si>
  <si>
    <t>ACC31</t>
  </si>
  <si>
    <t>MICHELLE PEREIRA DE OLIVEIRA</t>
  </si>
  <si>
    <t>ACC32</t>
  </si>
  <si>
    <t>NATALIA TAVARES DE ALMEIDA</t>
  </si>
  <si>
    <t>ACC33</t>
  </si>
  <si>
    <t>ANDREZZA RAYANNE ALVES DE ALMEIDA</t>
  </si>
  <si>
    <t>ACC34</t>
  </si>
  <si>
    <t>LILIAN KESSIA ALVES SIEBRA</t>
  </si>
  <si>
    <t>ACC35</t>
  </si>
  <si>
    <t>MONALISA DO NASCIMENTO RIBEIRO</t>
  </si>
  <si>
    <t>ACC36</t>
  </si>
  <si>
    <t>PRISCILA ADRIAN RODRIGUES</t>
  </si>
  <si>
    <t>ACC37</t>
  </si>
  <si>
    <t>NATALIA FARIAS DE SOUSA</t>
  </si>
  <si>
    <t>ACC38</t>
  </si>
  <si>
    <t>MARIANA MELO CAMURCA</t>
  </si>
  <si>
    <t>ACC39</t>
  </si>
  <si>
    <t>YOHANNA MARIA MENEZES DO NASCIMENTO</t>
  </si>
  <si>
    <t>ACC40</t>
  </si>
  <si>
    <t>MARIA ELINARA COSTA REBOUCAS</t>
  </si>
  <si>
    <t>ACC41</t>
  </si>
  <si>
    <t>ANA MICHELLE LOUREIRO LOBO</t>
  </si>
  <si>
    <t>ACC42</t>
  </si>
  <si>
    <t>MAIARA MARIA NASCIMENTO DE ARAUJO</t>
  </si>
  <si>
    <t>ACC43</t>
  </si>
  <si>
    <t>THISIANIA ROMERO VIEIRA SOARES</t>
  </si>
  <si>
    <t>ACC44</t>
  </si>
  <si>
    <t>CRISLANE ALENCARINA LIMA DA SILVA</t>
  </si>
  <si>
    <t>ACC45</t>
  </si>
  <si>
    <t>PAULA AMANDA DO CARMO FERNANDES</t>
  </si>
  <si>
    <t>ACC46</t>
  </si>
  <si>
    <t>DIANA CARLA MORAES DOS SANTOS</t>
  </si>
  <si>
    <t>ACC47</t>
  </si>
  <si>
    <t>LUDMILA VIRNA OLIVEIRA FERNANDES</t>
  </si>
  <si>
    <t>ACC48</t>
  </si>
  <si>
    <t>CLAUDIANA HONORATO MIGUEL</t>
  </si>
  <si>
    <t>ACC49</t>
  </si>
  <si>
    <t>SAN MILK RODRIGUES QUEIROZ</t>
  </si>
  <si>
    <t>ACC50</t>
  </si>
  <si>
    <t>JENNIFER MAINARA DA SILVA FACANHA</t>
  </si>
  <si>
    <t>ACC51</t>
  </si>
  <si>
    <t>THAIS MESQUITA GARCIA</t>
  </si>
  <si>
    <t>ACC52</t>
  </si>
  <si>
    <t>ARLETE CAVALCANTE ASSUNCAO</t>
  </si>
  <si>
    <t>ACC53</t>
  </si>
  <si>
    <t>KELIANE DA SILVA SOARES</t>
  </si>
  <si>
    <t>ACC54</t>
  </si>
  <si>
    <t>MIKAELLA DOS SANTOS ALVES</t>
  </si>
  <si>
    <t>ACC55</t>
  </si>
  <si>
    <t>ANNA CLARA DOMINGOS ALVES</t>
  </si>
  <si>
    <t>ACC56</t>
  </si>
  <si>
    <t>FRANCISCA ERICA COSTA DE MENEZES</t>
  </si>
  <si>
    <t>ACC57</t>
  </si>
  <si>
    <t>LUIZIANNE MARIA GONCALVES DE ALENCAR</t>
  </si>
  <si>
    <t>ACC58</t>
  </si>
  <si>
    <t>LUAN MIKAEL DE SOUSA PEREIRA</t>
  </si>
  <si>
    <t>ACC59</t>
  </si>
  <si>
    <t>ANA CAROLINA MOREIRA QUEIROZ</t>
  </si>
  <si>
    <t>ACC60</t>
  </si>
  <si>
    <t>GABRIEL DA SILVA ROCHA</t>
  </si>
  <si>
    <t>B3NZNT</t>
  </si>
  <si>
    <t>BUENO BARBOSA/RENATA</t>
  </si>
  <si>
    <t>Danny Junqueira Martins</t>
  </si>
  <si>
    <t>Jti Distribuidora - Sao Paulo - Vila Nova Conceicao</t>
  </si>
  <si>
    <t>Iberia</t>
  </si>
  <si>
    <t>ID152723</t>
  </si>
  <si>
    <t>Verificação de bilhetes: Bilhete 2971556787 já sendo utilizado para este fornecedor.</t>
  </si>
  <si>
    <t>SIMOES BARBOSA/FRANCISCO</t>
  </si>
  <si>
    <t>ACC</t>
  </si>
  <si>
    <t>ZWHCTQ</t>
  </si>
  <si>
    <t>ANA CARVALHO</t>
  </si>
  <si>
    <t>Laura Sales de Paula</t>
  </si>
  <si>
    <t>Cartão convênio</t>
  </si>
  <si>
    <t>Zupper Cartao</t>
  </si>
  <si>
    <t>Azul Linhas Aereas</t>
  </si>
  <si>
    <t>36Faltou informar rateio de centro de custo/projeto abaixo da accounting</t>
  </si>
  <si>
    <t>Rateio de centro de custo/projeto</t>
  </si>
  <si>
    <t>ZUPPER VIAGENS</t>
  </si>
  <si>
    <t>XEE5VR</t>
  </si>
  <si>
    <t>EBOOKING</t>
  </si>
  <si>
    <t>CARLOS EDUARDO OLIVEIRA SA</t>
  </si>
  <si>
    <t>Zupper</t>
  </si>
  <si>
    <t>Cartão de crédito</t>
  </si>
  <si>
    <t>Carlos e O Sa</t>
  </si>
  <si>
    <t>Não foi possível encontrar configuração válida para Administradora de código 1 e Data Emissão 07/08/2025</t>
  </si>
  <si>
    <t>Análise Benner</t>
  </si>
  <si>
    <t>CATARINA FATIMA OLIVEIRA</t>
  </si>
  <si>
    <t>XQUV5U</t>
  </si>
  <si>
    <t>RAIMUNDA JULIA BRANDAO</t>
  </si>
  <si>
    <t>Raimunda Julia de Freitas Brandao</t>
  </si>
  <si>
    <t>Pnr já existente. A duplicidade de rloc é permitida apenas 6 meses após o último pnr emitido</t>
  </si>
  <si>
    <t>Campo RLOC</t>
  </si>
  <si>
    <t>5BOOFQ</t>
  </si>
  <si>
    <t>SERGIO HARUO KAWAMATA</t>
  </si>
  <si>
    <t>Patricia Pinato Ferreira Lima</t>
  </si>
  <si>
    <t>EMERGENCIAL TKT 563982</t>
  </si>
  <si>
    <t>Bat Souza Cruz</t>
  </si>
  <si>
    <t>Grande Hotel Paranavai</t>
  </si>
  <si>
    <t>atendimento emergencial tkt 563982</t>
  </si>
  <si>
    <t>5GIAFM</t>
  </si>
  <si>
    <t>EDER GALVAO</t>
  </si>
  <si>
    <t>Alexandre Fernando Papa</t>
  </si>
  <si>
    <t>Morangos Hotel</t>
  </si>
  <si>
    <t>UDXTET</t>
  </si>
  <si>
    <t>MARTINS/ISRAEL MAURICIO</t>
  </si>
  <si>
    <t>WS</t>
  </si>
  <si>
    <t>FGFSIG</t>
  </si>
  <si>
    <t>ON LINE</t>
  </si>
  <si>
    <t>Glory</t>
  </si>
  <si>
    <t>Gol Linhas Aereas</t>
  </si>
  <si>
    <t>Reserva importada por HubTravel</t>
  </si>
  <si>
    <t xml:space="preserve">Centro de custo não preenchido! (ACC01) Matrícula não preenchida! (ACC01) Informação referencial 2 não preenchida! (ACC01) Projeto não preenchido! </t>
  </si>
  <si>
    <t>AJXNWQT</t>
  </si>
  <si>
    <t>LIMA/FABIO BARBOSA</t>
  </si>
  <si>
    <t>AJXNWQ</t>
  </si>
  <si>
    <t>Grand Mercure Brasilia Eixo Monumental</t>
  </si>
  <si>
    <t>Matrícula não preenchida! (ACC01)</t>
  </si>
  <si>
    <t>FQQARC</t>
  </si>
  <si>
    <t>KIEVITSBOSCH VIEIRA/THAIS KIEVITSBOSCH</t>
  </si>
  <si>
    <t xml:space="preserve"> FQQARC</t>
  </si>
  <si>
    <t>Elanco - Morumbi</t>
  </si>
  <si>
    <t>Finalidade não preenchida! (ACC01)</t>
  </si>
  <si>
    <t>FAKDZZC</t>
  </si>
  <si>
    <t>DI SERIO/RICARDO MARTINI MR</t>
  </si>
  <si>
    <t>FAKDZZ</t>
  </si>
  <si>
    <t>CPT</t>
  </si>
  <si>
    <t>Ses Dth</t>
  </si>
  <si>
    <t>Centro de custo não preenchido! (ACC01) Empenho/departamento não preenchido! (ACC01) Matrícula não preenchida! (ACC01)</t>
  </si>
  <si>
    <t>MTEZKG</t>
  </si>
  <si>
    <t>SERPA/DANIELLE RODRIGUES CHIC</t>
  </si>
  <si>
    <t>Flavia Constanzi do Nascimento</t>
  </si>
  <si>
    <t>Cartão AMEX</t>
  </si>
  <si>
    <t>Adidas do Brasil Ltda</t>
  </si>
  <si>
    <t>Verificação de bilhetes: Bilhete 2971270833 já sendo utilizado para este fornecedor.</t>
  </si>
  <si>
    <t>GRUPO KONTIK</t>
  </si>
  <si>
    <t>LA9575542VFFO</t>
  </si>
  <si>
    <t>Hiroyama/Rodrigo</t>
  </si>
  <si>
    <t>Kontrip</t>
  </si>
  <si>
    <t>Tap Air Portugal</t>
  </si>
  <si>
    <t>obs</t>
  </si>
  <si>
    <t>KONTRIP VIAGENS</t>
  </si>
  <si>
    <t>YINS5C</t>
  </si>
  <si>
    <t>Boelter/Joel</t>
  </si>
  <si>
    <t>Felice Automoveis Ltda</t>
  </si>
  <si>
    <t>SP4F5K</t>
  </si>
  <si>
    <t>SANTOS/SUELLEN</t>
  </si>
  <si>
    <t>M3. Business Group Ltda</t>
  </si>
  <si>
    <t>VMYRHG</t>
  </si>
  <si>
    <t>VALENTE/KEILA</t>
  </si>
  <si>
    <t>LLL72T</t>
  </si>
  <si>
    <t>OLIVEIRA/ADRIANA</t>
  </si>
  <si>
    <t>YPRQYN</t>
  </si>
  <si>
    <t>Borba/Felipe</t>
  </si>
  <si>
    <t>Galera Gaming Jogos Eletronicos</t>
  </si>
  <si>
    <t>BPP6HH</t>
  </si>
  <si>
    <t>Alexandre Frosini Evangelista/Carlos</t>
  </si>
  <si>
    <t>Associacao Brasileira de Geracao Distribuida - Abgd</t>
  </si>
  <si>
    <t>KQRSAC</t>
  </si>
  <si>
    <t>Sampaio/Bergsan</t>
  </si>
  <si>
    <t>Ntsec - Network Security</t>
  </si>
  <si>
    <t>IRPIKD</t>
  </si>
  <si>
    <t>YOVNRQ</t>
  </si>
  <si>
    <t>ALMEIDA/LUIZ</t>
  </si>
  <si>
    <t>S</t>
  </si>
  <si>
    <t>Araforros Ind e Comercio de Perfilados Ltda Em Recuperacao Judicial</t>
  </si>
  <si>
    <t>Validação do documento: Valor dever ser maior que zero !</t>
  </si>
  <si>
    <t>EFCSHY</t>
  </si>
  <si>
    <t>ROGERIO DE FRANÇA/PAULO</t>
  </si>
  <si>
    <t>Mei Instalacao Industrial Ltda</t>
  </si>
  <si>
    <t>NRFVAS</t>
  </si>
  <si>
    <t>Cardoso/Felipe</t>
  </si>
  <si>
    <t>Kontrip - Vendas Cartao de Credito</t>
  </si>
  <si>
    <t>obsCancelamento VOID do pax FELIPE CARDOSO</t>
  </si>
  <si>
    <t>Verificação de bilhetes: Bilhete 2243683469 já sendo utilizado para este fornecedor.</t>
  </si>
  <si>
    <t>CME1UD</t>
  </si>
  <si>
    <t>MARIO MOUTINHO/LUIZ</t>
  </si>
  <si>
    <t>WAQULI</t>
  </si>
  <si>
    <t>Santos Junior/Roberto</t>
  </si>
  <si>
    <t>Memora</t>
  </si>
  <si>
    <t>UHQOPY</t>
  </si>
  <si>
    <t>Powell/Alexandre</t>
  </si>
  <si>
    <t>Powell Consultoria</t>
  </si>
  <si>
    <t>Verificação de bilhetes: Bilhete 2244375759 já sendo utilizado para este fornecedor.</t>
  </si>
  <si>
    <t>LA9579303WVLK</t>
  </si>
  <si>
    <t>KERTZMAN/IVAN</t>
  </si>
  <si>
    <t>Imadec</t>
  </si>
  <si>
    <t>Não foi possível encontrar configuração válida para Administradora de código 1 e Data Emissão 06/08/2025</t>
  </si>
  <si>
    <t>LA9578941SQLG</t>
  </si>
  <si>
    <t>Elizabeth Guilarte/Dayana</t>
  </si>
  <si>
    <t>Zubale Brasil Tecnologia Ltda.</t>
  </si>
  <si>
    <t>LA9578787ETLE</t>
  </si>
  <si>
    <t>XNK8WT</t>
  </si>
  <si>
    <t>SILVA/ABEL</t>
  </si>
  <si>
    <t>Topocart Topografia Engenharia e Aerolevantamentos</t>
  </si>
  <si>
    <t>RQYD9H</t>
  </si>
  <si>
    <t>Leguizamón/Iolanda</t>
  </si>
  <si>
    <t>Iolanda de Almeida Leguizamon Ltda</t>
  </si>
  <si>
    <t>Leguizamón/Jorge</t>
  </si>
  <si>
    <t>YM1U2G</t>
  </si>
  <si>
    <t>ESTEVAO PERDIGAO DE MIRANDA/LUIZ</t>
  </si>
  <si>
    <t>QIGHPS</t>
  </si>
  <si>
    <t>FERREIRA/ISABELLE</t>
  </si>
  <si>
    <t>Tailler</t>
  </si>
  <si>
    <t>YJD2PC</t>
  </si>
  <si>
    <t>PLKSQW</t>
  </si>
  <si>
    <t>ELIZABETH SILVA</t>
  </si>
  <si>
    <t>II9WRC</t>
  </si>
  <si>
    <t>EMILIO BRANDAO DE ARAUJO/CARLOS</t>
  </si>
  <si>
    <t>Conorte Servicos Industriais Ltda</t>
  </si>
  <si>
    <t>MQU7YH01</t>
  </si>
  <si>
    <t>GONÇALVES/GUSTAVO</t>
  </si>
  <si>
    <t>?</t>
  </si>
  <si>
    <t>Associacao Colo de Deus e Santissima Virgem (a.c.d.s.v)</t>
  </si>
  <si>
    <t xml:space="preserve"> Módulo Operações    -&gt; Configurações      -&gt; Configurações do sistema turismo        -&gt; Importação das vendas          -&gt; Entradas/Saídas  Para o </t>
  </si>
  <si>
    <t>Forma PG. e REC.</t>
  </si>
  <si>
    <t>OMQC5Q</t>
  </si>
  <si>
    <t>ANA PAULA NERI</t>
  </si>
  <si>
    <t>Tivita Tecnologia E Servicos Ltda</t>
  </si>
  <si>
    <t xml:space="preserve">35Ocorreu a seguinte exceção ao gerar a ordem de venda: Ocorreu a seguinte exceção ao inserir o item da ordem de venda:  Faltou informar rateio de </t>
  </si>
  <si>
    <t>IMMTNW</t>
  </si>
  <si>
    <t>Ribeiro Gomes Amorim/Fernanda</t>
  </si>
  <si>
    <t>Vpr Consultoria, Eventos, Servicos e Treinamentos Ltda</t>
  </si>
  <si>
    <t>LN5PJQ</t>
  </si>
  <si>
    <t>PROENÇA/JOSE</t>
  </si>
  <si>
    <t>TE2DPR</t>
  </si>
  <si>
    <t>Ferrari/Vinicius</t>
  </si>
  <si>
    <t>Neurox</t>
  </si>
  <si>
    <t>NQUL5E</t>
  </si>
  <si>
    <t>de Aguiar Ribeiro/Gustavo</t>
  </si>
  <si>
    <t>Tributo Devido Contabilidade e Assessoria Tributaria Ltda</t>
  </si>
  <si>
    <t>BRANDÃO MAURICIO/Renata</t>
  </si>
  <si>
    <t>Gustavo Mauricio Ribeiro/Luiz</t>
  </si>
  <si>
    <t>LA9579834VCKM</t>
  </si>
  <si>
    <t>TAIRA/PAULA</t>
  </si>
  <si>
    <t>Pailon Comunicacao Visual Ltda</t>
  </si>
  <si>
    <t>LI PUMA JUNIOR/MICHELE</t>
  </si>
  <si>
    <t>SANTOS/MARIANA</t>
  </si>
  <si>
    <t>ZIUBHS</t>
  </si>
  <si>
    <t>NOGUEIRA MARINI/FABRIZIO</t>
  </si>
  <si>
    <t>Fundamentos Sistemas</t>
  </si>
  <si>
    <t>ONT1UQ</t>
  </si>
  <si>
    <t>SILVEIRA/VINICIUS</t>
  </si>
  <si>
    <t>MARQUES/JONNATA</t>
  </si>
  <si>
    <t>SILVA/SUELLEN</t>
  </si>
  <si>
    <t>SANTOS/MARIA</t>
  </si>
  <si>
    <t>WRYNTH</t>
  </si>
  <si>
    <t>Barros da Costa/Marília</t>
  </si>
  <si>
    <t>JIYUSM</t>
  </si>
  <si>
    <t>VICENTE DA SILVA/ELIZABETE</t>
  </si>
  <si>
    <t>Nayane</t>
  </si>
  <si>
    <t>LA9574257CKOF</t>
  </si>
  <si>
    <t>Guerreiro Mason/Ricardo</t>
  </si>
  <si>
    <t>Fortymil Industria de Plasticos Ltda</t>
  </si>
  <si>
    <t>LA9578799IXZM</t>
  </si>
  <si>
    <t>Castelo Branco Mesquita/Ilanna</t>
  </si>
  <si>
    <t>Certare Engenharia e Consultoria</t>
  </si>
  <si>
    <t>AEQMHY</t>
  </si>
  <si>
    <t>FERNANDO LEITE</t>
  </si>
  <si>
    <t>Juliana Cardoso</t>
  </si>
  <si>
    <t>GILSON SILVA</t>
  </si>
  <si>
    <t>FLAVIO SANTIAGO RAMOS</t>
  </si>
  <si>
    <t>GABRIEL ARMOND DE OLIVEIRA</t>
  </si>
  <si>
    <t>JOSE LUIS BRITO DE OLIVEIRA</t>
  </si>
  <si>
    <t>KTWYDMT</t>
  </si>
  <si>
    <t>GUALBINO/DANILO EDSON MR</t>
  </si>
  <si>
    <t>Karen Aparecida Ferreira</t>
  </si>
  <si>
    <t>KTWYDM</t>
  </si>
  <si>
    <t>Honeywell</t>
  </si>
  <si>
    <t>QHUXOS</t>
  </si>
  <si>
    <t>GOMEZ JORDAN/MATEO</t>
  </si>
  <si>
    <t>Itamar de Souza</t>
  </si>
  <si>
    <t>TKT</t>
  </si>
  <si>
    <t>Este cliente não possui permissão para usar este tipo de pagamento e recebimento para este produto.</t>
  </si>
  <si>
    <t>IVMQBNC</t>
  </si>
  <si>
    <t>GOMES SR/FABRICIO CAVALCANTI MR</t>
  </si>
  <si>
    <t>Eliane da Silva Souza Paula</t>
  </si>
  <si>
    <t>IVMQBN</t>
  </si>
  <si>
    <t>POA</t>
  </si>
  <si>
    <t>Localiza - Br - Rs - Porto Alegre - Sao Joao</t>
  </si>
  <si>
    <t>Centro de custo não preenchido! (ACC01)</t>
  </si>
  <si>
    <t>ISLQTUC</t>
  </si>
  <si>
    <t>ROCHA/CLEBER DOS SANTOS SIR</t>
  </si>
  <si>
    <t>ISLQTU</t>
  </si>
  <si>
    <t>FOR</t>
  </si>
  <si>
    <t>Honeywell Industria de Tecnologia - Itajuba - Mg</t>
  </si>
  <si>
    <t>IRMFBJC</t>
  </si>
  <si>
    <t>IRMFBJ</t>
  </si>
  <si>
    <t>FLN</t>
  </si>
  <si>
    <t>YIHDQEC</t>
  </si>
  <si>
    <t>SANTOS/AILTON RIBEIRO DOS MR</t>
  </si>
  <si>
    <t>YIHDQE</t>
  </si>
  <si>
    <t>CWB</t>
  </si>
  <si>
    <t>CKJQDBC</t>
  </si>
  <si>
    <t>FALASQUI/LUIS EDUARDO MR</t>
  </si>
  <si>
    <t>CKJQDB</t>
  </si>
  <si>
    <t>MAO</t>
  </si>
  <si>
    <t>KYNHEFC</t>
  </si>
  <si>
    <t>SANTOS I/PATRICIA MS</t>
  </si>
  <si>
    <t>KYNHEF</t>
  </si>
  <si>
    <t>GRU</t>
  </si>
  <si>
    <t>YQFUMC</t>
  </si>
  <si>
    <t>GRACE CHINEN HIGA</t>
  </si>
  <si>
    <t>Gover</t>
  </si>
  <si>
    <t>Rps</t>
  </si>
  <si>
    <t>Reserva importada do sistema Gover. Id: 4575595</t>
  </si>
  <si>
    <t>8914890/6016184" possui uma transação de cartão efetivada</t>
  </si>
  <si>
    <t>Financeiro Conciliado</t>
  </si>
  <si>
    <t>Processo Operacional</t>
  </si>
  <si>
    <t>ADRIANA BRENTANO</t>
  </si>
  <si>
    <t>Pra</t>
  </si>
  <si>
    <t>Cozzy Suites Paraiso Hotel</t>
  </si>
  <si>
    <t>Reserva importada do sistema Gover. Id: 4401013</t>
  </si>
  <si>
    <t>FLÁVIA VAZ DE SOUZA</t>
  </si>
  <si>
    <t>Pagamento direto</t>
  </si>
  <si>
    <t>Travel Inn Wise Indaiatuba</t>
  </si>
  <si>
    <t>Reserva importada do sistema Gover. Id: 4573812</t>
  </si>
  <si>
    <t>Sistêmico</t>
  </si>
  <si>
    <t>5GK2HE</t>
  </si>
  <si>
    <t>FREDERICO GALINDO</t>
  </si>
  <si>
    <t>Tms</t>
  </si>
  <si>
    <t>Fortaleza / FOR</t>
  </si>
  <si>
    <t>Mars Brasil - Guararema</t>
  </si>
  <si>
    <t>Reserva importada do Sistema TMS. OS: 7985</t>
  </si>
  <si>
    <t>5GMPME</t>
  </si>
  <si>
    <t>LUÍSA MARIA GOMEZ SUAREZ</t>
  </si>
  <si>
    <t>Ana Cristina Neto de Almeida</t>
  </si>
  <si>
    <t>Lojas Renner</t>
  </si>
  <si>
    <t>Reserva importada do Sistema Lemontech. Solicitação: 17232644</t>
  </si>
  <si>
    <t>5F11EU</t>
  </si>
  <si>
    <t>PEDOT/RENAN</t>
  </si>
  <si>
    <t>Hiran Ricardo da Silva Ramos</t>
  </si>
  <si>
    <t>Reserva importada do Sistema Lemontech. Solicitação: 17072029</t>
  </si>
  <si>
    <t>5FXADU</t>
  </si>
  <si>
    <t>MELLO DAMBROS/KAREN</t>
  </si>
  <si>
    <t>Reserva importada do Sistema Lemontech. Solicitação: 17072037</t>
  </si>
  <si>
    <t>5FNFJX</t>
  </si>
  <si>
    <t>MORASTONI/SHARI</t>
  </si>
  <si>
    <t>Reserva importada do Sistema Lemontech. Solicitação: 17088272</t>
  </si>
  <si>
    <t>5GDH52</t>
  </si>
  <si>
    <t>AMANDA BATISTA</t>
  </si>
  <si>
    <t>Reserva importada do Sistema Lemontech. Solicitação: 17218825</t>
  </si>
  <si>
    <t>5GFH5W</t>
  </si>
  <si>
    <t>5GCE9D</t>
  </si>
  <si>
    <t>DA SILVA/MARCIA</t>
  </si>
  <si>
    <t>Reserva importada do Sistema Lemontech. Solicitação: 17236939</t>
  </si>
  <si>
    <t>5G4DNC</t>
  </si>
  <si>
    <t>5G82H2</t>
  </si>
  <si>
    <t>MARIA JULIA MATIAS</t>
  </si>
  <si>
    <t>Youcom</t>
  </si>
  <si>
    <t>Reserva importada do Sistema Lemontech. Solicitação: 17226747</t>
  </si>
  <si>
    <t>5GOWHX</t>
  </si>
  <si>
    <t>5G5TGS</t>
  </si>
  <si>
    <t>BRIETZIG/STEFANI</t>
  </si>
  <si>
    <t>Reserva importada do Sistema Lemontech. Solicitação: 17205320</t>
  </si>
  <si>
    <t>5GETBV</t>
  </si>
  <si>
    <t>VIEIRA FERNANDES/LILIAM</t>
  </si>
  <si>
    <t>Ronaldo Pereira Muzel</t>
  </si>
  <si>
    <t>Reserva importada do Sistema Lemontech. Solicitação: 17240154</t>
  </si>
  <si>
    <t>5GTHM2</t>
  </si>
  <si>
    <t>AMANDA SANTOS COELHO</t>
  </si>
  <si>
    <t>Ultragaz-matriz</t>
  </si>
  <si>
    <t>Reserva importada do Sistema TMS. OS: 76208</t>
  </si>
  <si>
    <t>5GRBZS</t>
  </si>
  <si>
    <t>MAYARA SKRABA</t>
  </si>
  <si>
    <t>Reserva importada do Sistema TMS. OS: 76118</t>
  </si>
  <si>
    <t>5GS5K3</t>
  </si>
  <si>
    <t>NILSON CESAR MONTEIRO NOGUEIRA</t>
  </si>
  <si>
    <t>Tamara Michels Behn</t>
  </si>
  <si>
    <t>Reserva importada do Sistema TMS. OS: 76308</t>
  </si>
  <si>
    <t>5GEG8D</t>
  </si>
  <si>
    <t>MAURICIO CESAR LADEIRA</t>
  </si>
  <si>
    <t>Reserva importada do Sistema TMS. OS: 76307</t>
  </si>
  <si>
    <t>5FQTV2</t>
  </si>
  <si>
    <t>FERNANDO OLIVEIRA CORREA</t>
  </si>
  <si>
    <t>Reserva importada do Sistema TMS. OS: 75371</t>
  </si>
  <si>
    <t>5F8FVO</t>
  </si>
  <si>
    <t>AELIO GOMES REGO</t>
  </si>
  <si>
    <t>Reserva importada do Sistema TMS. OS: 75571</t>
  </si>
  <si>
    <t>5GVQEX</t>
  </si>
  <si>
    <t>NEIMAR DOS SANTOS</t>
  </si>
  <si>
    <t>Reserva importada do Sistema TMS. OS: 76179</t>
  </si>
  <si>
    <t>5FTDL7</t>
  </si>
  <si>
    <t>RAFAEL YANES SOARES</t>
  </si>
  <si>
    <t>Tfsports Eventos Esportivos Ltda</t>
  </si>
  <si>
    <t>Hf Fenix Lisboa</t>
  </si>
  <si>
    <t>Reserva importada do Sistema TMS. OS: 296</t>
  </si>
  <si>
    <t xml:space="preserve">Não foi possível encontrar um contrato válido para o fornecedor 64482 (Código fornecedor) </t>
  </si>
  <si>
    <t>4U61T7.F</t>
  </si>
  <si>
    <t>5GYQLX</t>
  </si>
  <si>
    <t>VINICIUS SILVA</t>
  </si>
  <si>
    <t>Diogo Dantas Gomes</t>
  </si>
  <si>
    <t>Track e Field Co Sa Matriz</t>
  </si>
  <si>
    <t>Reserva importada do Sistema TMS. OS: 4979</t>
  </si>
  <si>
    <t>5G2YMX</t>
  </si>
  <si>
    <t>BIANCA RICHETTO ZEBER</t>
  </si>
  <si>
    <t>Reserva importada do Sistema TMS. OS: 574</t>
  </si>
  <si>
    <t>5G6GID</t>
  </si>
  <si>
    <t>ED CARLOS FRANCISCO</t>
  </si>
  <si>
    <t>Raissa Iorio Cestari</t>
  </si>
  <si>
    <t>Reserva importada do Sistema TMS. OS: 76303</t>
  </si>
  <si>
    <t>5G75I3</t>
  </si>
  <si>
    <t>RAFAEL DE SOUSA COSTA</t>
  </si>
  <si>
    <t>Reserva importada do Sistema TMS. OS: 76302</t>
  </si>
  <si>
    <t>5G5XKC</t>
  </si>
  <si>
    <t>ROBSON DE CARVALHO</t>
  </si>
  <si>
    <t>Porto Alegre / POA</t>
  </si>
  <si>
    <t>Neogas do Brasil Gas Natural Comprimido S.a.</t>
  </si>
  <si>
    <t>Reserva importada do Sistema TMS. OS: 76371</t>
  </si>
  <si>
    <t>5GQD83</t>
  </si>
  <si>
    <t>CLEBER PESSANHA GOMES</t>
  </si>
  <si>
    <t>Campos dos Goytacazes / CAW</t>
  </si>
  <si>
    <t>Reserva importada do Sistema TMS. OS: 76347</t>
  </si>
  <si>
    <t>5FSVRY</t>
  </si>
  <si>
    <t>KAMILA OSOWSKI TOMAZI</t>
  </si>
  <si>
    <t>Palhoca / FLN</t>
  </si>
  <si>
    <t>Reserva importada do Sistema TMS. OS: 75692</t>
  </si>
  <si>
    <t>5EYH75</t>
  </si>
  <si>
    <t>CARLOS VINICIUS SALLES COSTA</t>
  </si>
  <si>
    <t>Reserva importada do Sistema TMS. OS: 74580</t>
  </si>
  <si>
    <t>5G105M</t>
  </si>
  <si>
    <t>Reserva importada do Sistema TMS. OS: 76097</t>
  </si>
  <si>
    <t>5G7MTB</t>
  </si>
  <si>
    <t>JOAO CARLOS GOMES</t>
  </si>
  <si>
    <t>Reserva importada do Sistema TMS. OS: 76076</t>
  </si>
  <si>
    <t>5G7WGM</t>
  </si>
  <si>
    <t>VICTOR DE OLIVEIRA</t>
  </si>
  <si>
    <t>Reserva importada do Sistema TMS. OS: 75930</t>
  </si>
  <si>
    <t>5GF25B</t>
  </si>
  <si>
    <t>SARYANE PALLADINO ABREU</t>
  </si>
  <si>
    <t>Maria Gabriela Stella Azevedo Neves</t>
  </si>
  <si>
    <t>Bahiana Distribuidora de Gas</t>
  </si>
  <si>
    <t>Reserva importada do Sistema TMS. OS: 75959</t>
  </si>
  <si>
    <t>5GBQZW</t>
  </si>
  <si>
    <t>WAGNER DA CONCEICAO</t>
  </si>
  <si>
    <t>Reserva importada do Sistema TMS. OS: 76060</t>
  </si>
  <si>
    <t>5FHG4I</t>
  </si>
  <si>
    <t>LUCIANO LAGE DE SOUZA</t>
  </si>
  <si>
    <t>Maua / SAO</t>
  </si>
  <si>
    <t>Reserva importada do Sistema TMS. OS: 75858</t>
  </si>
  <si>
    <t>5GPAYD</t>
  </si>
  <si>
    <t>JOSÉ HAROLDO SCIPIAO</t>
  </si>
  <si>
    <t>Salvador / SSA</t>
  </si>
  <si>
    <t>Hpe Automotores - Sao Paulo</t>
  </si>
  <si>
    <t>Reserva importada do Sistema TMS. OS: 5306</t>
  </si>
  <si>
    <t>5FBVWK</t>
  </si>
  <si>
    <t>CATIA BAZARIN</t>
  </si>
  <si>
    <t>Claudia Lucia Stella</t>
  </si>
  <si>
    <t>Epson</t>
  </si>
  <si>
    <t>Reserva importada do Sistema TMS. OS: 3457</t>
  </si>
  <si>
    <t>5GK95D</t>
  </si>
  <si>
    <t>GIOVANI RAMOS</t>
  </si>
  <si>
    <t>Recife / REC</t>
  </si>
  <si>
    <t>Reserva importada do Sistema TMS. OS: 3498</t>
  </si>
  <si>
    <t>FLCSHT1</t>
  </si>
  <si>
    <t>TARCISIO SOARES</t>
  </si>
  <si>
    <t>Airbus</t>
  </si>
  <si>
    <t>Reserva importada do Sistema TMS. OS: 3468</t>
  </si>
  <si>
    <t>Tarifa mínima não preenchida! (ACC02)</t>
  </si>
  <si>
    <t>Tarifa mínima</t>
  </si>
  <si>
    <t>5GPZPM</t>
  </si>
  <si>
    <t>FILIPE LEMOS</t>
  </si>
  <si>
    <t>Mariane Goncalves dos Santos</t>
  </si>
  <si>
    <t>Reserva importada do Sistema TMS. OS: 3425</t>
  </si>
  <si>
    <t>5FH818</t>
  </si>
  <si>
    <t>RAISSA COSTA</t>
  </si>
  <si>
    <t>Deloitte Consultores - Recife</t>
  </si>
  <si>
    <t>Charlie Nyc Berrini Residence - Inativo</t>
  </si>
  <si>
    <t>Reserva importada do Sistema TMS. OS: 110580</t>
  </si>
  <si>
    <t xml:space="preserve">Não foi possível encontrar um contrato válido para o fornecedor 52307 (Código fornecedor) </t>
  </si>
  <si>
    <t>5ENU9L</t>
  </si>
  <si>
    <t>DANIEL RODRIGUES</t>
  </si>
  <si>
    <t>Deloitte Consultores - Sao Paulo</t>
  </si>
  <si>
    <t>Reserva importada do Sistema TMS. OS: 110165</t>
  </si>
  <si>
    <t>5EQI8Y</t>
  </si>
  <si>
    <t>ROGERIO PANESSA</t>
  </si>
  <si>
    <t>Catia Leite Oliveira</t>
  </si>
  <si>
    <t>Deloitte Outsourcing - Sao Paulo</t>
  </si>
  <si>
    <t>Hyatt Place San Jose Downtown</t>
  </si>
  <si>
    <t>Reserva importada do Sistema TMS. OS: 109945</t>
  </si>
  <si>
    <t xml:space="preserve">Não foi possível encontrar um contrato válido para o fornecedor 52355 (Código fornecedor) </t>
  </si>
  <si>
    <t>5EVKI6</t>
  </si>
  <si>
    <t>Reserva importada do Sistema TMS. OS: 109907</t>
  </si>
  <si>
    <t>5GBUGC</t>
  </si>
  <si>
    <t>MARCELO ARAUJO</t>
  </si>
  <si>
    <t>Belém / PA, Brasil (BEL)</t>
  </si>
  <si>
    <t>Deloitte Assessoria - Sao Paulo</t>
  </si>
  <si>
    <t>Reserva importada do Sistema TMS. OS: 110884</t>
  </si>
  <si>
    <t>5F5RKE</t>
  </si>
  <si>
    <t>NATALIA ALICE BASSO CANDIDO</t>
  </si>
  <si>
    <t>Htb Engenharia e Construcao</t>
  </si>
  <si>
    <t>Itamarati Hotel</t>
  </si>
  <si>
    <t>Reserva importada do Sistema TMS. OS: 45950</t>
  </si>
  <si>
    <t xml:space="preserve">Não foi possível encontrar um contrato válido para o fornecedor 67595 (Código fornecedor) </t>
  </si>
  <si>
    <t>5GV6FZ</t>
  </si>
  <si>
    <t>MARIA SILVA</t>
  </si>
  <si>
    <t>Robson Amaro Santos da Silva</t>
  </si>
  <si>
    <t>Kpmg Assessores</t>
  </si>
  <si>
    <t>Reserva importada do Sistema TMS. OS: 224772</t>
  </si>
  <si>
    <t>5G56FZ</t>
  </si>
  <si>
    <t>FERNANDA FARIA</t>
  </si>
  <si>
    <t>Reserva importada do Sistema TMS. OS: 224770</t>
  </si>
  <si>
    <t>5GQ721</t>
  </si>
  <si>
    <t>RICARDO ANTUNES</t>
  </si>
  <si>
    <t>Reserva importada do Sistema TMS. OS: 224777</t>
  </si>
  <si>
    <t>5GU1L3</t>
  </si>
  <si>
    <t>LUIZ JUNIOR</t>
  </si>
  <si>
    <t>Eduardo Vinicius Souto Longo</t>
  </si>
  <si>
    <t>Maringá / PR, Brasil (MGF)</t>
  </si>
  <si>
    <t>Kpmg Consultoria</t>
  </si>
  <si>
    <t>Reserva importada do Sistema TMS. OS: 225137</t>
  </si>
  <si>
    <t>5FAIHL</t>
  </si>
  <si>
    <t>FABIO GOULARTE</t>
  </si>
  <si>
    <t>Valeria Bottino da Silva</t>
  </si>
  <si>
    <t>Kpmg</t>
  </si>
  <si>
    <t>Mirante Hotel</t>
  </si>
  <si>
    <t>Reserva importada do Sistema TMS. OS: 224403</t>
  </si>
  <si>
    <t>5GZU1D</t>
  </si>
  <si>
    <t>ELIANE ALMEIDA</t>
  </si>
  <si>
    <t>Donizete Alves de Souza</t>
  </si>
  <si>
    <t>Reserva importada do Sistema TMS. OS: 225008</t>
  </si>
  <si>
    <t>OCGMIA1</t>
  </si>
  <si>
    <t>DANIEL CIFU</t>
  </si>
  <si>
    <t>Kpmg Structured</t>
  </si>
  <si>
    <t>Reserva importada do Sistema TMS. OS: 224799</t>
  </si>
  <si>
    <t>Verificação de bilhetes: Bilhete 2971569341 já sendo utilizado para este fornecedor.</t>
  </si>
  <si>
    <t>5FKQ75</t>
  </si>
  <si>
    <t>PIYALI CHAUDHURY</t>
  </si>
  <si>
    <t>Reserva importada do Sistema TMS. OS: 223634</t>
  </si>
  <si>
    <t>DJLL5J</t>
  </si>
  <si>
    <t>GAMALIEL DOS SANTOS LOPES</t>
  </si>
  <si>
    <t>Emilia Alejandra Pacheco Maraboli</t>
  </si>
  <si>
    <t>Quantiq</t>
  </si>
  <si>
    <t>Reserva importada do sistema Gover. Id: 4577469</t>
  </si>
  <si>
    <t>Juliano César Lima Corradi</t>
  </si>
  <si>
    <t>Atlas Copco Brasil Ltda</t>
  </si>
  <si>
    <t>Reserva importada do sistema Gover. Id: 4578096</t>
  </si>
  <si>
    <t>MGJKWB</t>
  </si>
  <si>
    <t>Fernando Guilhem Silva</t>
  </si>
  <si>
    <t>Juliana dos Santos Pinto</t>
  </si>
  <si>
    <t>Atos Brasil Ltda</t>
  </si>
  <si>
    <t>Reserva importada do sistema Gover. Id: 4575654</t>
  </si>
  <si>
    <t>AMPGGF</t>
  </si>
  <si>
    <t>PEREIRA/JOSE LUIZ CARDOSO</t>
  </si>
  <si>
    <t>Bosch - Campinas</t>
  </si>
  <si>
    <t>Lufthansa</t>
  </si>
  <si>
    <t>Centro de custo não preenchido! (ACC01) Matrícula não preenchida! (ACC01)</t>
  </si>
  <si>
    <t>MWUGLA</t>
  </si>
  <si>
    <t>NORONHA/TIAGO RODRIGUES</t>
  </si>
  <si>
    <t>CT</t>
  </si>
  <si>
    <t>NMHTKL</t>
  </si>
  <si>
    <t>Robert Bosch Limitada - 9085</t>
  </si>
  <si>
    <t>Tarifa máxima não preenchida! (ACC01)</t>
  </si>
  <si>
    <t>HCPHKQ</t>
  </si>
  <si>
    <t>VALERIO/MARCELO FIGUEIREDO</t>
  </si>
  <si>
    <t>AVXEAQ</t>
  </si>
  <si>
    <t>MPHMWD</t>
  </si>
  <si>
    <t>OLIVEIRA/THIAGO MENEZES DE</t>
  </si>
  <si>
    <t>Cap1 - Planta Campinas Bosch - 9080</t>
  </si>
  <si>
    <t>DSUOAG</t>
  </si>
  <si>
    <t>GALLO JUNIOR/ADEMAR</t>
  </si>
  <si>
    <t>BHVRVC</t>
  </si>
  <si>
    <t>Robert Bosch Limitada - 908a</t>
  </si>
  <si>
    <t>KKQFSJ</t>
  </si>
  <si>
    <t>SANTOS/WILLIAN MATHEUS MENGUI</t>
  </si>
  <si>
    <t>Clayton Alves de Rezende</t>
  </si>
  <si>
    <t>Qatar Airways</t>
  </si>
  <si>
    <t>Falta informar o status no trecho da accounting aérea (Bilhete: 5083780000)</t>
  </si>
  <si>
    <t>Atualização de Trechos</t>
  </si>
  <si>
    <t>YMJMGU</t>
  </si>
  <si>
    <t>MATTOS/LEONARDO LEITE DE</t>
  </si>
  <si>
    <t>Beatrys Ferreira Rocha</t>
  </si>
  <si>
    <t>IFRUUC</t>
  </si>
  <si>
    <t>Ctp - Planta Curitiba</t>
  </si>
  <si>
    <t>Verificação de bilhetes: Bilhete 2971622753 já sendo utilizado para este fornecedor.</t>
  </si>
  <si>
    <t>KXIPTN</t>
  </si>
  <si>
    <t>MENDONCA/WESLEY DE MELO</t>
  </si>
  <si>
    <t>Verificação de bilhetes: Bilhete 2971622833 já sendo utilizado para este fornecedor.</t>
  </si>
  <si>
    <t>JHJTHD</t>
  </si>
  <si>
    <t>Luciano FUSARO</t>
  </si>
  <si>
    <t>Firmenich</t>
  </si>
  <si>
    <t>Reserva importada do sistema Gover. Id: 4576868</t>
  </si>
  <si>
    <t>Livia Kent Paiva</t>
  </si>
  <si>
    <t>Fm Global - Servicos</t>
  </si>
  <si>
    <t>Pousada Mirante de Minas Francisca</t>
  </si>
  <si>
    <t>Reserva importada do sistema Gover. Id: 4577704</t>
  </si>
  <si>
    <t>MYDARET</t>
  </si>
  <si>
    <t>CORDEIRO/PLICIA PINHEIRO MRS</t>
  </si>
  <si>
    <t>Luciene Carvalho Santos</t>
  </si>
  <si>
    <t>MYDARE</t>
  </si>
  <si>
    <t>Citi Executivo Hotel</t>
  </si>
  <si>
    <t>YCHYHF</t>
  </si>
  <si>
    <t>Tiago Caldas</t>
  </si>
  <si>
    <t>Zf do Brasil - Divisao Z</t>
  </si>
  <si>
    <t>Reserva importada do sistema Gover. Id: 4575525</t>
  </si>
  <si>
    <t>Verificação de bilhetes: Bilhete 2971228101 já sendo utilizado para este fornecedor.</t>
  </si>
  <si>
    <t>ASXEDL</t>
  </si>
  <si>
    <t>Claudia Gomes</t>
  </si>
  <si>
    <t>Reserva importada do sistema Gover. Id: 4575483</t>
  </si>
  <si>
    <t>Verificação de bilhetes: Bilhete 2971228100 já sendo utilizado para este fornecedor.</t>
  </si>
  <si>
    <t>B2OQFL</t>
  </si>
  <si>
    <t>Kleiton Aparecido Stoco</t>
  </si>
  <si>
    <t>Wilson Jose Araujo de Gusmao Junior</t>
  </si>
  <si>
    <t>Mobility - Eua - Ex - Detroit - Aeroporto DTW Endereço: DETROIT LOJA AEROPORTO DTW</t>
  </si>
  <si>
    <t>Zf do Brasil - Limeira</t>
  </si>
  <si>
    <t>Reserva importada do sistema Gover. Id: 4565213</t>
  </si>
  <si>
    <t>1680742306COUNT</t>
  </si>
  <si>
    <t>National Car Rental - Flughafen Stuttgart Endereço:  Terminal 3, Ebene 2, 70629 Stuttgart, Alemanha</t>
  </si>
  <si>
    <t>Reserva importada do sistema Gover. Id: 4575831</t>
  </si>
  <si>
    <t>HCHAPH</t>
  </si>
  <si>
    <t>JOSE WILSON FERREIRA</t>
  </si>
  <si>
    <t>Robinson Crusoe</t>
  </si>
  <si>
    <t>Reserva importada do sistema Gover. Id: 4566694</t>
  </si>
  <si>
    <t>Fabio Pires Lana</t>
  </si>
  <si>
    <t>Biomerieux</t>
  </si>
  <si>
    <t>Reserva importada do sistema Gover. Id: 4576453</t>
  </si>
  <si>
    <t>SECJQQ</t>
  </si>
  <si>
    <t>ELIZABETH DANTAS DE SOUZA</t>
  </si>
  <si>
    <t>Reserva importada do sistema Gover. Id: 4575477</t>
  </si>
  <si>
    <t>5418-4</t>
  </si>
  <si>
    <t>CARLOS JOSE FERREIRA</t>
  </si>
  <si>
    <t>Rafaela Leitao Oliveira</t>
  </si>
  <si>
    <t>Movicar Aluguel de Carros - Br - Sc - Chapeco Endereço: Acesso Florenal Ribeiro, 4180</t>
  </si>
  <si>
    <t>Reserva importada do sistema Gover. Id: 4564042</t>
  </si>
  <si>
    <t>RAFAEL LAGE DA SILVA  GUNDINHO</t>
  </si>
  <si>
    <t>Loizy Lima de Oliveira</t>
  </si>
  <si>
    <t>Grupo Cbo</t>
  </si>
  <si>
    <t>Ena</t>
  </si>
  <si>
    <t>Golden Towers Hotel</t>
  </si>
  <si>
    <t>KON-OPE-RIO-PVI-BTC-CBO</t>
  </si>
  <si>
    <t>Reserva importada do sistema Gover. Id: 4578645</t>
  </si>
  <si>
    <t>Ivan de Paula Rigoletto</t>
  </si>
  <si>
    <t>Grupo Cmoc</t>
  </si>
  <si>
    <t>Cmoc - Dom Domenico Rangoni</t>
  </si>
  <si>
    <t>KON-OPE-RIO-PVI-BTC-CMOC</t>
  </si>
  <si>
    <t>Reserva importada do sistema Gover. Id: 4578150</t>
  </si>
  <si>
    <t>Gabriela Comper</t>
  </si>
  <si>
    <t>5FYGNO</t>
  </si>
  <si>
    <t>SERGIO MACHADO</t>
  </si>
  <si>
    <t>Claro Sao Paulo (santo Amaro)</t>
  </si>
  <si>
    <t>Reserva importada do Sistema TMS. OS: 65394</t>
  </si>
  <si>
    <t>5FUG9O</t>
  </si>
  <si>
    <t>RAFAEL DUARTE</t>
  </si>
  <si>
    <t>Reserva importada do Sistema TMS. OS: 64750</t>
  </si>
  <si>
    <t>5FBHLO</t>
  </si>
  <si>
    <t>MARCELO MICHEL FERRO</t>
  </si>
  <si>
    <t>Claro Nxt Telecomunicacoes</t>
  </si>
  <si>
    <t>Reserva importada do Sistema TMS. OS: 60403</t>
  </si>
  <si>
    <t>5F1HON</t>
  </si>
  <si>
    <t>Reserva importada do Sistema TMS. OS: 58141</t>
  </si>
  <si>
    <t>5FYE77</t>
  </si>
  <si>
    <t>FERNANDO VARELLA</t>
  </si>
  <si>
    <t>Braskem - Camacari</t>
  </si>
  <si>
    <t>Reserva importada do Sistema TMS. OS: 10128</t>
  </si>
  <si>
    <t>5GE8OW</t>
  </si>
  <si>
    <t>MARCELO ROCHA</t>
  </si>
  <si>
    <t>Reserva importada do Sistema TMS. OS: 10346</t>
  </si>
  <si>
    <t>5GLYZS</t>
  </si>
  <si>
    <t>MARCELO DOMINGUEZ</t>
  </si>
  <si>
    <t>Reserva importada do Sistema TMS. OS: 10326</t>
  </si>
  <si>
    <t>5F93HI</t>
  </si>
  <si>
    <t>EDUARDA LUDWIG</t>
  </si>
  <si>
    <t>Reserva importada do Sistema TMS. OS: 10081</t>
  </si>
  <si>
    <t>5GUK92</t>
  </si>
  <si>
    <t>MARCELO NEVES</t>
  </si>
  <si>
    <t>ADRIANA MIRANDA COUTINHO</t>
  </si>
  <si>
    <t>Reserva importada do Sistema TMS. OS: 10120</t>
  </si>
  <si>
    <t>5GK8NW</t>
  </si>
  <si>
    <t>RENATO DITOMASO</t>
  </si>
  <si>
    <t>Reserva importada do Sistema TMS. OS: 10119</t>
  </si>
  <si>
    <t>5G6K1W</t>
  </si>
  <si>
    <t>KELVIS FIGUEIREDO</t>
  </si>
  <si>
    <t>Bruna Carlos da Silva</t>
  </si>
  <si>
    <t>Duque de Caxias / RJ, Brasil (QDQ)</t>
  </si>
  <si>
    <t>Reserva importada do Sistema TMS. OS: 10279</t>
  </si>
  <si>
    <t xml:space="preserve">Maira Da Conceição Moraes </t>
  </si>
  <si>
    <t>Hypera S.a.</t>
  </si>
  <si>
    <t>Reserva importada do sistema Gover. Id: 4567637</t>
  </si>
  <si>
    <t>Caique  Nascimento De Araújo</t>
  </si>
  <si>
    <t>Reserva importada do sistema Gover. Id: 4568443</t>
  </si>
  <si>
    <t>Brena Felix Rodrigues</t>
  </si>
  <si>
    <t>Pousada Santo Amaro</t>
  </si>
  <si>
    <t>Reserva importada do sistema Gover. Id: 4576986</t>
  </si>
  <si>
    <t xml:space="preserve">Não foi possível encontrar um contrato válido para o fornecedor 16504 (Código fornecedor) </t>
  </si>
  <si>
    <t>Andrea Camargo Barreto</t>
  </si>
  <si>
    <t>Reserva importada do sistema Gover. Id: 4578702</t>
  </si>
  <si>
    <t>Diego Cardoso Martins</t>
  </si>
  <si>
    <t>Intercement Nacoes Unidas</t>
  </si>
  <si>
    <t>Reserva importada do sistema Gover. Id: 4574989</t>
  </si>
  <si>
    <t>Leandro Pereira de Sousa</t>
  </si>
  <si>
    <t>Reserva importada do sistema Gover. Id: 4576724</t>
  </si>
  <si>
    <t>Adriano Jose da Silva</t>
  </si>
  <si>
    <t>America Palace Hotel - Inativo</t>
  </si>
  <si>
    <t>Reserva importada do sistema Gover. Id: 4576274</t>
  </si>
  <si>
    <t xml:space="preserve">Não foi possível encontrar um contrato válido para o fornecedor 28953 (Código fornecedor) </t>
  </si>
  <si>
    <t>Cesar Francisco Antunes Cavalheiro</t>
  </si>
  <si>
    <t>Reserva importada do sistema Gover. Id: 4576387</t>
  </si>
  <si>
    <t>h4569045</t>
  </si>
  <si>
    <t>Carolina da Silva Corrales</t>
  </si>
  <si>
    <t>Janaina dos Santos Oliveira</t>
  </si>
  <si>
    <t>Samsung Eletronica da Amazonia</t>
  </si>
  <si>
    <t>Reserva importada do sistema Gover. Id: 4569045</t>
  </si>
  <si>
    <t>5GYXL2</t>
  </si>
  <si>
    <t>BIANCA DA SILVA</t>
  </si>
  <si>
    <t>Stella Energia</t>
  </si>
  <si>
    <t>Reserva importada do Sistema TMS. OS: 76266</t>
  </si>
  <si>
    <t>PGU1WV</t>
  </si>
  <si>
    <t>ESTACIO/ANA</t>
  </si>
  <si>
    <t>Tequimar Vdc</t>
  </si>
  <si>
    <t>Reserva importada do Sistema TMS. OS: 16588</t>
  </si>
  <si>
    <t>(ACC Código: 23944862) Esta accounting está conciliada no BSP. Bilhete: 3022436535 *** Venda ficará aguardando intervenção manual. ***</t>
  </si>
  <si>
    <t>Bilhete conciliado</t>
  </si>
  <si>
    <t>Concilização eletrônica Aérea</t>
  </si>
  <si>
    <t>CYUFLYT</t>
  </si>
  <si>
    <t>SOUZA/EDEVALDO OLIVEIRA</t>
  </si>
  <si>
    <t>Vanessa Pereira Ribeiro Carlos</t>
  </si>
  <si>
    <t>TELEFONE</t>
  </si>
  <si>
    <t>Shell</t>
  </si>
  <si>
    <t>AJFHUTT</t>
  </si>
  <si>
    <t>ALVES/RODRIGO</t>
  </si>
  <si>
    <t>EMAIL</t>
  </si>
  <si>
    <t>CXSDMJT</t>
  </si>
  <si>
    <t>WEINBERG/ANDREA</t>
  </si>
  <si>
    <t>JLCPLXT</t>
  </si>
  <si>
    <t>PINTO DA COSTA/CRISTIANO MR</t>
  </si>
  <si>
    <t>GABRIEL ALVES MOURA</t>
  </si>
  <si>
    <t>JBGHDZT</t>
  </si>
  <si>
    <t>MENDES/MARCELO FERNANDES DR</t>
  </si>
  <si>
    <t>Adriana Vieira de Freitas dos Santos</t>
  </si>
  <si>
    <t>FONE</t>
  </si>
  <si>
    <t>GBSCATT</t>
  </si>
  <si>
    <t>MENEZES/DANIEL PACHECO MR</t>
  </si>
  <si>
    <t>DTDYEBT</t>
  </si>
  <si>
    <t>JORGE NETO/AUGUSTO FERNANDES MR</t>
  </si>
  <si>
    <t>JJCBDRT</t>
  </si>
  <si>
    <t>CARVALHO/ICARO JOSE FONTAN DE MR</t>
  </si>
  <si>
    <t>LNEBAGT</t>
  </si>
  <si>
    <t>CAMPOS/FLAVIO DE COSTA MR</t>
  </si>
  <si>
    <t>CONCUR</t>
  </si>
  <si>
    <t>5G8M8X</t>
  </si>
  <si>
    <t>JULIO/GILMAR</t>
  </si>
  <si>
    <t>Alexandre Isidio da Silva</t>
  </si>
  <si>
    <t>Enaex</t>
  </si>
  <si>
    <t>Reserva importada do Sistema TMS. OS: 24853</t>
  </si>
  <si>
    <t>Tarifa mínima não preenchida! (ACC01) Tarifa máxima não preenchida! (ACC01)</t>
  </si>
  <si>
    <t>5GE2IA</t>
  </si>
  <si>
    <t>CESAR ARAUJO</t>
  </si>
  <si>
    <t>Reserva importada do Sistema TMS. OS: 24842</t>
  </si>
  <si>
    <t>5FGPWK</t>
  </si>
  <si>
    <t>MARCIO VIVAS</t>
  </si>
  <si>
    <t>Reserva importada do Sistema TMS. OS: 24743</t>
  </si>
  <si>
    <t>5G78TE</t>
  </si>
  <si>
    <t>EZEQUIEL TRAMUNTINN</t>
  </si>
  <si>
    <t>Sinop / OPS</t>
  </si>
  <si>
    <t>Reserva importada do Sistema TMS. OS: 24881</t>
  </si>
  <si>
    <t>5GT95E</t>
  </si>
  <si>
    <t>ROGER SILVA</t>
  </si>
  <si>
    <t>Campinas / VCP</t>
  </si>
  <si>
    <t>Reserva importada do Sistema TMS. OS: 24866</t>
  </si>
  <si>
    <t>5G6NTE</t>
  </si>
  <si>
    <t>PAULO MARTINS</t>
  </si>
  <si>
    <t>Reserva importada do Sistema TMS. OS: 24841</t>
  </si>
  <si>
    <t>5FS8LZ</t>
  </si>
  <si>
    <t>BANNI/MAICON</t>
  </si>
  <si>
    <t>Fernando Augusto Santiago da Silva</t>
  </si>
  <si>
    <t>Biolab Centro Administrativo - Escritorio</t>
  </si>
  <si>
    <t>Reserva importada do Sistema Lemontech. Solicitação: 17075340</t>
  </si>
  <si>
    <t>5F5FTE</t>
  </si>
  <si>
    <t>NAKANO/RICARDO</t>
  </si>
  <si>
    <t>Reserva importada do Sistema Lemontech. Solicitação: 17054255</t>
  </si>
  <si>
    <t>5FHVGC</t>
  </si>
  <si>
    <t>Reserva importada do Sistema Lemontech. Solicitação: 17054289</t>
  </si>
  <si>
    <t>5F7V5C</t>
  </si>
  <si>
    <t>Reserva importada do Sistema Lemontech. Solicitação: 17054303</t>
  </si>
  <si>
    <t>5F8VGD</t>
  </si>
  <si>
    <t>Reserva importada do Sistema Lemontech. Solicitação: 17054438</t>
  </si>
  <si>
    <t>5F9FTD</t>
  </si>
  <si>
    <t>Reserva importada do Sistema Lemontech. Solicitação: 17054452</t>
  </si>
  <si>
    <t>5F0GGD</t>
  </si>
  <si>
    <t>Reserva importada do Sistema Lemontech. Solicitação: 17064048</t>
  </si>
  <si>
    <t>5FQG5C</t>
  </si>
  <si>
    <t>Reserva importada do Sistema Lemontech. Solicitação: 17075499</t>
  </si>
  <si>
    <t>5FZLHB</t>
  </si>
  <si>
    <t>Reserva importada do Sistema Lemontech. Solicitação: 17075013</t>
  </si>
  <si>
    <t>5FXL60</t>
  </si>
  <si>
    <t>Reserva importada do Sistema Lemontech. Solicitação: 17075260</t>
  </si>
  <si>
    <t>5FD9HB</t>
  </si>
  <si>
    <t>Reserva importada do Sistema Lemontech. Solicitação: 17075278</t>
  </si>
  <si>
    <t>5D8Y86</t>
  </si>
  <si>
    <t>SOUZA MENDES/WANDREA</t>
  </si>
  <si>
    <t>Reserva importada do Sistema Lemontech. Solicitação: 17068265</t>
  </si>
  <si>
    <t>5EVMYH</t>
  </si>
  <si>
    <t>Reserva importada do Sistema Lemontech. Solicitação: 17054223</t>
  </si>
  <si>
    <t>5EJW5O</t>
  </si>
  <si>
    <t>Reserva importada do Sistema Lemontech. Solicitação: 17051581</t>
  </si>
  <si>
    <t>5EISTL</t>
  </si>
  <si>
    <t>5ENWGO</t>
  </si>
  <si>
    <t>Reserva importada do Sistema Lemontech. Solicitação: 17075042</t>
  </si>
  <si>
    <t>5E0ET9</t>
  </si>
  <si>
    <t>CAMPOS MUSSI/FILIPE</t>
  </si>
  <si>
    <t>Reserva importada do Sistema Lemontech. Solicitação: 17075092</t>
  </si>
  <si>
    <t>5E1DGN</t>
  </si>
  <si>
    <t>Reserva importada do Sistema Lemontech. Solicitação: 17075165</t>
  </si>
  <si>
    <t>5EWD5O</t>
  </si>
  <si>
    <t>Reserva importada do Sistema Lemontech. Solicitação: 17075193</t>
  </si>
  <si>
    <t>5E33GO</t>
  </si>
  <si>
    <t>Reserva importada do Sistema Lemontech. Solicitação: 17075303</t>
  </si>
  <si>
    <t>5EFETN</t>
  </si>
  <si>
    <t>Reserva importada do Sistema Lemontech. Solicitação: 17075441</t>
  </si>
  <si>
    <t>5E5GH9</t>
  </si>
  <si>
    <t>Reserva importada do Sistema Lemontech. Solicitação: 17075466</t>
  </si>
  <si>
    <t>5B49O8</t>
  </si>
  <si>
    <t>CASTRO MARQUES/PAULO</t>
  </si>
  <si>
    <t>Reserva importada do Sistema Lemontech. Solicitação: 16949647</t>
  </si>
  <si>
    <t>5DN3I9</t>
  </si>
  <si>
    <t>AMAZONAS/ROBERTO</t>
  </si>
  <si>
    <t>Reserva importada do Sistema Lemontech. Solicitação: 17075997</t>
  </si>
  <si>
    <t>5DBRK9</t>
  </si>
  <si>
    <t>BROSSI PELISSARI/FILIPE</t>
  </si>
  <si>
    <t>Reserva importada do Sistema Lemontech. Solicitação: 17075998</t>
  </si>
  <si>
    <t>5DQRI9</t>
  </si>
  <si>
    <t>GUEDES/MARCELO</t>
  </si>
  <si>
    <t>Reserva importada do Sistema Lemontech. Solicitação: 17075999</t>
  </si>
  <si>
    <t>5DWRIO</t>
  </si>
  <si>
    <t>PAVAO/LEANDRO</t>
  </si>
  <si>
    <t>Reserva importada do Sistema Lemontech. Solicitação: 17076001</t>
  </si>
  <si>
    <t>5D3R8L</t>
  </si>
  <si>
    <t>BRITO/AMANDA</t>
  </si>
  <si>
    <t>Reserva importada do Sistema Lemontech. Solicitação: 17077287</t>
  </si>
  <si>
    <t>5E25PM</t>
  </si>
  <si>
    <t>OPPI/EGLE</t>
  </si>
  <si>
    <t>Reserva importada do Sistema Lemontech. Solicitação: 17070514</t>
  </si>
  <si>
    <t>5EE50B</t>
  </si>
  <si>
    <t>RANGEL GIOMETTI/ELLEN</t>
  </si>
  <si>
    <t>Reserva importada do Sistema Lemontech. Solicitação: 17070561</t>
  </si>
  <si>
    <t>5E1SUD</t>
  </si>
  <si>
    <t>Reserva importada do Sistema Lemontech. Solicitação: 17050995</t>
  </si>
  <si>
    <t>5EE083</t>
  </si>
  <si>
    <t>Reserva importada do Sistema Lemontech. Solicitação: 17051665</t>
  </si>
  <si>
    <t>5EFMKD</t>
  </si>
  <si>
    <t>5ERD6V</t>
  </si>
  <si>
    <t>Reserva importada do Sistema Lemontech. Solicitação: 17054472</t>
  </si>
  <si>
    <t>5FKCZJ</t>
  </si>
  <si>
    <t>RODRIGUES/EMERSON</t>
  </si>
  <si>
    <t>Maria Clara Landeira Mezavila</t>
  </si>
  <si>
    <t>SAO PAULO/SP - AG CENTRO OTAVIO TARQUINIO</t>
  </si>
  <si>
    <t>Reserva importada do Sistema Lemontech. Solicitação: 17178260</t>
  </si>
  <si>
    <t>5FB41J</t>
  </si>
  <si>
    <t>TORMEN/JULIA</t>
  </si>
  <si>
    <t>Reserva importada do Sistema Lemontech. Solicitação: 17187934</t>
  </si>
  <si>
    <t>5FHZCU</t>
  </si>
  <si>
    <t>MARQUES/MELISSA</t>
  </si>
  <si>
    <t>Reserva importada do Sistema Lemontech. Solicitação: 17158893</t>
  </si>
  <si>
    <t>5GAA6S</t>
  </si>
  <si>
    <t>ALMEIDA ARAUJO/KARLA</t>
  </si>
  <si>
    <t>SANTAREM/PA - AEROPORTO</t>
  </si>
  <si>
    <t>Reserva importada do Sistema Lemontech. Solicitação: 16668023</t>
  </si>
  <si>
    <t>5FNBJL</t>
  </si>
  <si>
    <t>CHRISTOFANO/EMERSON</t>
  </si>
  <si>
    <t>Reserva importada do Sistema Lemontech. Solicitação: 17141693</t>
  </si>
  <si>
    <t>5G3DMD</t>
  </si>
  <si>
    <t>BANDEIRA/JOSE</t>
  </si>
  <si>
    <t>Reserva importada do Sistema Lemontech. Solicitação: 17218296</t>
  </si>
  <si>
    <t>5GJFMC</t>
  </si>
  <si>
    <t>ANCELMO/KAROLINNE</t>
  </si>
  <si>
    <t>Reserva importada do Sistema Lemontech. Solicitação: 17231543</t>
  </si>
  <si>
    <t>5GM5Z2</t>
  </si>
  <si>
    <t>BISCOLI/GUSTAVO</t>
  </si>
  <si>
    <t>Lemontech</t>
  </si>
  <si>
    <t>Reserva importada do Sistema Lemontech. Solicitação: 17215337</t>
  </si>
  <si>
    <t>5GU7TS</t>
  </si>
  <si>
    <t>BONATTO/DANIELA</t>
  </si>
  <si>
    <t>Reserva importada do Sistema Lemontech. Solicitação: 17231521</t>
  </si>
  <si>
    <t>5GIC7B</t>
  </si>
  <si>
    <t>NASCIMENTO/GLEIDSON</t>
  </si>
  <si>
    <t>Reserva importada do Sistema Lemontech. Solicitação: 17220097</t>
  </si>
  <si>
    <t>5GGDN0</t>
  </si>
  <si>
    <t>SILVA MOURA/BRUNNO</t>
  </si>
  <si>
    <t>Reserva importada do Sistema Lemontech. Solicitação: 17223345</t>
  </si>
  <si>
    <t>NWQUIL</t>
  </si>
  <si>
    <t>DA GAMA/LUISA</t>
  </si>
  <si>
    <t>Reserva importada do Sistema Lemontech. Solicitação: 17223386</t>
  </si>
  <si>
    <t>5FAOKU</t>
  </si>
  <si>
    <t>TRASSI/THAIS</t>
  </si>
  <si>
    <t>Reserva importada do Sistema Lemontech. Solicitação: 17202443</t>
  </si>
  <si>
    <t>5FVV6I</t>
  </si>
  <si>
    <t>FERREIRA/HUMBERTO</t>
  </si>
  <si>
    <t>Reserva importada do Sistema Lemontech. Solicitação: 17205759</t>
  </si>
  <si>
    <t>5FIUQ4</t>
  </si>
  <si>
    <t>DA COSTA/ANNIELLY</t>
  </si>
  <si>
    <t>Reserva importada do Sistema Lemontech. Solicitação: 17180402</t>
  </si>
  <si>
    <t>5FLJQR</t>
  </si>
  <si>
    <t>Reserva importada do Sistema Lemontech. Solicitação: 17180492</t>
  </si>
  <si>
    <t>5F14K7</t>
  </si>
  <si>
    <t>OLIVEIRA/CINTYA</t>
  </si>
  <si>
    <t>Reserva importada do Sistema Lemontech. Solicitação: 17201409</t>
  </si>
  <si>
    <t>5F5CA7</t>
  </si>
  <si>
    <t>GOMES/SAULL</t>
  </si>
  <si>
    <t>Reserva importada do Sistema Lemontech. Solicitação: 17169221</t>
  </si>
  <si>
    <t>5CBBVY</t>
  </si>
  <si>
    <t>WAGNER FLESCH/RICARDO</t>
  </si>
  <si>
    <t>Ibis Sao Paulo Ibirapuera</t>
  </si>
  <si>
    <t>Reserva importada do Sistema Lemontech. Solicitação: 16994702</t>
  </si>
  <si>
    <t>5CLJ96</t>
  </si>
  <si>
    <t>SPERLING VIANA/NANCY</t>
  </si>
  <si>
    <t>Reserva importada do Sistema Lemontech. Solicitação: 17009338</t>
  </si>
  <si>
    <t>5FJ59A</t>
  </si>
  <si>
    <t>ZAMBRANO CORREA/LUIS</t>
  </si>
  <si>
    <t>Reserva importada do Sistema Lemontech. Solicitação: 17165445</t>
  </si>
  <si>
    <t>5GQPWD</t>
  </si>
  <si>
    <t>LLANOS ESPINOZA/CLAUDIA MARIA</t>
  </si>
  <si>
    <t>Reserva importada do Sistema Lemontech. Solicitação: 17237347</t>
  </si>
  <si>
    <t>5G2P2D</t>
  </si>
  <si>
    <t>Reserva importada do Sistema Lemontech. Solicitação: 17237393</t>
  </si>
  <si>
    <t>5GJMWC</t>
  </si>
  <si>
    <t>SIQUEIRA/FABIO GIL</t>
  </si>
  <si>
    <t>Reserva importada do Sistema Lemontech. Solicitação: 17237514</t>
  </si>
  <si>
    <t>5GA9U3</t>
  </si>
  <si>
    <t>JERONIMO FREIRE</t>
  </si>
  <si>
    <t>Grupo Santo Antonio Energia</t>
  </si>
  <si>
    <t>Santo Antonio Energia</t>
  </si>
  <si>
    <t>Reserva importada do Sistema TMS. OS: 265</t>
  </si>
  <si>
    <t>MZHWRT</t>
  </si>
  <si>
    <t>Elder  Souza da Fonseca</t>
  </si>
  <si>
    <t>Consorcio Nova Doca</t>
  </si>
  <si>
    <t>Reserva importada do sistema Gover. Id: 4576769</t>
  </si>
  <si>
    <t>QEOQKW</t>
  </si>
  <si>
    <t>DNBJIC</t>
  </si>
  <si>
    <t>Ana Lúcia Ferreira Coutinho</t>
  </si>
  <si>
    <t>Michelly Andrade Leandro da Silva</t>
  </si>
  <si>
    <t>Isdin Sp</t>
  </si>
  <si>
    <t>Reserva importada do sistema Gover. Id: 4575390</t>
  </si>
  <si>
    <t>Verificação de bilhetes: Bilhete 2971575248 já sendo utilizado para este fornecedor.</t>
  </si>
  <si>
    <t>EUPDZO</t>
  </si>
  <si>
    <t>SANDRA BERTOCCO BRAGHIROLI</t>
  </si>
  <si>
    <t>Priscilla Andrade Sobrinho</t>
  </si>
  <si>
    <t>Grupo Marisa</t>
  </si>
  <si>
    <t>Lojas Marisa</t>
  </si>
  <si>
    <t>Reserva importada do sistema Gover. Id: 4577083</t>
  </si>
  <si>
    <t>EUGQEV</t>
  </si>
  <si>
    <t>CLAUDIA SOARES NASSAR</t>
  </si>
  <si>
    <t>Reserva importada do sistema Gover. Id: 4577084</t>
  </si>
  <si>
    <t>FBFZGH</t>
  </si>
  <si>
    <t>PRISCILA FREZ DE MORAES AGUIAR</t>
  </si>
  <si>
    <t>Reserva importada do sistema Gover. Id: 4577087</t>
  </si>
  <si>
    <t>EUBVTF</t>
  </si>
  <si>
    <t>LAUREEN CRISTINA CACACE SARTORELLI</t>
  </si>
  <si>
    <t>Reserva importada do sistema Gover. Id: 4577081</t>
  </si>
  <si>
    <t>5EDJ0J</t>
  </si>
  <si>
    <t>JOSE SILVA TAVARES</t>
  </si>
  <si>
    <t>JOSE ALEXANDRE SOARES CALDAS</t>
  </si>
  <si>
    <t>Oceanpact Servicos Maritimos</t>
  </si>
  <si>
    <t>Reserva importada do Sistema TMS. OS: 73566</t>
  </si>
  <si>
    <t>5E3FIU</t>
  </si>
  <si>
    <t>Reserva importada do Sistema TMS. OS: 73594</t>
  </si>
  <si>
    <t>5DUMK5</t>
  </si>
  <si>
    <t>RICARDO COELHO DIAS</t>
  </si>
  <si>
    <t>Reserva importada do Sistema TMS. OS: 71529</t>
  </si>
  <si>
    <t>5GCLND</t>
  </si>
  <si>
    <t>MARCELO ARAUJO BEZERRA</t>
  </si>
  <si>
    <t>Oceanpact Geociencias</t>
  </si>
  <si>
    <t>Reserva importada do Sistema TMS. OS: 75313</t>
  </si>
  <si>
    <t>5FYJGU</t>
  </si>
  <si>
    <t>CARLOS HENRIQUE AZEVEDO</t>
  </si>
  <si>
    <t>Nataly Franca Regal de Castro</t>
  </si>
  <si>
    <t>Up Offshore Apoio Maritimo</t>
  </si>
  <si>
    <t>Reserva importada do Sistema TMS. OS: 74380</t>
  </si>
  <si>
    <t>YOUEDK</t>
  </si>
  <si>
    <t>SAEZ/AMANDA FELIX DA COSTA</t>
  </si>
  <si>
    <t>L2IZGVFD6</t>
  </si>
  <si>
    <t>Basf Sa</t>
  </si>
  <si>
    <t>Autorização do cartão da forma de pagamento não preenchida! (ACC01) Autorização do cartão da forma de recebimento não preenchida! (ACC01)</t>
  </si>
  <si>
    <t>STLHGX</t>
  </si>
  <si>
    <t>FREDERICO DE MESQUITA/RENATA</t>
  </si>
  <si>
    <t>H2EOZUM89</t>
  </si>
  <si>
    <t>AOBZBMT</t>
  </si>
  <si>
    <t>DA SILVA/GIOVANNE JOSE MR</t>
  </si>
  <si>
    <t>183216610-31702</t>
  </si>
  <si>
    <t>Chemetall do Brasil</t>
  </si>
  <si>
    <t>NQKJNUT</t>
  </si>
  <si>
    <t>SILVA/CICERO DIONISIO DA MR</t>
  </si>
  <si>
    <t>183216679-27885</t>
  </si>
  <si>
    <t>AYDZPQT</t>
  </si>
  <si>
    <t>CORREIA/LEILANE MISS</t>
  </si>
  <si>
    <t>183216563-90811</t>
  </si>
  <si>
    <t>Novotel Lima San Isidro</t>
  </si>
  <si>
    <t>Fornecedor não preenchido! (ACC02)</t>
  </si>
  <si>
    <t>MEOMSF</t>
  </si>
  <si>
    <t>RENZI/CEZAR EDUARDO</t>
  </si>
  <si>
    <t>D27E8KWTP</t>
  </si>
  <si>
    <t>Suvinil</t>
  </si>
  <si>
    <t>MSVYWLT</t>
  </si>
  <si>
    <t>LA TORRE/DANIELLA CAMPOS MRS</t>
  </si>
  <si>
    <t>MSVYWL</t>
  </si>
  <si>
    <t>EXIBKMT</t>
  </si>
  <si>
    <t>EXIBKM</t>
  </si>
  <si>
    <t>Hilton Garden Inn Houston Energy Corridor</t>
  </si>
  <si>
    <t>KXTHKBT</t>
  </si>
  <si>
    <t>183241241-78843</t>
  </si>
  <si>
    <t>WZGUDAT</t>
  </si>
  <si>
    <t>SANTOS/JOSE RIBEIRO DOS MR</t>
  </si>
  <si>
    <t>Felipe Anderson da Silva</t>
  </si>
  <si>
    <t>BA0708251725</t>
  </si>
  <si>
    <t>OBYQLFT</t>
  </si>
  <si>
    <t>LAVACH SANTANA/FLAVIO LUIZ MR</t>
  </si>
  <si>
    <t>BA0608251128</t>
  </si>
  <si>
    <t>YLHRXMC</t>
  </si>
  <si>
    <t>GIAVENO/CARLOS DANIEL MR</t>
  </si>
  <si>
    <t>BA0508251439</t>
  </si>
  <si>
    <t>RDU</t>
  </si>
  <si>
    <t>NQUJHUT</t>
  </si>
  <si>
    <t>MYAGUSHICU/DANIELA MRS</t>
  </si>
  <si>
    <t>BA0608251442</t>
  </si>
  <si>
    <t>Lefel Hotel</t>
  </si>
  <si>
    <t>NQTOPYT</t>
  </si>
  <si>
    <t>DAMELIO/ALDANA</t>
  </si>
  <si>
    <t>BA0608251444</t>
  </si>
  <si>
    <t>NNPOBOT</t>
  </si>
  <si>
    <t>CARDOZO/ALEJANDRA</t>
  </si>
  <si>
    <t>BA0608251445</t>
  </si>
  <si>
    <t>AXKABMC</t>
  </si>
  <si>
    <t>RIBEIRO/LUIS CESAR MR</t>
  </si>
  <si>
    <t>BA0608251407</t>
  </si>
  <si>
    <t>SAO</t>
  </si>
  <si>
    <t>GKUPDG</t>
  </si>
  <si>
    <t>ROCHA PREVIATTI/DAIANE SILVA</t>
  </si>
  <si>
    <t>Verificação de bilhetes: Bilhete 2971622834 já sendo utilizado para este fornecedor.</t>
  </si>
  <si>
    <t>WFODSV</t>
  </si>
  <si>
    <t>FERNANDES GOMES/FELIPE</t>
  </si>
  <si>
    <t>Verificação de bilhetes: Bilhete 2971499806 já sendo utilizado para este fornecedor.</t>
  </si>
  <si>
    <t>YSWRGI</t>
  </si>
  <si>
    <t>MEIRA GUERREIRO/PRISCILA</t>
  </si>
  <si>
    <t>HDLPBN</t>
  </si>
  <si>
    <t>BRANDA PAULETTI/GIOVANA</t>
  </si>
  <si>
    <t>Verificação de bilhetes: Bilhete 2971622800 já sendo utilizado para este fornecedor.</t>
  </si>
  <si>
    <t>GHSNPY</t>
  </si>
  <si>
    <t>CARVALHO/RENATA  KOBAL CAMPOS DE</t>
  </si>
  <si>
    <t>BA0708250858</t>
  </si>
  <si>
    <t>AMIABWT</t>
  </si>
  <si>
    <t>RIBEIRO/ALEXANDRE MARQUES MR</t>
  </si>
  <si>
    <t>Marcelo Pereira de Melo</t>
  </si>
  <si>
    <t>BA07082025</t>
  </si>
  <si>
    <t>WXPZXI</t>
  </si>
  <si>
    <t>SANTANA/ALLYSON DIEGO NUNES</t>
  </si>
  <si>
    <t>KMEY2Q</t>
  </si>
  <si>
    <t>CQJFIGC</t>
  </si>
  <si>
    <t>BORGES/ROBSON JAYME MR</t>
  </si>
  <si>
    <t>BA05082025</t>
  </si>
  <si>
    <t>FAR</t>
  </si>
  <si>
    <t>FAIKKS</t>
  </si>
  <si>
    <t>DE MELO/KARLA TIEMI OURA ALVE</t>
  </si>
  <si>
    <t>Renata Godoy Sant Anna</t>
  </si>
  <si>
    <t>Finalidade não preenchida! (ACC02)</t>
  </si>
  <si>
    <t>IXFGOA</t>
  </si>
  <si>
    <t>LOPES/LUIZ HENRIQUE DE CARVAL</t>
  </si>
  <si>
    <t>REM0708251828</t>
  </si>
  <si>
    <t>Verificação de bilhetes: Bilhete 2971606827 já sendo utilizado para este fornecedor.</t>
  </si>
  <si>
    <t>FAIKKS-1</t>
  </si>
  <si>
    <t>REM0708251839</t>
  </si>
  <si>
    <t>LZUBCV</t>
  </si>
  <si>
    <t>DE OLIVEIRA/ANDRE</t>
  </si>
  <si>
    <t>Marcelo de Freitas</t>
  </si>
  <si>
    <t>BA0608251144</t>
  </si>
  <si>
    <t>Verificação de bilhetes: Bilhete 2971606798 já sendo utilizado para este fornecedor.</t>
  </si>
  <si>
    <t>DMAPRQT</t>
  </si>
  <si>
    <t>GABIN/ADOLFO LUIS MR</t>
  </si>
  <si>
    <t>DMAPRQ</t>
  </si>
  <si>
    <t>Chanel</t>
  </si>
  <si>
    <t>Ruby Claire Hotel &amp; Bar</t>
  </si>
  <si>
    <t>MQBGBRT</t>
  </si>
  <si>
    <t>SOUZA DE AGUIAR/HICARO THALES</t>
  </si>
  <si>
    <t>Marcia Pereira dos Santos Soares</t>
  </si>
  <si>
    <t>MQBGBR</t>
  </si>
  <si>
    <t>Holiday Inn Goiania</t>
  </si>
  <si>
    <t>EZHMTUT</t>
  </si>
  <si>
    <t>SANTOS GOMES II/LUANA SANTOS GOMES MISS</t>
  </si>
  <si>
    <t>NI3107250906</t>
  </si>
  <si>
    <t>Nielseniq do Brasil</t>
  </si>
  <si>
    <t>Novotel Porto Alegre Airport</t>
  </si>
  <si>
    <t>QLJMYNT</t>
  </si>
  <si>
    <t>JOSE CRISPIM/FABRICIO</t>
  </si>
  <si>
    <t>NI3107250942</t>
  </si>
  <si>
    <t>WLHAOCT</t>
  </si>
  <si>
    <t>COSTA/MARCOS ROGERIO MR</t>
  </si>
  <si>
    <t>LU</t>
  </si>
  <si>
    <t>Sibelco - Pedra do Indaia - Matriz</t>
  </si>
  <si>
    <t>EVWVYE</t>
  </si>
  <si>
    <t>DA SILVA/RODRIGO</t>
  </si>
  <si>
    <t>Sep Global Informacoes do Brasil Ltda</t>
  </si>
  <si>
    <t>Tarifa máxima não preenchida! (ACC01) Finalidade não preenchida! (ACC01)</t>
  </si>
  <si>
    <t>AMPJWB</t>
  </si>
  <si>
    <t>SILVA/ANNE MS</t>
  </si>
  <si>
    <t>OZGZRD</t>
  </si>
  <si>
    <t>MONTEIRO LOPES/JOAO VITOR</t>
  </si>
  <si>
    <t>Ihs Informacoes Rio de Janeiro</t>
  </si>
  <si>
    <t>ITRJBM</t>
  </si>
  <si>
    <t>DE ANDRADE BALTIERI/BEATRIZ</t>
  </si>
  <si>
    <t>KUZHSPT</t>
  </si>
  <si>
    <t>ALBUQUERQUE/GABRIEL</t>
  </si>
  <si>
    <t>SP0608251610</t>
  </si>
  <si>
    <t>Gustavo FRANCA</t>
  </si>
  <si>
    <t>Arcadis</t>
  </si>
  <si>
    <t>Mhajol Plaza Hotel</t>
  </si>
  <si>
    <t>Reserva importada do sistema Gover. Id: 4573938</t>
  </si>
  <si>
    <t xml:space="preserve">Não foi possível encontrar um contrato válido para o fornecedor 24774 (Código fornecedor) </t>
  </si>
  <si>
    <t>Ana B CONCEICAO DE AMORIM COELHO</t>
  </si>
  <si>
    <t>Reserva importada do sistema Gover. Id: 4573950</t>
  </si>
  <si>
    <t>H4575738</t>
  </si>
  <si>
    <t>Antonio INOCENCIO</t>
  </si>
  <si>
    <t>Mayara de Oliveira Alencar</t>
  </si>
  <si>
    <t>Reserva importada do sistema Gover. Id: 4575738</t>
  </si>
  <si>
    <t>H4577238</t>
  </si>
  <si>
    <t>Leonardo CORDEIRO</t>
  </si>
  <si>
    <t>Reserva importada do sistema Gover. Id: 4577238</t>
  </si>
  <si>
    <t>5F6N7L</t>
  </si>
  <si>
    <t>ADRIANO SILVA</t>
  </si>
  <si>
    <t>BEATRYZ DA SILVA COSTA</t>
  </si>
  <si>
    <t>Ache Laboratorios Farmaceuticos Sa</t>
  </si>
  <si>
    <t>Reserva importada do Sistema TMS. OS: 80263</t>
  </si>
  <si>
    <t>5G58HZ</t>
  </si>
  <si>
    <t>JOSE AZEVEDO</t>
  </si>
  <si>
    <t>Jessica Soares Teixeira</t>
  </si>
  <si>
    <t>Reserva importada do Sistema TMS. OS: 79691</t>
  </si>
  <si>
    <t>5G6GDC</t>
  </si>
  <si>
    <t>ISAIAS ALVES</t>
  </si>
  <si>
    <t>Reserva importada do Sistema TMS. OS: 79890</t>
  </si>
  <si>
    <t>5GCYPV</t>
  </si>
  <si>
    <t>ANCHELIDA RIBEIRO</t>
  </si>
  <si>
    <t>Reserva importada do Sistema TMS. OS: 80760</t>
  </si>
  <si>
    <t>5GQJM4</t>
  </si>
  <si>
    <t>CLICIA CARVALHO</t>
  </si>
  <si>
    <t>Reserva importada do Sistema TMS. OS: 79778</t>
  </si>
  <si>
    <t>5G5UP4</t>
  </si>
  <si>
    <t>Reserva importada do Sistema TMS. OS: 79774</t>
  </si>
  <si>
    <t>5FIECU</t>
  </si>
  <si>
    <t>MARCELO ALMEIDA</t>
  </si>
  <si>
    <t>Reserva importada do Sistema TMS. OS: 79965</t>
  </si>
  <si>
    <t>5FYE0K</t>
  </si>
  <si>
    <t>MERIELEN SILVA</t>
  </si>
  <si>
    <t>Mauricio Almeida de Lima</t>
  </si>
  <si>
    <t>Reserva importada do Sistema TMS. OS: 79826</t>
  </si>
  <si>
    <t>5GJBEC</t>
  </si>
  <si>
    <t>ANA DIAS</t>
  </si>
  <si>
    <t>Reserva importada do Sistema TMS. OS: 80526</t>
  </si>
  <si>
    <t>5GLHCD</t>
  </si>
  <si>
    <t>ASSIS MONTI NETO</t>
  </si>
  <si>
    <t>Giovanna Duarte Pereira</t>
  </si>
  <si>
    <t>Reserva importada do Sistema TMS. OS: 79043</t>
  </si>
  <si>
    <t>5F9PJK</t>
  </si>
  <si>
    <t>MARIELLE SILVA</t>
  </si>
  <si>
    <t>Reserva importada do Sistema TMS. OS: 80108</t>
  </si>
  <si>
    <t>5FG0H7</t>
  </si>
  <si>
    <t>MARCELO DE ALENCAR</t>
  </si>
  <si>
    <t>Saira Transmissora</t>
  </si>
  <si>
    <t>Reserva importada do Sistema TMS. OS: 21822</t>
  </si>
  <si>
    <t>GAQTUR2</t>
  </si>
  <si>
    <t>JORGE TEIXEIRA LOURENCO</t>
  </si>
  <si>
    <t>Sao Pedro</t>
  </si>
  <si>
    <t>Reserva importada do Sistema TMS. OS: 21209</t>
  </si>
  <si>
    <t>Verificação de bilhetes: Bilhete 2142011770 já sendo utilizado para este fornecedor.</t>
  </si>
  <si>
    <t>5GF9UE</t>
  </si>
  <si>
    <t>SHEILA SAMPAIO DE SOUZA</t>
  </si>
  <si>
    <t>Taesa Matriz</t>
  </si>
  <si>
    <t>Reserva importada do Sistema TMS. OS: 22132</t>
  </si>
  <si>
    <t>5GWQK3</t>
  </si>
  <si>
    <t>GABRIEL CERQUEIRA DE AZEVEDO</t>
  </si>
  <si>
    <t>Reserva importada do Sistema TMS. OS: 21900</t>
  </si>
  <si>
    <t>APRIGIO MACHADO DE OLIVEIRA</t>
  </si>
  <si>
    <t>Falcon Goiania</t>
  </si>
  <si>
    <t>Reserva importada do sistema Gover. Id: 4576364</t>
  </si>
  <si>
    <t>5FH4I8</t>
  </si>
  <si>
    <t>EDUARDO RODRIGUES</t>
  </si>
  <si>
    <t>Mattos Filho</t>
  </si>
  <si>
    <t>Reserva importada do Sistema TMS. OS: 4698</t>
  </si>
  <si>
    <t>5G05F0</t>
  </si>
  <si>
    <t>THIAGO LUIS SOMBRA</t>
  </si>
  <si>
    <t>Jennifer dos Santos Guedes de Oliveira</t>
  </si>
  <si>
    <t>Reserva importada do Sistema TMS. OS: 4723</t>
  </si>
  <si>
    <t>5G958Z</t>
  </si>
  <si>
    <t>FERNANDO NEUSTEIN</t>
  </si>
  <si>
    <t>Reserva importada do Sistema TMS. OS: 4744</t>
  </si>
  <si>
    <t>5F892K</t>
  </si>
  <si>
    <t>DANIEL FERNANDES DA SILVA</t>
  </si>
  <si>
    <t xml:space="preserve">Mogi das Cruzes / </t>
  </si>
  <si>
    <t>Riosp</t>
  </si>
  <si>
    <t>Reserva importada do Sistema TMS. OS: 38895</t>
  </si>
  <si>
    <t>5GT4YE</t>
  </si>
  <si>
    <t>LUIS CARLOS BUSTOS</t>
  </si>
  <si>
    <t>Jundiaí / QDV</t>
  </si>
  <si>
    <t>Motiva Filial</t>
  </si>
  <si>
    <t>Reserva importada do Sistema TMS. OS: 39212</t>
  </si>
  <si>
    <t>5GHR6C</t>
  </si>
  <si>
    <t>FERNANDO HENRIQUE DE MARCHI</t>
  </si>
  <si>
    <t>São Paulo / SAO</t>
  </si>
  <si>
    <t>Viasul</t>
  </si>
  <si>
    <t>Reserva importada do Sistema TMS. OS: 39207</t>
  </si>
  <si>
    <t>5GUFYE</t>
  </si>
  <si>
    <t>CAROLINA MASA COELHO</t>
  </si>
  <si>
    <t>Guarulhos / GRU</t>
  </si>
  <si>
    <t>Reserva importada do Sistema TMS. OS: 39204</t>
  </si>
  <si>
    <t>5G8FY3</t>
  </si>
  <si>
    <t>IGOR BONIN MORENO</t>
  </si>
  <si>
    <t>Campo Grande / CGR</t>
  </si>
  <si>
    <t>Reserva importada do Sistema TMS. OS: 39203</t>
  </si>
  <si>
    <t>5C5569</t>
  </si>
  <si>
    <t>FELIPE DELMIRO PEREIRA</t>
  </si>
  <si>
    <t>Araucaria / CWB</t>
  </si>
  <si>
    <t>Bloco Sul</t>
  </si>
  <si>
    <t>Reserva importada do Sistema TMS. OS: 36965</t>
  </si>
  <si>
    <t>5DY96L</t>
  </si>
  <si>
    <t>LUIS ANTONIO GONCALVES</t>
  </si>
  <si>
    <t>Mercure Curitiba Sete de Setembro Inativo</t>
  </si>
  <si>
    <t>Reserva importada do Sistema TMS. OS: 37762</t>
  </si>
  <si>
    <t xml:space="preserve">Não foi possível encontrar um contrato válido para o fornecedor 3626 (Código fornecedor) </t>
  </si>
  <si>
    <t>5G7SZ1</t>
  </si>
  <si>
    <t>MAURO RAMOS CARNEIRO</t>
  </si>
  <si>
    <t>Concessionaria da Rodovia dos Lagos S/a</t>
  </si>
  <si>
    <t>Reserva importada do Sistema TMS. OS: 39067</t>
  </si>
  <si>
    <t>5FTJTA</t>
  </si>
  <si>
    <t>FERNAO CAMARGO</t>
  </si>
  <si>
    <t>Flavio Roberto Ferreira</t>
  </si>
  <si>
    <t>Motiva Matriz</t>
  </si>
  <si>
    <t>Reserva importada do Sistema TMS. OS: 38477</t>
  </si>
  <si>
    <t>5EJS4K</t>
  </si>
  <si>
    <t>Reserva importada do Sistema TMS. OS: 38265</t>
  </si>
  <si>
    <t>5F2WCX</t>
  </si>
  <si>
    <t>DIOGO ALVES RIOS</t>
  </si>
  <si>
    <t>Reserva importada do Sistema TMS. OS: 38484</t>
  </si>
  <si>
    <t>5GK2AW</t>
  </si>
  <si>
    <t>PAULO FERNANDO DA SILVA</t>
  </si>
  <si>
    <t>Colt - Compass. Uol Tecnologia</t>
  </si>
  <si>
    <t>Reserva importada do Sistema TMS. OS: 25436</t>
  </si>
  <si>
    <t>5G540R</t>
  </si>
  <si>
    <t>RODRIGO MATIAS DOS SANTOS</t>
  </si>
  <si>
    <t>Pagseguro Internet Instituicao de Pagamento S.a.</t>
  </si>
  <si>
    <t>Reserva importada do Sistema TMS. OS: 25570</t>
  </si>
  <si>
    <t>5G6VM4</t>
  </si>
  <si>
    <t>SILVANO RODRIGUES FILHO</t>
  </si>
  <si>
    <t>Reserva importada do Sistema TMS. OS: 25555</t>
  </si>
  <si>
    <t>5GQOK3</t>
  </si>
  <si>
    <t>JANNSEN ARAUJO DE OLIVEIRA</t>
  </si>
  <si>
    <t>Maceio / MCZ</t>
  </si>
  <si>
    <t>Reserva importada do Sistema TMS. OS: 25565</t>
  </si>
  <si>
    <t>5GOG2Q</t>
  </si>
  <si>
    <t>MARCELA TARACHUCK ANDRADE</t>
  </si>
  <si>
    <t>Nova Lima / BHZ</t>
  </si>
  <si>
    <t>Reserva importada do Sistema TMS. OS: 25344</t>
  </si>
  <si>
    <t>5GZZCP</t>
  </si>
  <si>
    <t>FRANCISCO BATISTA</t>
  </si>
  <si>
    <t>NATALIA BARRAL DE OLIVEIRA</t>
  </si>
  <si>
    <t>Reserva importada do Sistema TMS. OS: 24266</t>
  </si>
  <si>
    <t>HVNNBV</t>
  </si>
  <si>
    <t>Camila Robinson</t>
  </si>
  <si>
    <t>Souza Cruz</t>
  </si>
  <si>
    <t>Reserva importada do sistema Gover. Id: 4575821</t>
  </si>
  <si>
    <t>Renata Vanni de Lima</t>
  </si>
  <si>
    <t>Fundacao Albino Souza Cruz</t>
  </si>
  <si>
    <t>Radisson Oscar Freire</t>
  </si>
  <si>
    <t>Reserva importada do sistema Gover. Id: 4572443</t>
  </si>
  <si>
    <t>RES019617-7037</t>
  </si>
  <si>
    <t>Andre  Luciano Ribeiro de  Almeida</t>
  </si>
  <si>
    <t>Reserva importada do sistema Gover. Id: 4577876</t>
  </si>
  <si>
    <t>ESQAIZ</t>
  </si>
  <si>
    <t>Ana Carolina Neu</t>
  </si>
  <si>
    <t>Reserva importada do sistema Gover. Id: 4576964</t>
  </si>
  <si>
    <t>FBLUHN</t>
  </si>
  <si>
    <t>Cleverson Lucas Da Silva Costa</t>
  </si>
  <si>
    <t>Reserva importada do sistema Gover. Id: 4578311</t>
  </si>
  <si>
    <t>NMVUEO</t>
  </si>
  <si>
    <t>Daniel Faria De Souza</t>
  </si>
  <si>
    <t>JZNUTV</t>
  </si>
  <si>
    <t>Diego Antunes Campos</t>
  </si>
  <si>
    <t>Reserva importada do sistema Gover. Id: 4576775</t>
  </si>
  <si>
    <t>Joeliton De Jesus Santos</t>
  </si>
  <si>
    <t>Reserva importada do sistema Gover. Id: 4576232</t>
  </si>
  <si>
    <t>IQCDKV</t>
  </si>
  <si>
    <t>Carlos Gustavo Rocha Laranjeira</t>
  </si>
  <si>
    <t>Ibis Styles Boa Vista - Inativo</t>
  </si>
  <si>
    <t>Reserva importada do sistema Gover. Id: 4577471</t>
  </si>
  <si>
    <t xml:space="preserve">Não foi possível encontrar um contrato válido para o fornecedor 49032 (Código fornecedor) </t>
  </si>
  <si>
    <t>H4574134</t>
  </si>
  <si>
    <t>Lucas Polese Correa</t>
  </si>
  <si>
    <t>Francisca Maria Mangueira</t>
  </si>
  <si>
    <t>Pousada Afonso Claudio</t>
  </si>
  <si>
    <t>Reserva importada do sistema Gover. Id: 4574134</t>
  </si>
  <si>
    <t>Carlos Eduardo Lima Gomes</t>
  </si>
  <si>
    <t>HHDBPMT</t>
  </si>
  <si>
    <t>PINHEIRO/ALANA</t>
  </si>
  <si>
    <t>Ana Clara Brime</t>
  </si>
  <si>
    <t>L9P9</t>
  </si>
  <si>
    <t>Grupo Casas Bahia S.a.</t>
  </si>
  <si>
    <t>AJOJHOT</t>
  </si>
  <si>
    <t>FREITAS NETO/JOSE</t>
  </si>
  <si>
    <t>L9MK</t>
  </si>
  <si>
    <t>NINLCFT</t>
  </si>
  <si>
    <t>JACINTO/ALESSANDRA</t>
  </si>
  <si>
    <t>L969</t>
  </si>
  <si>
    <t>UATHIXT</t>
  </si>
  <si>
    <t>MADRUGA/ADENILSON</t>
  </si>
  <si>
    <t>L96C</t>
  </si>
  <si>
    <t>GFLVWET</t>
  </si>
  <si>
    <t>BERGELT/LISIA</t>
  </si>
  <si>
    <t>L9PG</t>
  </si>
  <si>
    <t>MGOUWQT</t>
  </si>
  <si>
    <t>SILVA/WELLINGTON</t>
  </si>
  <si>
    <t>L9K3</t>
  </si>
  <si>
    <t>SPLCVC</t>
  </si>
  <si>
    <t>ANTONINI LOURENCO/LUIS CESAR</t>
  </si>
  <si>
    <t>CORA TORLAI CIRINO</t>
  </si>
  <si>
    <t>Consulado Geral da Nova Zelandia</t>
  </si>
  <si>
    <t>Empenho/departamento não preenchido! (ACC01)</t>
  </si>
  <si>
    <t>5GCXYC</t>
  </si>
  <si>
    <t>CARLOS OLIVEIRA</t>
  </si>
  <si>
    <t>Taubate / QHP</t>
  </si>
  <si>
    <t>Zupper Viagens Internas</t>
  </si>
  <si>
    <t>KON-OPE-SAO-SUP-KONTIK DESPESAS</t>
  </si>
  <si>
    <t>Reserva importada do Sistema TMS. OS: 386</t>
  </si>
  <si>
    <t>LXVMIH</t>
  </si>
  <si>
    <t>SOUZA/RODRIGO GENTIL GONCALVES DE</t>
  </si>
  <si>
    <t>Atento Brasil S/a</t>
  </si>
  <si>
    <t>Projeto não preenchido! (ACC01)</t>
  </si>
  <si>
    <t>DOTTHU1</t>
  </si>
  <si>
    <t>SUELMA ROSA DOS SANTOS</t>
  </si>
  <si>
    <t>Tami Maron</t>
  </si>
  <si>
    <t>Pepsico</t>
  </si>
  <si>
    <t>Reserva importada do Sistema TMS. OS: 1293</t>
  </si>
  <si>
    <t>Verificação de bilhetes: Bilhete 2971585096 já sendo utilizado para este fornecedor.</t>
  </si>
  <si>
    <t>5GSKQQ</t>
  </si>
  <si>
    <t>RAPHAEL WOREK CYJON</t>
  </si>
  <si>
    <t>Thais Matte Andreis</t>
  </si>
  <si>
    <t>Reserva importada do Sistema TMS. OS: 1251</t>
  </si>
  <si>
    <t>5F6KG7</t>
  </si>
  <si>
    <t>Reserva importada do Sistema TMS. OS: 1136</t>
  </si>
  <si>
    <t>5FNIGJ</t>
  </si>
  <si>
    <t>PRISCILA SILVEIRA</t>
  </si>
  <si>
    <t>Pepsico do Brasil Industria e Comercio de Alimentos Ltda.</t>
  </si>
  <si>
    <t>Reserva importada do Sistema TMS. OS: 1133</t>
  </si>
  <si>
    <t>5FGLGU</t>
  </si>
  <si>
    <t>MARCELA SILVEIRA</t>
  </si>
  <si>
    <t>Reserva importada do Sistema TMS. OS: 1108</t>
  </si>
  <si>
    <t>5GH7ED</t>
  </si>
  <si>
    <t>SILVIO ROBERTO CAMPOS</t>
  </si>
  <si>
    <t>Natal / NAT</t>
  </si>
  <si>
    <t>Bernoulli Sistema de Ensino - Belo Horizonte</t>
  </si>
  <si>
    <t>Reserva importada do Sistema TMS. OS: 2724</t>
  </si>
  <si>
    <t>5GWK3E</t>
  </si>
  <si>
    <t>IGOR CAMPOS</t>
  </si>
  <si>
    <t>Belo Horizonte / BHZ</t>
  </si>
  <si>
    <t>Reserva importada do Sistema TMS. OS: 2706</t>
  </si>
  <si>
    <t>5GTKEC</t>
  </si>
  <si>
    <t>LILIANA BUSCA</t>
  </si>
  <si>
    <t>Reserva importada do Sistema TMS. OS: 2701</t>
  </si>
  <si>
    <t>5GZL3D</t>
  </si>
  <si>
    <t>RODRIGO MARQUES</t>
  </si>
  <si>
    <t>Vitoria / VIX</t>
  </si>
  <si>
    <t>Reserva importada do Sistema TMS. OS: 2680</t>
  </si>
  <si>
    <t>5GX933</t>
  </si>
  <si>
    <t>REBECA TEIXEIRA</t>
  </si>
  <si>
    <t>Juiz de Fora - Zona da Mata / IZA</t>
  </si>
  <si>
    <t>Reserva importada do Sistema TMS. OS: 2677</t>
  </si>
  <si>
    <t>5G5NDC</t>
  </si>
  <si>
    <t>MAYSA SILVA</t>
  </si>
  <si>
    <t>Reserva importada do Sistema TMS. OS: 2669</t>
  </si>
  <si>
    <t>5GUNDE</t>
  </si>
  <si>
    <t>ADRIANO MARTHI</t>
  </si>
  <si>
    <t>Sorocaba / SOD</t>
  </si>
  <si>
    <t>Reserva importada do Sistema TMS. OS: 2660</t>
  </si>
  <si>
    <t>5GK9ED</t>
  </si>
  <si>
    <t>JULIANO COELHO</t>
  </si>
  <si>
    <t>Uberaba / UBA</t>
  </si>
  <si>
    <t>Reserva importada do Sistema TMS. OS: 2650</t>
  </si>
  <si>
    <t>5GO83D</t>
  </si>
  <si>
    <t>WILDER FERNANDES</t>
  </si>
  <si>
    <t>Thais Peixoto de Melo</t>
  </si>
  <si>
    <t>Ribeirão Preto / RAO</t>
  </si>
  <si>
    <t>Reserva importada do Sistema TMS. OS: 2691</t>
  </si>
  <si>
    <t>5GMNEE</t>
  </si>
  <si>
    <t>Reserva importada do Sistema TMS. OS: 2688</t>
  </si>
  <si>
    <t>5G1KE3</t>
  </si>
  <si>
    <t>LUCIANA NUNES</t>
  </si>
  <si>
    <t>Maraba / MAB</t>
  </si>
  <si>
    <t>Reserva importada do Sistema TMS. OS: 2710</t>
  </si>
  <si>
    <t>5GU8NM</t>
  </si>
  <si>
    <t>BRAULIO UCHOA</t>
  </si>
  <si>
    <t>Reserva importada do Sistema TMS. OS: 2186</t>
  </si>
  <si>
    <t>5GIK90</t>
  </si>
  <si>
    <t>5GNKNB</t>
  </si>
  <si>
    <t>5GMLOM</t>
  </si>
  <si>
    <t>MOZART RAMOS</t>
  </si>
  <si>
    <t>Reserva importada do Sistema TMS. OS: 2179</t>
  </si>
  <si>
    <t>5G1N9P</t>
  </si>
  <si>
    <t>5F1DW9</t>
  </si>
  <si>
    <t>ALESSANDRA ABREU</t>
  </si>
  <si>
    <t>Reserva importada do Sistema TMS. OS: 2554</t>
  </si>
  <si>
    <t>5FUD29</t>
  </si>
  <si>
    <t>CRISTINA LIBARDI</t>
  </si>
  <si>
    <t>Vila Velha / VIX</t>
  </si>
  <si>
    <t>Reserva importada do Sistema TMS. OS: 2474</t>
  </si>
  <si>
    <t>5GQDP3</t>
  </si>
  <si>
    <t>DEBORA TUREK</t>
  </si>
  <si>
    <t>Genial Investimentos Corretora</t>
  </si>
  <si>
    <t>KON-OPE-SAO-PVI-BTC ARGO</t>
  </si>
  <si>
    <t>Verificação de bilhetes: Bilhete 4453300183 já sendo utilizado para este fornecedor.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</si>
  <si>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</si>
  <si>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</si>
  <si>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</si>
  <si>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</si>
  <si>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</si>
  <si>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</si>
  <si>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</si>
  <si>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</si>
  <si>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</si>
  <si>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</si>
  <si>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</si>
  <si>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</si>
  <si>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</si>
  <si>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</si>
  <si>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</si>
  <si>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</si>
  <si>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</si>
  <si>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</si>
  <si>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</si>
  <si>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</si>
  <si>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</si>
  <si>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</si>
  <si>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</si>
  <si>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</si>
  <si>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</si>
  <si>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</si>
  <si>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</si>
  <si>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</si>
  <si>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</si>
  <si>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</si>
  <si>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</si>
  <si>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</si>
  <si>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</si>
  <si>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</si>
  <si>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</si>
  <si>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</si>
  <si>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</si>
  <si>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</si>
  <si>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</si>
  <si>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</si>
  <si>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</si>
  <si>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</si>
  <si>
    <t>&lt;17/01/2025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</si>
</sst>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i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002060"/>
        <bgColor rgb="FF18F19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3" fontId="10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0" fontId="9" fillId="0" borderId="0" xfId="0" pivotButton="1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3" fontId="12" fillId="0" borderId="0" xfId="0" applyNumberFormat="1" applyFont="1" applyAlignment="1">
      <alignment horizontal="center"/>
    </xf>
    <xf numFmtId="3" fontId="11" fillId="7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6" fillId="7" borderId="0" xfId="0" applyFont="1" applyFill="1"/>
    <xf numFmtId="0" fontId="14" fillId="0" borderId="0" xfId="0" applyFont="1" applyAlignment="1">
      <alignment horizontal="left"/>
    </xf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16" fillId="9" borderId="0" xfId="0" applyFont="1" applyFill="1" applyAlignment="1">
      <alignment horizontal="left"/>
    </xf>
    <xf numFmtId="0" fontId="16" fillId="9" borderId="0" xfId="0" applyFont="1" applyFill="1"/>
    <xf numFmtId="0" fontId="17" fillId="10" borderId="0" xfId="0" applyFont="1" applyFill="1"/>
    <xf numFmtId="0" fontId="18" fillId="0" borderId="0" xfId="0" applyFont="1" applyAlignment="1">
      <alignment horizontal="left"/>
    </xf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6" borderId="0" xfId="0" applyFont="1" applyFill="1" applyAlignment="1">
      <alignment horizontal="center"/>
    </xf>
    <xf numFmtId="0" fontId="15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Font="1" applyAlignment="1"/>
    <xf numFmtId="0" fontId="7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center"/>
    </xf>
  </cellXfs>
  <cellStyles count="1">
    <cellStyle name="Normal" xfId="0" builtinId="0"/>
  </cellStyles>
  <dxfs count="1085"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font>
        <i/>
      </font>
    </dxf>
    <dxf>
      <font>
        <color rgb="FFFF0000"/>
      </font>
    </dxf>
    <dxf>
      <font>
        <color rgb="FFFF000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084"/>
      <tableStyleElement type="totalRow" dxfId="1083"/>
      <tableStyleElement type="firstSubtotalRow" dxfId="1082"/>
      <tableStyleElement type="pageFieldLabels" dxfId="1081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77.321346412034" createdVersion="8" refreshedVersion="8" minRefreshableVersion="3" recordCount="480" xr:uid="{00000000-000A-0000-FFFF-FFFF29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1472471" maxValue="22705931"/>
    </cacheField>
    <cacheField name="Handle ACC" numFmtId="0">
      <sharedItems containsString="0" containsBlank="1" containsNumber="1" containsInteger="1" minValue="22436535" maxValue="23507560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09-09-09T09:35:58" maxDate="2025-08-08T06:03:06" count="8000">
        <d v="2025-08-05T17:07:02"/>
        <d v="2025-08-06T08:52:21"/>
        <d v="2025-08-05T00:04:41"/>
        <d v="2025-08-07T12:46:37"/>
        <d v="2025-08-07T12:46:42"/>
        <d v="2025-08-06T09:08:33"/>
        <d v="2025-07-30T09:48:45"/>
        <d v="2025-08-04T15:48:58"/>
        <d v="2025-08-07T15:38:12"/>
        <d v="2025-08-07T15:06:13"/>
        <d v="2025-08-08T01:01:17"/>
        <d v="2025-06-26T20:26:48"/>
        <d v="2025-08-05T22:38:34"/>
        <d v="2025-08-05T10:01:59"/>
        <d v="2025-08-01T19:46:17"/>
        <d v="2025-08-06T10:16:40"/>
        <d v="2025-08-07T09:01:50"/>
        <d v="2025-08-06T13:19:07"/>
        <d v="2025-08-07T14:52:26"/>
        <d v="2025-08-07T14:57:55"/>
        <d v="2025-08-07T20:27:52"/>
        <d v="2025-08-07T20:30:22"/>
        <d v="2025-08-07T20:31:51"/>
        <d v="2025-08-07T20:59:53"/>
        <d v="2025-08-07T18:26:00"/>
        <d v="2025-08-07T18:28:00"/>
        <d v="2025-08-07T18:35:59"/>
        <d v="2025-08-05T15:42:10"/>
        <d v="2025-08-06T12:52:24"/>
        <d v="2025-08-06T10:53:29"/>
        <d v="2025-08-07T12:41:55"/>
        <d v="2025-08-07T12:24:00"/>
        <d v="2025-08-07T12:34:24"/>
        <d v="2025-08-07T12:40:06"/>
        <d v="2025-08-06T20:59:52"/>
        <d v="2025-08-06T20:59:53"/>
        <d v="2025-08-07T10:32:04"/>
        <d v="2025-08-07T11:42:06"/>
        <d v="2025-08-07T11:52:07"/>
        <d v="2025-08-06T17:42:06"/>
        <d v="2025-08-06T17:58:15"/>
        <d v="2025-08-06T15:31:56"/>
        <d v="2025-08-06T13:47:55"/>
        <d v="2025-07-30T12:43:00"/>
        <d v="2025-08-07T15:53:21"/>
        <d v="2025-08-07T17:52:02"/>
        <d v="2025-08-07T18:02:09"/>
        <d v="2025-08-07T17:10:10"/>
        <d v="2025-08-07T16:58:11"/>
        <d v="2025-08-07T16:06:12"/>
        <d v="2025-08-07T16:16:27"/>
        <d v="2025-08-07T16:22:32"/>
        <d v="2025-08-07T16:22:36"/>
        <d v="2025-08-07T16:26:02"/>
        <d v="2025-08-07T15:18:15"/>
        <d v="2025-08-07T14:37:52"/>
        <d v="2025-08-07T17:23:14"/>
        <d v="2025-07-31T18:50:17"/>
        <d v="2025-08-07T18:21:39"/>
        <d v="2025-08-07T18:26:36"/>
        <d v="2025-08-05T13:06:07"/>
        <d v="2025-08-01T19:21:00"/>
        <d v="2025-08-01T17:08:00"/>
        <d v="2025-08-01T10:06:28"/>
        <d v="2025-08-07T15:06:30"/>
        <d v="2025-08-01T09:07:30"/>
        <d v="2025-05-05T11:58:46"/>
        <d v="2025-07-29T11:57:27"/>
        <d v="2025-08-07T18:44:46"/>
        <d v="2025-08-07T13:04:00"/>
        <d v="2025-08-04T12:00:39"/>
        <d v="2025-08-04T12:00:42"/>
        <d v="2025-07-30T18:00:39"/>
        <d v="2025-08-07T11:03:24"/>
        <d v="2025-08-07T11:03:26"/>
        <d v="2025-08-07T20:02:45"/>
        <d v="2025-08-07T20:02:46"/>
        <d v="2025-08-07T12:04:23"/>
        <d v="2025-08-07T12:04:27"/>
        <d v="2025-08-07T11:02:17"/>
        <d v="2025-08-08T01:04:51"/>
        <d v="2025-08-06T18:50:08"/>
        <d v="2025-08-06T18:55:30"/>
        <d v="2025-08-07T19:13:01"/>
        <d v="2025-08-07T19:13:08"/>
        <d v="2025-07-30T12:58:31"/>
        <d v="2025-08-05T12:28:10"/>
        <d v="2025-08-07T00:16:47"/>
        <d v="2025-08-04T17:02:56"/>
        <d v="2025-08-04T17:04:45"/>
        <d v="2025-08-07T12:43:06"/>
        <d v="2025-08-06T18:49:45"/>
        <d v="2025-08-07T19:13:34"/>
        <d v="2025-08-07T19:13:42"/>
        <d v="2025-08-07T19:07:53"/>
        <d v="2025-08-07T19:08:53"/>
        <d v="2025-08-01T18:48:28"/>
        <d v="2025-07-23T18:41:25"/>
        <d v="2025-08-06T00:16:49"/>
        <d v="2025-08-06T00:17:46"/>
        <d v="2025-08-06T00:20:49"/>
        <d v="2025-08-06T00:20:27"/>
        <d v="2025-08-06T18:56:26"/>
        <d v="2025-08-04T18:43:15"/>
        <d v="2025-08-07T18:42:11"/>
        <d v="2025-08-04T18:22:06"/>
        <d v="2025-08-07T18:40:26"/>
        <d v="2025-08-07T18:41:44"/>
        <d v="2025-08-05T18:24:07"/>
        <d v="2025-08-04T18:18:06"/>
        <d v="2025-07-28T18:23:36"/>
        <d v="2025-07-24T18:18:12"/>
        <d v="2025-07-24T18:18:28"/>
        <d v="2025-08-07T18:38:05"/>
        <d v="2025-07-31T12:21:52"/>
        <d v="2025-08-06T16:27:13"/>
        <d v="2025-08-06T16:27:27"/>
        <d v="2025-08-06T12:47:08"/>
        <d v="2025-08-07T19:21:24"/>
        <d v="2025-08-05T16:11:09"/>
        <d v="2025-08-07T16:47:09"/>
        <d v="2025-08-07T19:21:41"/>
        <d v="2025-08-01T12:40:14"/>
        <d v="2025-08-06T13:36:09"/>
        <d v="2025-08-06T17:06:13"/>
        <d v="2025-08-04T19:44:56"/>
        <d v="2025-08-07T18:21:01"/>
        <d v="2025-08-07T10:35:31"/>
        <d v="2025-08-06T16:06:00"/>
        <d v="2025-08-04T18:07:43"/>
        <d v="2025-08-07T15:06:47"/>
        <d v="2025-08-07T14:47:50"/>
        <d v="2025-08-06T13:30:24"/>
        <d v="2025-08-07T18:20:06"/>
        <d v="2025-08-06T16:45:04"/>
        <d v="2025-08-05T23:04:56"/>
        <d v="2025-08-07T17:49:51"/>
        <d v="2025-08-06T18:14:24"/>
        <d v="2025-08-06T18:24:16"/>
        <d v="2025-07-15T13:04:37"/>
        <d v="2025-08-04T16:06:35"/>
        <d v="2025-07-15T19:34:35"/>
        <d v="2025-08-05T09:54:26"/>
        <d v="2025-08-06T09:35:57"/>
        <d v="2025-07-16T18:44:21"/>
        <d v="2025-08-07T15:55:55"/>
        <d v="2025-08-07T19:14:47"/>
        <d v="2025-08-07T19:14:48"/>
        <d v="2025-08-05T18:17:10"/>
        <d v="2025-08-05T18:17:15"/>
        <d v="2025-08-05T18:17:29"/>
        <d v="2025-08-05T18:17:34"/>
        <d v="2025-08-04T12:43:18"/>
        <d v="2025-08-07T12:54:22"/>
        <d v="2025-08-06T19:05:08"/>
        <d v="2025-08-04T19:02:35"/>
        <d v="2025-08-07T12:54:43"/>
        <d v="2025-08-07T12:54:47"/>
        <d v="2025-08-06T19:07:58"/>
        <d v="2025-07-16T18:54:16"/>
        <d v="2025-07-18T11:16:33"/>
        <d v="2025-08-07T15:10:56"/>
        <d v="2025-08-07T15:29:12"/>
        <d v="2025-08-01T10:55:36"/>
        <d v="2025-08-04T18:54:38"/>
        <d v="2025-08-04T18:14:40"/>
        <d v="2025-08-05T08:04:49"/>
        <d v="2025-08-05T17:37:05"/>
        <d v="2025-08-07T12:44:39"/>
        <d v="2025-01-17T17:44:41"/>
        <d v="2025-08-07T16:47:10"/>
        <d v="2025-08-07T17:32:15"/>
        <d v="2025-08-07T17:32:21"/>
        <d v="2025-08-07T11:32:10"/>
        <d v="2025-08-07T17:32:08"/>
        <d v="2025-08-07T15:33:12"/>
        <d v="2025-08-07T15:33:18"/>
        <d v="2025-08-07T12:03:39"/>
        <d v="2025-08-07T14:32:07"/>
        <d v="2025-08-07T12:30:55"/>
        <d v="2025-08-06T18:26:39"/>
        <d v="2025-08-04T18:19:55"/>
        <d v="2025-08-07T18:39:40"/>
        <d v="2025-08-07T18:40:08"/>
        <d v="2025-08-07T18:40:16"/>
        <d v="2025-07-30T10:01:00"/>
        <d v="2025-07-31T10:00:41"/>
        <d v="2025-07-31T10:00:42"/>
        <d v="2025-07-31T10:00:45"/>
        <d v="2025-07-31T10:00:46"/>
        <d v="2025-07-31T10:00:47"/>
        <d v="2025-07-31T10:00:50"/>
        <d v="2025-07-29T09:01:00"/>
        <d v="2025-07-29T09:01:02"/>
        <d v="2025-07-29T09:01:04"/>
        <d v="2025-07-16T18:04:07"/>
        <d v="2025-07-24T15:00:38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01T17:02:22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8-04T09:01:44"/>
        <d v="2025-08-04T09:02:14"/>
        <d v="2025-08-04T12:01:06"/>
        <d v="2025-08-07T12:01:01"/>
        <d v="2025-08-05T17:00:33"/>
        <d v="2025-08-07T14:02:47"/>
        <d v="2025-08-07T14:03:52"/>
        <d v="2025-08-06T19:02:57"/>
        <d v="2025-08-07T11:04:59"/>
        <d v="2025-08-06T09:02:36"/>
        <d v="2025-08-06T12:06:03"/>
        <d v="2025-08-06T12:06:09"/>
        <d v="2025-08-04T16:02:23"/>
        <d v="2025-08-04T19:02:58"/>
        <d v="2025-07-31T16:06:17"/>
        <d v="2025-07-31T16:06:18"/>
        <d v="2025-08-04T15:02:30"/>
        <d v="2025-08-04T09:01:34"/>
        <d v="2025-07-08T11:01:08"/>
        <d v="2025-07-08T16:02:56"/>
        <d v="2025-07-30T09:03:42"/>
        <d v="2025-08-07T17:04:08"/>
        <d v="2025-08-07T17:04:11"/>
        <d v="2025-08-07T17:04:30"/>
        <d v="2025-08-07T19:03:26"/>
        <d v="2025-08-05T14:17:44"/>
        <d v="2025-08-05T14:17:45"/>
        <d v="2025-08-06T18:24:15"/>
        <d v="2025-08-07T18:55:41"/>
        <d v="2025-08-07T19:06:24"/>
        <d v="2025-08-07T19:06:27"/>
        <d v="2025-08-07T20:24:28"/>
        <d v="2025-07-24T18:35:00"/>
        <d v="2025-07-25T12:21:23"/>
        <d v="2025-07-15T18:43:42"/>
        <d v="2025-08-08T00:10:43"/>
        <d v="2025-08-04T12:26:02"/>
        <d v="2025-08-01T17:45:49"/>
        <d v="2025-08-04T16:15:52"/>
        <d v="2025-08-06T14:16:25"/>
        <d v="2025-08-06T14:16:30"/>
        <d v="2025-08-06T14:31:15"/>
        <d v="2025-08-06T15:32:23"/>
        <d v="2025-08-04T18:45:50"/>
        <d v="2025-08-05T09:31:41"/>
        <d v="2025-08-07T19:00:48"/>
        <d v="2025-08-07T18:17:29"/>
        <d v="2025-08-06T12:01:20"/>
        <d v="2025-08-05T16:02:13"/>
        <d v="2025-08-06T15:31:52"/>
        <d v="2025-08-06T15:31:58"/>
        <d v="2025-08-06T15:32:04"/>
        <d v="2025-08-06T14:31:41"/>
        <d v="2025-08-07T18:15:50"/>
        <d v="2025-07-23T11:02:26"/>
        <d v="2025-08-05T17:46:30"/>
        <d v="2025-08-06T19:17:59"/>
        <d v="2025-08-07T09:46:24"/>
        <d v="2025-08-07T18:16:44"/>
        <d v="2025-08-07T18:17:24"/>
        <d v="2025-08-05T13:46:34"/>
        <d v="2025-08-07T18:22:43"/>
        <d v="2025-08-07T19:00:54"/>
        <d v="2025-08-07T19:01:03"/>
        <d v="2025-08-07T18:17:38"/>
        <d v="2025-08-01T15:18:06"/>
        <d v="2025-08-07T16:17:01"/>
        <d v="2025-08-04T11:41:37"/>
        <d v="2025-08-04T11:41:40"/>
        <d v="2025-07-28T16:31:41"/>
        <d v="2025-08-01T10:05:44"/>
        <d v="2025-08-01T17:35:33"/>
        <d v="2025-08-07T13:05:47"/>
        <d v="2025-08-07T18:50:06"/>
        <d v="2025-08-06T17:06:54"/>
        <d v="2025-07-29T16:07:10"/>
        <d v="2025-07-29T16:16:28"/>
        <d v="2025-08-05T12:06:41"/>
        <d v="2025-08-06T14:35:58"/>
        <d v="2025-08-05T18:04:11"/>
        <d v="2025-08-06T18:11:10"/>
        <d v="2025-08-07T18:11:47"/>
        <d v="2025-08-08T06:02:00"/>
        <d v="2025-08-08T06:02:51"/>
        <d v="2025-08-08T06:03:06"/>
        <d v="2025-08-04T12:02:38"/>
        <d v="2025-08-04T18:04:40"/>
        <d v="2025-08-07T18:07:49"/>
        <d v="2025-08-07T18:12:51"/>
        <d v="2025-08-05T00:02:49"/>
        <d v="2025-08-04T12:28:44"/>
        <d v="2025-08-05T18:41:15"/>
        <d v="2025-08-07T19:03:44"/>
        <d v="2025-08-07T19:06:07"/>
        <d v="2025-08-04T15:37:09"/>
        <d v="2025-08-05T00:15:53"/>
        <d v="2025-08-06T00:11:09"/>
        <d v="2025-08-06T18:30:16"/>
        <d v="2025-08-04T18:28:03"/>
        <d v="2025-08-07T18:47:47"/>
        <d v="2025-08-07T18:48:06"/>
        <d v="2025-08-07T18:48:13"/>
        <d v="2025-08-07T18:48:17"/>
        <d v="2025-07-10T12:14:46"/>
        <d v="2025-07-18T14:10:51"/>
        <d v="2025-08-06T12:27:26"/>
        <d v="2025-07-29T18:26:16"/>
        <d v="2025-07-25T18:28:35"/>
        <d v="2025-07-30T12:44:22"/>
        <d v="2025-08-06T18:59:50"/>
        <d v="2025-08-08T00:15:45"/>
        <d v="2025-08-08T00:16:08"/>
        <d v="2025-08-07T19:18:54"/>
        <d v="2025-08-06T12:45:17"/>
        <d v="2025-08-05T18:56:07"/>
        <d v="2025-08-01T16:56:00"/>
        <d v="2025-07-25T15:55:33"/>
        <d v="2025-08-07T18:06:26"/>
        <d v="2025-08-05T08:04:51"/>
        <d v="2025-08-07T08:34:42"/>
        <d v="2025-08-07T08:34:43"/>
        <d v="2025-08-04T19:07:35"/>
        <d v="2025-08-05T15:38:59"/>
        <d v="2025-08-05T15:39:00"/>
        <d v="2025-08-05T15:39:01"/>
        <d v="2025-08-05T15:39:03"/>
        <d v="2025-08-05T15:39:05"/>
        <d v="2025-08-05T15:56:16"/>
        <d v="2025-07-30T15:46:24"/>
        <d v="2025-08-07T12:51:23"/>
        <d v="2025-08-07T17:09:00"/>
        <d v="2025-07-30T13:20:32"/>
        <d v="2025-07-29T11:05:14"/>
        <d v="2025-08-07T09:20:28"/>
        <d v="2025-08-06T15:37:53"/>
        <d v="2025-08-07T18:22:29"/>
        <d v="2025-08-07T18:44:19"/>
        <d v="2025-08-06T17:08:02"/>
        <d v="2025-08-07T12:41:08"/>
        <d v="2025-08-06T12:34:39"/>
        <d v="2025-08-04T12:26:38"/>
        <d v="2025-08-04T12:26:53"/>
        <d v="2025-08-04T12:27:26"/>
        <d v="2025-08-07T18:13:28"/>
        <d v="2025-08-07T18:13:55"/>
        <d v="2025-08-07T18:14:09"/>
        <d v="2025-08-07T18:14:39"/>
        <d v="2025-08-07T18:14:42"/>
        <d v="2025-08-07T18:15:04"/>
        <d v="2025-08-07T18:15:16"/>
        <d v="2025-08-07T18:15:19"/>
        <d v="2025-08-07T18:14:29"/>
        <d v="2025-08-07T18:14:32"/>
        <d v="2025-08-07T18:13:47"/>
        <d v="2025-08-06T12:10:35"/>
        <d v="2025-08-06T12:10:39"/>
        <d v="2025-08-06T12:10:40"/>
        <d v="2025-08-05T12:05:14"/>
        <d v="2025-08-05T12:05:37"/>
        <d v="2025-08-07T14:02:20"/>
        <m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4T18:25:42" u="1"/>
        <d v="2025-08-05T18:32:56" u="1"/>
        <d v="2025-08-05T17:47:32" u="1"/>
        <d v="2025-08-05T17:47:36" u="1"/>
        <d v="2025-08-06T00:17:13" u="1"/>
        <d v="2025-08-06T00:16:13" u="1"/>
        <d v="2025-07-29T16:48:25" u="1"/>
        <d v="2025-08-05T16:05:31" u="1"/>
        <d v="2025-08-05T08:31:47" u="1"/>
        <d v="2025-08-04T13:31:41" u="1"/>
        <d v="2025-08-01T18:02:11" u="1"/>
        <d v="2025-08-05T18:33:03" u="1"/>
        <d v="2025-08-05T17:32:10" u="1"/>
        <d v="2025-08-05T18:35:03" u="1"/>
        <d v="2025-07-31T08:46:52" u="1"/>
        <d v="2025-08-05T10:46:19" u="1"/>
        <d v="2025-08-05T10:16:48" u="1"/>
        <d v="2025-08-04T20:20:10" u="1"/>
        <d v="2025-08-01T16:33:18" u="1"/>
        <d v="2025-08-04T20:23:55" u="1"/>
        <d v="2025-08-05T18:34:49" u="1"/>
        <d v="2025-08-05T18:34:58" u="1"/>
        <d v="2025-08-04T17:31:16" u="1"/>
        <d v="2025-08-05T18:33:13" u="1"/>
        <d v="2025-08-05T19:12:10" u="1"/>
        <d v="2025-08-05T19:08:30" u="1"/>
        <d v="2025-08-05T08:54:03" u="1"/>
        <d v="2025-08-05T16:34:05" u="1"/>
        <d v="2025-08-05T17:32:08" u="1"/>
        <d v="2025-08-05T20:26:01" u="1"/>
        <d v="2025-08-05T19:11:58" u="1"/>
        <d v="2025-08-05T18:53:58" u="1"/>
        <d v="2025-08-05T18:55:58" u="1"/>
        <d v="2025-08-04T15:22:29" u="1"/>
        <d v="2025-08-05T09:51:35" u="1"/>
        <d v="2025-08-04T09:06:58" u="1"/>
        <d v="2025-08-01T13:21:06" u="1"/>
        <d v="2025-07-29T13:35:30" u="1"/>
        <d v="2025-08-05T18:34:36" u="1"/>
        <d v="2025-08-04T09:32:18" u="1"/>
        <d v="2025-08-04T09:32:23" u="1"/>
        <d v="2025-08-04T09:46:45" u="1"/>
        <d v="2025-08-05T10:45:25" u="1"/>
        <d v="2025-07-25T13:03:10" u="1"/>
        <d v="2025-07-24T14:02:07" u="1"/>
        <d v="2025-07-31T10:02:54" u="1"/>
        <d v="2025-07-31T10:02:55" u="1"/>
        <d v="2025-07-28T10:00:51" u="1"/>
        <d v="2025-08-04T14:02:08" u="1"/>
        <d v="2025-08-04T14:02:20" u="1"/>
        <d v="2025-08-04T14:02:44" u="1"/>
        <d v="2025-08-04T15:00:57" u="1"/>
        <d v="2025-08-04T10:01:06" u="1"/>
        <d v="2025-08-04T12:02:55" u="1"/>
        <d v="2025-08-05T09:01:22" u="1"/>
        <d v="2025-08-01T18:05:00" u="1"/>
        <d v="2025-08-05T00:22:11" u="1"/>
        <d v="2025-07-28T12:33:08" u="1"/>
        <d v="2025-08-05T18:41:27" u="1"/>
        <d v="2025-08-05T00:15:01" u="1"/>
        <d v="2025-08-05T12:13:53" u="1"/>
        <d v="2025-08-05T12:30:36" u="1"/>
        <d v="2025-08-05T16:17:17" u="1"/>
        <d v="2025-08-05T18:35:23" u="1"/>
        <d v="2025-08-05T14:58:15" u="1"/>
        <d v="2025-08-05T19:19:52" u="1"/>
        <d v="2025-08-05T14:35:37" u="1"/>
        <d v="2025-08-05T14:49:50" u="1"/>
        <d v="2025-08-05T16:12:22" u="1"/>
        <d v="2025-08-04T13:36:18" u="1"/>
        <d v="2025-08-05T15:49:58" u="1"/>
        <d v="2025-08-05T15:50:02" u="1"/>
        <d v="2025-08-04T15:51:29" u="1"/>
        <d v="2025-08-05T18:57:45" u="1"/>
        <d v="2025-08-05T15:17:20" u="1"/>
        <d v="2025-08-05T16:47:17" u="1"/>
        <d v="2025-08-05T18:33:30" u="1"/>
        <d v="2025-03-28T08:07:05" u="1"/>
        <d v="2025-08-06T06:10:17" u="1"/>
        <d v="2025-08-04T12:27:55" u="1"/>
        <d v="2025-07-17T18:35:29" u="1"/>
        <d v="2025-07-17T12:17:28" u="1"/>
        <d v="2025-07-25T12:21:04" u="1"/>
        <d v="2025-07-17T18:35:32" u="1"/>
        <d v="2025-08-05T12:20:44" u="1"/>
        <d v="2025-08-06T00:13:12" u="1"/>
        <d v="2025-07-24T18:30:51" u="1"/>
        <d v="2025-07-30T18:36:15" u="1"/>
        <d v="2025-07-25T18:34:36" u="1"/>
        <d v="2025-08-05T18:01:26" u="1"/>
        <d v="2025-08-05T17:46:05" u="1"/>
        <d v="2025-08-04T17:45:29" u="1"/>
        <d v="2025-08-05T12:01:02" u="1"/>
        <d v="2025-07-28T19:06:25" u="1"/>
        <d v="2025-08-06T00:13:57" u="1"/>
        <d v="2025-07-31T14:07:28" u="1"/>
        <d v="2025-08-06T00:15:39" u="1"/>
        <d v="2025-08-04T18:26:42" u="1"/>
        <d v="2025-07-30T13:07:36" u="1"/>
        <d v="2025-07-31T19:01:53" u="1"/>
        <d v="2025-08-06T06:08:44" u="1"/>
        <d v="2025-08-05T10:50:21" u="1"/>
        <d v="2025-08-05T10:50:28" u="1"/>
        <d v="2025-07-24T12:21:15" u="1"/>
        <d v="2025-08-04T15:53:48" u="1"/>
        <d v="2025-08-04T15:53:52" u="1"/>
        <d v="2025-07-30T18:22:05" u="1"/>
        <d v="2025-08-05T17:08:48" u="1"/>
        <d v="2025-08-05T17:08:52" u="1"/>
        <d v="2025-07-29T17:08:06" u="1"/>
        <d v="2025-07-29T17:08:16" u="1"/>
        <d v="2025-08-05T13:33:14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7-30T17:46:31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1-09T14:38:06" u="1"/>
        <d v="2025-02-06T18:45:03" u="1"/>
        <d v="2025-03-17T17:12:17" u="1"/>
        <d v="2025-02-26T09:21:37" u="1"/>
        <d v="2025-03-17T17:17:57" u="1"/>
        <d v="2025-02-07T23:34:20" u="1"/>
        <d v="2025-03-19T23:45:38" u="1"/>
        <d v="2025-03-31T11:32:44" u="1"/>
        <d v="2025-05-02T16:33:38" u="1"/>
        <d v="2025-05-06T10:29:45" u="1"/>
        <d v="2025-05-06T10:29:51" u="1"/>
        <d v="2025-04-17T22:19:04" u="1"/>
        <d v="2025-04-17T22:19:35" u="1"/>
        <d v="2025-05-28T23:51:57" u="1"/>
        <d v="2025-05-09T19:02:13" u="1"/>
        <d v="2025-06-03T15:00:25" u="1"/>
        <d v="2025-06-03T15:00:48" u="1"/>
        <d v="2025-06-03T13:25:04" u="1"/>
        <d v="2025-06-03T13:25:22" u="1"/>
        <d v="2025-06-02T21:13:38" u="1"/>
        <d v="2025-05-09T17:35:51" u="1"/>
        <d v="2025-05-07T09:50:32" u="1"/>
        <d v="2025-05-16T14:34:28" u="1"/>
        <d v="2025-05-15T13:35:50" u="1"/>
        <d v="2025-05-27T17:27:04" u="1"/>
        <d v="2025-05-27T19:44:18" u="1"/>
        <d v="2025-05-07T17:13:12" u="1"/>
        <d v="2025-05-15T13:28:03" u="1"/>
        <d v="2025-05-15T13:29:38" u="1"/>
        <d v="2025-06-11T06:26:18" u="1"/>
        <d v="2025-06-04T14:50:34" u="1"/>
        <d v="2025-06-06T14:59:40" u="1"/>
        <d v="2025-06-03T15:01:39" u="1"/>
        <d v="2025-06-03T15:03:07" u="1"/>
        <d v="2025-06-03T15:03:29" u="1"/>
        <d v="2025-06-03T15:04:04" u="1"/>
        <d v="2025-06-05T15:56:27" u="1"/>
        <d v="2025-06-05T15:57:03" u="1"/>
        <d v="2025-06-03T19:54:11" u="1"/>
        <d v="2025-06-04T09:43:42" u="1"/>
        <d v="2025-06-04T18:35:01" u="1"/>
        <d v="2025-06-06T15:17:33" u="1"/>
        <d v="2025-06-04T17:58:31" u="1"/>
        <d v="2025-06-05T17:18:08" u="1"/>
        <d v="2025-06-05T10:32:08" u="1"/>
        <d v="2025-06-05T12:02:35" u="1"/>
        <d v="2025-06-05T15:56:29" u="1"/>
        <d v="2025-06-11T05:49:51" u="1"/>
        <d v="2025-06-05T21:14:01" u="1"/>
        <d v="2025-06-09T17:05:45" u="1"/>
        <d v="2025-06-06T15:44:46" u="1"/>
        <d v="2025-06-06T15:48:13" u="1"/>
        <d v="2025-06-09T17:46:14" u="1"/>
        <d v="2025-06-04T20:20:23" u="1"/>
        <d v="2025-06-09T18:36:24" u="1"/>
        <d v="2025-06-12T11:19:37" u="1"/>
        <d v="2025-06-12T11:20:10" u="1"/>
        <d v="2025-06-11T19:24:18" u="1"/>
        <d v="2025-06-05T17:26:58" u="1"/>
        <d v="2025-06-23T01:04:58" u="1"/>
        <d v="2025-06-23T07:49:23" u="1"/>
        <d v="2025-06-12T15:50:53" u="1"/>
        <d v="2025-06-17T12:41:33" u="1"/>
        <d v="2025-06-21T02:47:52" u="1"/>
        <d v="2025-06-12T12:29:20" u="1"/>
        <d v="2025-06-12T12:29:42" u="1"/>
        <d v="2025-06-16T16:17:16" u="1"/>
        <d v="2025-06-18T15:56:04" u="1"/>
        <d v="2025-06-16T10:07:13" u="1"/>
        <d v="2025-06-23T12:18:37" u="1"/>
        <d v="2025-06-13T05:37:56" u="1"/>
        <d v="2025-06-21T21:30:31" u="1"/>
        <d v="2025-06-21T21:33:29" u="1"/>
        <d v="2025-06-21T21:42:20" u="1"/>
        <d v="2025-06-23T11:58:24" u="1"/>
        <d v="2025-06-23T12:01:12" u="1"/>
        <d v="2025-06-12T17:34:40" u="1"/>
        <d v="2025-06-12T17:34:55" u="1"/>
        <d v="2025-06-12T17:35:06" u="1"/>
        <d v="2025-06-17T05:56:48" u="1"/>
        <d v="2025-06-18T20:57:49" u="1"/>
        <d v="2025-06-21T04:54:45" u="1"/>
        <d v="2025-06-17T05:15:16" u="1"/>
        <d v="2025-06-17T09:08:00" u="1"/>
        <d v="2025-06-18T14:33:08" u="1"/>
        <d v="2025-06-13T08:32:54" u="1"/>
        <d v="2025-06-23T11:03:49" u="1"/>
        <d v="2025-06-19T01:40:43" u="1"/>
        <d v="2025-06-19T01:42:16" u="1"/>
        <d v="2025-06-19T01:44:03" u="1"/>
        <d v="2025-06-12T15:19:23" u="1"/>
        <d v="2025-06-17T09:09:58" u="1"/>
        <d v="2025-06-17T06:55:37" u="1"/>
        <d v="2025-06-15T02:26:42" u="1"/>
        <d v="2025-06-23T10:12:48" u="1"/>
        <d v="2025-06-21T21:45:19" u="1"/>
        <d v="2025-06-19T04:58:23" u="1"/>
        <d v="2025-06-19T01:16:12" u="1"/>
        <d v="2025-06-21T21:47:01" u="1"/>
        <d v="2025-06-21T21:43:58" u="1"/>
        <d v="2025-06-21T21:32:07" u="1"/>
        <d v="2025-06-23T14:45:32" u="1"/>
        <d v="2025-06-14T07:21:50" u="1"/>
        <d v="2025-06-18T22:04:50" u="1"/>
        <d v="2025-06-18T00:41:34" u="1"/>
        <d v="2025-06-18T00:45:59" u="1"/>
        <d v="2025-06-17T11:10:02" u="1"/>
        <d v="2025-06-19T03:10:02" u="1"/>
        <d v="2025-06-15T01:48:52" u="1"/>
        <d v="2025-06-17T08:57:12" u="1"/>
        <d v="2025-06-23T09:33:36" u="1"/>
        <d v="2025-06-12T14:06:04" u="1"/>
        <d v="2025-06-17T19:44:39" u="1"/>
        <d v="2025-06-12T16:50:25" u="1"/>
        <d v="2025-06-12T16:50:45" u="1"/>
        <d v="2025-06-23T12:07:08" u="1"/>
        <d v="2025-06-23T14:26:49" u="1"/>
        <d v="2025-06-23T12:19:25" u="1"/>
        <d v="2025-06-23T10:56:22" u="1"/>
        <d v="2025-06-23T10:56:10" u="1"/>
        <d v="2025-06-20T14:11:44" u="1"/>
        <d v="2025-06-30T16:31:53" u="1"/>
        <d v="2025-06-26T09:20:19" u="1"/>
        <d v="2025-06-24T00:50:12" u="1"/>
        <d v="2025-06-24T00:51:38" u="1"/>
        <d v="2025-06-28T23:07:01" u="1"/>
        <d v="2025-06-28T08:20:50" u="1"/>
        <d v="2025-06-23T20:05:00" u="1"/>
        <d v="2025-06-28T22:57:00" u="1"/>
        <d v="2025-06-28T22:59:00" u="1"/>
        <d v="2025-06-29T17:56:20" u="1"/>
        <d v="2025-06-29T02:02:38" u="1"/>
        <d v="2025-06-26T05:26:02" u="1"/>
        <d v="2025-06-30T13:20:49" u="1"/>
        <d v="2025-06-24T19:14:57" u="1"/>
        <d v="2025-06-29T06:05:49" u="1"/>
        <d v="2025-06-24T01:17:41" u="1"/>
        <d v="2025-06-28T03:02:07" u="1"/>
        <d v="2025-06-25T19:06:16" u="1"/>
        <d v="2025-06-24T16:45:35" u="1"/>
        <d v="2025-06-30T15:26:54" u="1"/>
        <d v="2025-06-30T14:20:51" u="1"/>
        <d v="2025-06-24T15:06:55" u="1"/>
        <d v="2025-06-24T15:06:56" u="1"/>
        <d v="2025-06-28T13:22:27" u="1"/>
        <d v="2025-06-30T11:08:11" u="1"/>
        <d v="2025-06-25T18:06:37" u="1"/>
        <d v="2025-06-30T11:08:04" u="1"/>
        <d v="2025-06-24T08:46:37" u="1"/>
        <d v="2025-06-24T08:46:47" u="1"/>
        <d v="2025-06-24T08:46:55" u="1"/>
        <d v="2025-06-30T11:49:50" u="1"/>
        <d v="2025-06-30T11:50:04" u="1"/>
        <d v="2025-06-30T16:50:49" u="1"/>
        <d v="2025-06-26T03:57:45" u="1"/>
        <d v="2025-06-28T13:28:38" u="1"/>
        <d v="2025-06-28T13:30:29" u="1"/>
        <d v="2025-06-27T03:11:24" u="1"/>
        <d v="2025-06-23T17:54:27" u="1"/>
        <d v="2025-06-26T07:44:38" u="1"/>
        <d v="2025-06-30T14:26:49" u="1"/>
        <d v="2025-06-24T18:52:05" u="1"/>
        <d v="2025-06-27T18:08:37" u="1"/>
        <d v="2025-06-27T18:08:25" u="1"/>
        <d v="2025-06-27T18:08:31" u="1"/>
        <d v="2025-06-28T06:46:34" u="1"/>
        <d v="2025-06-26T21:04:27" u="1"/>
        <d v="2025-06-26T22:24:39" u="1"/>
        <d v="2025-06-27T16:46:27" u="1"/>
        <d v="2025-06-27T16:46:33" u="1"/>
        <d v="2025-06-26T07:46:29" u="1"/>
        <d v="2025-06-28T17:01:19" u="1"/>
        <d v="2025-06-27T15:16:43" u="1"/>
        <d v="2025-06-30T08:31:34" u="1"/>
        <d v="2025-06-30T16:17:17" u="1"/>
        <d v="2025-06-30T09:04:24" u="1"/>
        <d v="2025-06-27T08:47:35" u="1"/>
        <d v="2025-06-23T15:46:53" u="1"/>
        <d v="2025-06-28T08:02:37" u="1"/>
        <d v="2025-06-25T21:55:03" u="1"/>
        <d v="2025-06-29T15:54:26" u="1"/>
        <d v="2025-06-29T15:20:45" u="1"/>
        <d v="2025-06-26T21:56:03" u="1"/>
        <d v="2025-06-25T22:46:35" u="1"/>
        <d v="2025-06-27T18:08:54" u="1"/>
        <d v="2025-06-23T14:55:53" u="1"/>
        <d v="2025-06-27T17:50:36" u="1"/>
        <d v="2025-06-23T15:06:30" u="1"/>
        <d v="2025-06-26T07:41:10" u="1"/>
        <d v="2025-06-26T07:42:47" u="1"/>
        <d v="2025-06-28T11:59:33" u="1"/>
        <d v="2025-06-27T08:18:11" u="1"/>
        <d v="2025-06-27T13:17:20" u="1"/>
        <d v="2025-06-30T14:49:43" u="1"/>
        <d v="2025-06-27T18:08:50" u="1"/>
        <d v="2025-06-28T14:07:06" u="1"/>
        <d v="2025-06-27T17:39:56" u="1"/>
        <d v="2025-06-26T18:46:36" u="1"/>
        <d v="2025-06-26T22:15:31" u="1"/>
        <d v="2025-06-26T21:04:30" u="1"/>
        <d v="2025-06-26T21:35:09" u="1"/>
        <d v="2025-06-26T22:04:46" u="1"/>
        <d v="2025-06-26T13:17:10" u="1"/>
        <d v="2025-06-26T08:05:41" u="1"/>
        <d v="2025-06-30T15:04:32" u="1"/>
        <d v="2025-06-30T14:57:37" u="1"/>
        <d v="2025-06-30T14:40:28" u="1"/>
        <d v="2025-06-30T14:40:32" u="1"/>
        <d v="2025-06-29T12:48:39" u="1"/>
        <d v="2025-06-25T20:42:08" u="1"/>
        <d v="2025-06-29T23:21:49" u="1"/>
        <d v="2025-06-27T12:51:31" u="1"/>
        <d v="2025-06-28T19:39:25" u="1"/>
        <d v="2025-06-30T14:53:08" u="1"/>
        <d v="2025-06-30T16:51:24" u="1"/>
        <d v="2025-06-25T06:24:57" u="1"/>
        <d v="2025-06-27T17:36:41" u="1"/>
        <d v="2025-06-25T08:56:53" u="1"/>
        <d v="2025-06-28T10:22:48" u="1"/>
        <d v="2025-06-27T09:44:59" u="1"/>
        <d v="2025-06-23T15:06:26" u="1"/>
        <d v="2025-06-27T17:33:44" u="1"/>
        <d v="2025-06-27T17:41:55" u="1"/>
        <d v="2025-06-27T15:16:59" u="1"/>
        <d v="2025-06-27T17:38:50" u="1"/>
        <d v="2025-06-24T11:26:38" u="1"/>
        <d v="2025-06-27T18:46:24" u="1"/>
        <d v="2025-06-27T10:38:32" u="1"/>
        <d v="2025-06-30T12:39:14" u="1"/>
        <d v="2025-06-27T16:43:17" u="1"/>
        <d v="2025-06-30T15:27:23" u="1"/>
        <d v="2025-06-24T17:05:31" u="1"/>
        <d v="2025-06-27T15:28:46" u="1"/>
        <d v="2025-06-27T15:36:15" u="1"/>
        <d v="2025-06-30T20:23:14" u="1"/>
        <d v="2025-06-30T20:23:22" u="1"/>
        <d v="2025-06-30T20:23:28" u="1"/>
        <d v="2025-07-01T18:57:25" u="1"/>
        <d v="2025-07-02T09:47:20" u="1"/>
        <d v="2025-07-03T11:16:31" u="1"/>
        <d v="2025-07-03T11:16:35" u="1"/>
        <d v="2025-07-03T12:02:11" u="1"/>
        <d v="2025-07-03T12:20:24" u="1"/>
        <d v="2025-07-03T12:20:35" u="1"/>
        <d v="2025-07-03T12:20:41" u="1"/>
        <d v="2025-07-02T00:16:06" u="1"/>
        <d v="2025-07-02T18:32:48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3T10:35:55" u="1"/>
        <d v="2025-07-02T12:24:56" u="1"/>
        <d v="2025-06-30T21:47:39" u="1"/>
        <d v="2025-07-04T18:46:45" u="1"/>
        <d v="2025-07-02T18:48:35" u="1"/>
        <d v="2025-06-30T18:32:07" u="1"/>
        <d v="2025-07-01T18:31:08" u="1"/>
        <d v="2025-07-03T11:45:36" u="1"/>
        <d v="2025-07-01T19:02:02" u="1"/>
        <d v="2025-07-02T13:03:23" u="1"/>
        <d v="2025-07-02T17:03:48" u="1"/>
        <d v="2025-07-03T15:02:54" u="1"/>
        <d v="2025-07-03T15:03:49" u="1"/>
        <d v="2025-07-03T12:05:13" u="1"/>
        <d v="2025-07-01T17:37:04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1T12:01:05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1T18:06:45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09:49:55" u="1"/>
        <d v="2025-07-01T08:35:36" u="1"/>
        <d v="2025-07-01T09:34:56" u="1"/>
        <d v="2025-07-02T13:07:00" u="1"/>
        <d v="2025-07-02T13:20:46" u="1"/>
        <d v="2025-07-02T08:35:03" u="1"/>
        <d v="2025-07-02T10:36:21" u="1"/>
        <d v="2025-07-02T10:50:44" u="1"/>
        <d v="2025-07-02T10:50:48" u="1"/>
        <d v="2025-07-02T10:50:52" u="1"/>
        <d v="2025-07-02T11:11:15" u="1"/>
        <d v="2025-07-02T11:11:19" u="1"/>
        <d v="2025-07-03T09:20:25" u="1"/>
        <d v="2025-07-03T10:20:50" u="1"/>
        <d v="2025-07-03T15:50:17" u="1"/>
        <d v="2025-07-01T11:05:50" u="1"/>
        <d v="2025-07-03T13:22:36" u="1"/>
        <d v="2025-07-03T13:35:52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1T18:36:41" u="1"/>
        <d v="2025-06-30T21:02:43" u="1"/>
        <d v="2025-06-30T20:51:33" u="1"/>
        <d v="2025-06-30T20:52:25" u="1"/>
        <d v="2025-07-02T12:10:50" u="1"/>
        <d v="2025-07-02T09:39:38" u="1"/>
        <d v="2025-07-01T12:22:38" u="1"/>
        <d v="2025-07-02T19:14:36" u="1"/>
        <d v="2025-07-02T18:22:12" u="1"/>
        <d v="2025-07-02T12:11:23" u="1"/>
        <d v="2025-07-01T09:46:28" u="1"/>
        <d v="2025-07-01T09:55:03" u="1"/>
        <d v="2025-07-03T11:14:34" u="1"/>
        <d v="2025-07-01T14:51:51" u="1"/>
        <d v="2025-07-02T12:22:43" u="1"/>
        <d v="2025-07-02T00:15:44" u="1"/>
        <d v="2025-07-02T11:01:36" u="1"/>
        <d v="2025-07-03T15:07:18" u="1"/>
        <d v="2025-07-02T20:39:34" u="1"/>
        <d v="2025-07-01T18:16:36" u="1"/>
        <d v="2025-07-01T18:16:50" u="1"/>
        <d v="2025-07-01T15:16:57" u="1"/>
        <d v="2025-07-03T15:06:16" u="1"/>
        <d v="2025-07-03T15:06:47" u="1"/>
        <d v="2025-07-02T18:33:09" u="1"/>
        <d v="2025-07-02T13:01:54" u="1"/>
        <d v="2025-07-01T14:50:37" u="1"/>
        <d v="2025-07-01T14:51:29" u="1"/>
        <d v="2025-07-03T12:12:12" u="1"/>
        <d v="2025-07-01T14:17:49" u="1"/>
        <d v="2025-07-02T19:34:54" u="1"/>
        <d v="2025-07-02T16:56:22" u="1"/>
        <d v="2025-07-03T11:04:19" u="1"/>
        <d v="2025-07-03T00:16:01" u="1"/>
        <d v="2025-07-03T12:14:13" u="1"/>
        <d v="2025-07-01T11:46:01" u="1"/>
        <d v="2025-07-01T08:26:07" u="1"/>
        <d v="2025-06-30T21:26:38" u="1"/>
        <d v="2025-06-30T18:03:09" u="1"/>
        <d v="2025-07-01T18:20:01" u="1"/>
        <d v="2025-07-01T12:13:43" u="1"/>
        <d v="2025-07-02T22:44:29" u="1"/>
        <d v="2025-07-01T12:07:30" u="1"/>
        <d v="2025-07-02T15:35:34" u="1"/>
        <d v="2025-07-02T15:35:32" u="1"/>
        <d v="2025-06-30T18:56:40" u="1"/>
        <d v="2025-07-02T14:15:14" u="1"/>
        <d v="2025-07-02T11:26:06" u="1"/>
        <d v="2025-07-01T16:36:17" u="1"/>
        <d v="2025-07-01T16:36:22" u="1"/>
        <d v="2025-07-01T16:54:03" u="1"/>
        <d v="2025-07-01T18:21:25" u="1"/>
        <d v="2025-07-02T18:22:04" u="1"/>
        <d v="2025-07-01T15:37:35" u="1"/>
        <d v="2025-06-30T21:09:07" u="1"/>
        <d v="2025-07-02T12:18:28" u="1"/>
        <d v="2025-07-02T00:15:49" u="1"/>
        <d v="2025-07-01T18:36:42" u="1"/>
        <d v="2025-07-01T18:37:22" u="1"/>
        <d v="2025-07-02T18:39:20" u="1"/>
        <d v="2025-07-01T14:17:52" u="1"/>
        <d v="2025-07-02T19:37:00" u="1"/>
        <d v="2025-07-02T11:26:14" u="1"/>
        <d v="2025-07-01T17:26:15" u="1"/>
        <d v="2025-07-02T15:35:33" u="1"/>
        <d v="2025-07-02T19:38:58" u="1"/>
        <d v="2025-07-02T17:55:24" u="1"/>
        <d v="2025-07-02T15:56:10" u="1"/>
        <d v="2025-07-02T15:45:45" u="1"/>
        <d v="2025-07-02T19:34:25" u="1"/>
        <d v="2025-07-01T20:14:25" u="1"/>
        <d v="2025-07-01T13:15:37" u="1"/>
        <d v="2025-07-01T18:35:18" u="1"/>
        <d v="2025-07-02T11:26:05" u="1"/>
        <d v="2025-07-02T08:34:34" u="1"/>
        <d v="2025-07-03T08:24:06" u="1"/>
        <d v="2025-07-02T12:44:41" u="1"/>
        <d v="2025-07-02T16:37:27" u="1"/>
        <d v="2025-07-02T18:06:40" u="1"/>
        <d v="2025-07-02T16:25:10" u="1"/>
        <d v="2025-07-01T17:15:14" u="1"/>
        <d v="2025-07-03T10:44:25" u="1"/>
        <d v="2025-06-30T17:12:35" u="1"/>
        <d v="2025-06-30T17:29:0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3T23:21:12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1:06:18" u="1"/>
        <d v="2025-07-04T13:20:55" u="1"/>
        <d v="2025-07-04T13:21:09" u="1"/>
        <d v="2025-07-04T17:06:11" u="1"/>
        <d v="2025-07-04T17:06:37" u="1"/>
        <d v="2025-07-03T16:35:45" u="1"/>
        <d v="2025-07-04T16:15:35" u="1"/>
        <d v="2025-07-04T14:45:58" u="1"/>
        <d v="2025-07-04T15:15:40" u="1"/>
        <d v="2025-07-04T17:16:53" u="1"/>
        <d v="2025-07-04T17:17:16" u="1"/>
        <d v="2025-07-04T10:16:20" u="1"/>
        <d v="2025-07-04T18:01:08" u="1"/>
        <d v="2025-07-04T16:15:44" u="1"/>
        <d v="2025-07-04T18:05:20" u="1"/>
        <d v="2025-07-04T18:05:36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3T16:06:33" u="1"/>
        <d v="2025-07-03T16:06:42" u="1"/>
        <d v="2025-07-03T16:20:05" u="1"/>
        <d v="2025-07-03T18:06:08" u="1"/>
        <d v="2025-07-03T18:06:12" u="1"/>
        <d v="2025-07-04T11:51:09" u="1"/>
        <d v="2025-07-04T11:35:47" u="1"/>
        <d v="2025-07-04T10:20:58" u="1"/>
        <d v="2025-07-04T10:35:23" u="1"/>
        <d v="2025-07-04T10:35:28" u="1"/>
        <d v="2025-07-04T10:08:24" u="1"/>
        <d v="2025-07-04T10:08:27" u="1"/>
        <d v="2025-07-04T10:08:45" u="1"/>
        <d v="2025-07-03T18:50:09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6:41:46" u="1"/>
        <d v="2025-07-04T16:41:50" u="1"/>
        <d v="2025-07-04T12:36:07" u="1"/>
        <d v="2025-07-04T13:38:42" u="1"/>
        <d v="2025-07-03T18:36:43" u="1"/>
        <d v="2025-07-04T18:08:14" u="1"/>
        <d v="2025-07-04T12:24:23" u="1"/>
        <d v="2025-07-04T18:27:34" u="1"/>
        <d v="2025-07-04T18:28:34" u="1"/>
        <d v="2025-07-04T12:21:04" u="1"/>
        <d v="2025-07-04T12:21:49" u="1"/>
        <d v="2025-07-04T12:21:54" u="1"/>
        <d v="2025-07-04T12:22:04" u="1"/>
        <d v="2025-07-04T12:22:18" u="1"/>
        <d v="2025-07-04T12:22:35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9:00:36" u="1"/>
        <d v="2025-07-04T18:56:19" u="1"/>
        <d v="2025-07-04T14:53:12" u="1"/>
        <d v="2025-07-04T18:59:21" u="1"/>
        <d v="2025-07-04T20:18:55" u="1"/>
        <d v="2025-07-04T17:14:04" u="1"/>
        <d v="2025-07-03T18:35:37" u="1"/>
        <d v="2025-07-04T18:40:07" u="1"/>
        <d v="2025-07-05T00:19:16" u="1"/>
        <d v="2025-07-05T00:19:19" u="1"/>
        <d v="2025-07-04T12:23:08" u="1"/>
        <d v="2025-07-04T11:22:21" u="1"/>
        <d v="2025-07-04T17:38:11" u="1"/>
        <d v="2025-07-04T18:17:04" u="1"/>
        <d v="2025-07-04T11:51:33" u="1"/>
        <d v="2025-07-04T12:07:53" u="1"/>
        <d v="2025-07-03T17:30:49" u="1"/>
        <d v="2025-07-04T16:37:39" u="1"/>
        <d v="2025-07-04T18:59:50" u="1"/>
        <d v="2025-07-03T16:06:01" u="1"/>
        <d v="2025-07-04T13:32:09" u="1"/>
        <d v="2025-07-04T13:31:55" u="1"/>
        <d v="2025-07-04T20:17:24" u="1"/>
        <d v="2025-07-04T11:18:09" u="1"/>
        <d v="2025-07-04T16:25:34" u="1"/>
        <d v="2025-07-04T20:17:58" u="1"/>
        <d v="2025-07-04T20:18:27" u="1"/>
        <d v="2025-07-04T17:46:23" u="1"/>
        <d v="2025-07-04T16:37:24" u="1"/>
        <d v="2025-07-04T19:00:54" u="1"/>
        <d v="2025-07-04T11:47:06" u="1"/>
        <d v="2025-07-04T20:19:05" u="1"/>
        <d v="2025-07-04T11:19:11" u="1"/>
        <d v="2025-07-04T17:46:06" u="1"/>
        <d v="2025-07-04T15:05:25" u="1"/>
        <d v="2025-07-04T20:17:48" u="1"/>
        <d v="2025-07-03T17:06:20" u="1"/>
        <d v="2025-07-04T16:02:05" u="1"/>
        <d v="2025-07-04T16:16:30" u="1"/>
        <d v="2025-07-04T14:45:46" u="1"/>
        <d v="2025-07-03T16:05:49" u="1"/>
        <d v="2025-07-04T10:33:31" u="1"/>
        <d v="2025-07-04T18:02:13" u="1"/>
        <d v="2025-07-04T15:15:45" u="1"/>
        <d v="2025-07-04T12:25:16" u="1"/>
        <d v="2025-07-04T17:47:27" u="1"/>
        <d v="2025-07-03T18:20:11" u="1"/>
        <d v="2025-07-04T17:31:17" u="1"/>
        <d v="2025-07-04T18:02:16" u="1"/>
        <d v="2025-07-04T20:17:53" u="1"/>
        <d v="2025-07-03T18:31:18" u="1"/>
        <d v="2025-07-04T08:12:27" u="1"/>
        <d v="2025-07-03T19:34:24" u="1"/>
        <d v="2025-07-03T19:34:27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5T10:05:3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6T18:02:50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3T18:26:44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</sharedItems>
      <fieldGroup par="47"/>
    </cacheField>
    <cacheField name="Data Alteração" numFmtId="0">
      <sharedItems containsNonDate="0" containsDate="1" containsString="0" containsBlank="1" minDate="2025-07-03T11:42:19" maxDate="2025-08-08T06:11:42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3668785" maxValue="8789411810486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07-30T16:32:00" maxDate="2026-04-18T17:00:00" count="8000">
        <d v="2025-08-05T17:07:00"/>
        <d v="2025-08-06T08:52:00"/>
        <d v="2025-08-04T19:04:00"/>
        <d v="2025-08-07T11:40:00"/>
        <d v="2025-08-07T11:53:00"/>
        <d v="2025-08-06T09:08:00"/>
        <d v="2025-07-29T00:00:00"/>
        <d v="2025-08-04T15:48:00"/>
        <d v="2025-08-06T15:38:00"/>
        <d v="2025-08-07T15:05:00"/>
        <d v="2025-08-08T00:59:00"/>
        <d v="2025-06-26T20:26:00"/>
        <d v="2025-08-05T22:38:00"/>
        <d v="2025-08-04T13:13:00"/>
        <d v="2025-08-01T13:24:00"/>
        <d v="2025-08-05T20:28:00"/>
        <d v="2025-08-07T06:19:00"/>
        <d v="2025-07-31T15:41:00"/>
        <d v="2025-08-07T12:58:00"/>
        <d v="2025-08-07T12:41:00"/>
        <d v="2025-08-07T05:26:00"/>
        <d v="2025-08-07T05:45:00"/>
        <d v="2025-08-07T05:54:00"/>
        <d v="2025-08-07T08:57:00"/>
        <d v="2025-08-07T06:25:00"/>
        <d v="2025-08-07T05:47:00"/>
        <d v="2025-08-07T05:43:00"/>
        <d v="2025-08-05T03:39:00"/>
        <d v="2025-08-06T12:51:00"/>
        <d v="2025-07-31T01:10:00"/>
        <d v="2025-08-07T12:40:00"/>
        <d v="2025-08-07T12:23:00"/>
        <d v="2025-08-07T12:31:00"/>
        <d v="2025-08-06T07:23:00"/>
        <d v="2025-08-06T05:46:00"/>
        <d v="2025-08-07T10:30:00"/>
        <d v="2025-08-07T11:26:00"/>
        <d v="2025-08-07T11:48:00"/>
        <d v="2025-08-06T05:41:00"/>
        <d v="2025-08-06T05:56:00"/>
        <d v="2025-08-01T15:31:00"/>
        <d v="2025-08-06T01:45:00"/>
        <d v="2025-07-29T06:27:00"/>
        <d v="2025-08-06T15:53:00"/>
        <d v="2025-08-06T02:58:00"/>
        <d v="2025-08-07T05:46:00"/>
        <d v="2025-08-07T01:02:00"/>
        <d v="2025-08-07T02:11:00"/>
        <d v="2025-08-07T03:08:00"/>
        <d v="2025-08-07T10:08:00"/>
        <d v="2025-08-06T05:57:00"/>
        <d v="2025-08-07T01:47:00"/>
        <d v="2025-08-07T04:25:00"/>
        <d v="2025-08-07T01:22:00"/>
        <d v="2025-08-07T12:07:00"/>
        <d v="2025-08-06T17:23:00"/>
        <d v="2025-07-31T07:29:00"/>
        <d v="2025-08-07T00:00:00"/>
        <d v="2025-08-07T15:56:00"/>
        <d v="2025-08-05T07:34:00"/>
        <d v="2025-08-01T16:47:00"/>
        <d v="2025-08-01T11:07:00"/>
        <d v="2025-07-31T14:56:00"/>
        <d v="2025-08-07T11:57:00"/>
        <d v="2025-08-01T08:54:00"/>
        <d v="2025-05-02T18:32:00"/>
        <d v="2025-07-29T11:49:00"/>
        <d v="2025-08-07T14:54:00"/>
        <d v="2025-08-07T10:39:00"/>
        <d v="2025-07-24T00:00:00"/>
        <d v="2025-07-30T00:00:00"/>
        <d v="2025-08-06T09:47:00"/>
        <d v="2025-08-05T18:01:00"/>
        <d v="2025-08-07T15:46:00"/>
        <d v="2025-08-07T16:04:00"/>
        <d v="2025-08-07T11:18:00"/>
        <d v="2025-08-06T16:03:00"/>
        <d v="2025-08-04T17:31:00"/>
        <d v="2025-07-16T00:00:00"/>
        <d v="2025-08-06T17:43:00"/>
        <d v="2025-08-06T13:31:00"/>
        <d v="2025-08-07T12:14:00"/>
        <d v="2025-08-07T14:45:00"/>
        <d v="2025-07-30T11:39:00"/>
        <d v="2025-08-05T11:21:00"/>
        <d v="2025-08-06T18:39:00"/>
        <d v="2025-02-17T14:51:00"/>
        <d v="2025-08-07T09:32:00"/>
        <d v="2025-08-06T16:06:00"/>
        <d v="2025-08-07T14:14:00"/>
        <d v="2025-08-07T14:00:00"/>
        <d v="2025-08-07T16:48:00"/>
        <d v="2025-08-07T14:57:00"/>
        <d v="2025-08-01T17:32:00"/>
        <d v="2025-07-23T14:28:00"/>
        <d v="2025-08-05T18:53:00"/>
        <d v="2025-08-05T18:54:00"/>
        <d v="2025-08-05T18:02:00"/>
        <d v="2025-08-06T14:04:00"/>
        <d v="2025-08-04T14:38:00"/>
        <d v="2025-08-07T14:47:00"/>
        <d v="2025-08-04T17:32:00"/>
        <d v="2025-08-07T17:24:00"/>
        <d v="2025-08-07T16:20:00"/>
        <d v="2025-08-05T13:02:00"/>
        <d v="2025-08-04T14:32:00"/>
        <d v="2025-07-28T13:52:00"/>
        <d v="2025-07-24T17:41:00"/>
        <d v="2025-07-24T17:45:00"/>
        <d v="2025-08-07T16:05:00"/>
        <d v="2025-07-31T11:06:00"/>
        <d v="2025-08-06T14:48:00"/>
        <d v="2025-08-06T14:44:00"/>
        <d v="2025-08-06T12:26:00"/>
        <d v="2025-08-07T18:33:00"/>
        <d v="2025-08-05T16:10:00"/>
        <d v="2025-08-07T17:04:00"/>
        <d v="2025-08-01T10:39:00"/>
        <d v="2025-08-06T13:08:00"/>
        <d v="2025-08-06T15:41:00"/>
        <d v="2025-08-04T19:31:00"/>
        <d v="2025-08-07T14:20:00"/>
        <d v="2025-08-07T08:00:00"/>
        <d v="2025-08-06T12:57:00"/>
        <d v="2025-08-04T10:00:00"/>
        <d v="2025-08-07T11:41:00"/>
        <d v="2025-06-10T00:00:00"/>
        <d v="2025-08-05T13:22:00"/>
        <d v="2025-08-04T16:23:00"/>
        <d v="2025-08-05T00:00:00"/>
        <d v="2025-08-07T09:39:00"/>
        <d v="2025-08-01T18:00:00"/>
        <d v="2025-07-15T12:50:00"/>
        <d v="2025-08-04T15:59:00"/>
        <d v="2025-07-15T11:00:00"/>
        <d v="2025-08-05T11:00:00"/>
        <d v="2025-08-06T09:23:00"/>
        <d v="2025-07-16T18:39:00"/>
        <d v="2025-08-07T19:01:00"/>
        <d v="2025-08-05T15:25:00"/>
        <d v="2025-08-05T15:21:00"/>
        <d v="2025-08-05T15:09:00"/>
        <d v="2025-08-05T15:04:00"/>
        <d v="2025-08-04T11:48:00"/>
        <d v="2025-08-07T08:58:00"/>
        <d v="2025-08-06T16:57:00"/>
        <d v="2025-08-04T14:36:00"/>
        <d v="2025-08-07T08:37:00"/>
        <d v="2025-08-07T08:33:00"/>
        <d v="2025-08-06T16:21:00"/>
        <d v="2025-07-16T16:53:00"/>
        <d v="2025-07-17T19:29:00"/>
        <d v="2025-08-04T17:58:00"/>
        <d v="2025-08-07T14:48:00"/>
        <d v="2025-07-31T09:19:00"/>
        <d v="2025-08-04T15:22:00"/>
        <d v="2025-08-04T18:00:00"/>
        <d v="2025-08-04T19:00:00"/>
        <d v="2025-08-05T17:18:00"/>
        <d v="2025-08-07T09:44:00"/>
        <d v="2025-01-17T11:03:00"/>
        <d v="2025-08-07T14:15:00"/>
        <d v="2025-08-07T14:43:00"/>
        <d v="2025-08-07T14:46:00"/>
        <d v="2025-08-07T09:13:00"/>
        <d v="2025-08-07T13:47:00"/>
        <d v="2025-08-07T11:11:00"/>
        <d v="2025-08-07T11:21:00"/>
        <d v="2025-08-07T09:34:00"/>
        <d v="2025-08-07T09:20:00"/>
        <d v="2025-08-06T13:48:00"/>
        <d v="2025-08-04T14:19:00"/>
        <d v="2025-08-07T15:22:00"/>
        <d v="2025-08-07T15:31:00"/>
        <d v="2025-08-07T14:30:00"/>
        <d v="2025-07-17T14:28:00"/>
        <d v="2025-07-16T15:08:00"/>
        <d v="2025-07-16T15:25:00"/>
        <d v="2025-07-16T15:11:00"/>
        <d v="2025-07-16T15:18:00"/>
        <d v="2025-07-16T15:27:00"/>
        <d v="2025-07-16T15:10:00"/>
        <d v="2025-07-28T11:12:00"/>
        <d v="2025-07-21T14:05:00"/>
        <d v="2025-07-17T14:33:00"/>
        <d v="2025-07-17T14:31:00"/>
        <d v="2025-07-16T14:23:00"/>
        <d v="2025-07-16T15:15:00"/>
        <d v="2025-07-16T15:23:00"/>
        <d v="2025-07-16T15:24:00"/>
        <d v="2025-07-21T14:06:00"/>
        <d v="2025-07-17T14:40:00"/>
        <d v="2025-07-17T14:39:00"/>
        <d v="2025-07-17T14:30:00"/>
        <d v="2025-07-17T14:27:00"/>
        <d v="2025-07-17T14:25:00"/>
        <d v="2025-07-01T10:14:00"/>
        <d v="2025-07-17T16:11:00"/>
        <d v="2025-07-17T16:10:00"/>
        <d v="2025-07-17T14:52:00"/>
        <d v="2025-07-17T14:53:00"/>
        <d v="2025-07-17T14:11:00"/>
        <d v="2025-07-17T14:49:00"/>
        <d v="2025-07-17T14:51:00"/>
        <d v="2025-07-15T11:10:00"/>
        <d v="2025-07-16T15:20:00"/>
        <d v="2025-07-16T15:21:00"/>
        <d v="2025-07-15T11:07:00"/>
        <d v="2025-08-01T10:12:00"/>
        <d v="2025-08-04T00:00:00"/>
        <d v="2025-05-29T10:06:00"/>
        <d v="2025-08-06T00:00:00"/>
        <d v="2025-08-06T11:33:00"/>
        <d v="2025-07-31T00:00:00"/>
        <d v="2025-07-07T00:00:00"/>
        <d v="2025-07-08T00:00:00"/>
        <d v="2025-08-07T14:53:00"/>
        <d v="2025-08-05T12:44:00"/>
        <d v="2025-08-05T14:02:00"/>
        <d v="2025-07-31T19:34:00"/>
        <d v="2025-08-07T19:00:00"/>
        <d v="2025-08-07T15:03:00"/>
        <d v="2025-07-24T16:02:00"/>
        <d v="2025-07-25T11:02:00"/>
        <d v="2025-07-15T13:34:00"/>
        <d v="2025-08-07T13:06:00"/>
        <d v="2025-08-04T11:30:00"/>
        <d v="2025-08-01T09:37:00"/>
        <d v="2025-08-04T12:07:00"/>
        <d v="2025-08-06T11:39:00"/>
        <d v="2025-08-06T11:44:00"/>
        <d v="2025-08-06T11:36:00"/>
        <d v="2025-08-04T09:14:00"/>
        <d v="2025-08-04T09:31:00"/>
        <d v="2025-08-07T15:28:00"/>
        <d v="2025-08-06T09:28:00"/>
        <d v="2025-08-05T12:40:00"/>
        <d v="2025-08-06T12:28:00"/>
        <d v="2025-08-06T12:37:00"/>
        <d v="2025-08-06T12:40:00"/>
        <d v="2025-08-06T12:08:00"/>
        <d v="2025-08-07T12:53:00"/>
        <d v="2025-07-18T06:24:00"/>
        <d v="2025-08-05T13:03:00"/>
        <d v="2025-08-06T12:11:00"/>
        <d v="2025-08-07T06:59:00"/>
        <d v="2025-08-07T13:53:00"/>
        <d v="2025-08-07T15:16:00"/>
        <d v="2025-08-05T09:59:00"/>
        <d v="2025-08-07T06:18:00"/>
        <d v="2025-08-07T06:13:00"/>
        <d v="2025-07-28T12:31:00"/>
        <d v="2025-08-06T17:08:00"/>
        <d v="2025-08-04T09:24:00"/>
        <d v="2025-08-04T09:30:00"/>
        <d v="2025-07-28T13:35:00"/>
        <d v="2025-07-31T17:06:00"/>
        <d v="2025-08-01T14:29:00"/>
        <d v="2025-08-06T21:56:00"/>
        <d v="2025-08-07T16:00:00"/>
        <d v="2025-08-06T10:50:00"/>
        <d v="2025-07-29T14:00:00"/>
        <d v="2025-07-29T14:10:00"/>
        <d v="2025-08-06T11:55:00"/>
        <d v="2025-08-06T14:27:00"/>
        <d v="2025-08-05T15:46:00"/>
        <d v="2025-08-06T14:59:00"/>
        <d v="2025-08-07T18:28:00"/>
        <d v="2025-08-07T18:57:00"/>
        <d v="2025-08-04T11:57:00"/>
        <d v="2025-08-07T17:40:00"/>
        <d v="2025-08-07T13:44:00"/>
        <d v="2025-08-04T19:14:00"/>
        <d v="2025-08-04T09:54:00"/>
        <d v="2025-08-05T13:42:00"/>
        <d v="2025-08-07T15:59:00"/>
        <d v="2025-08-04T10:05:00"/>
        <d v="2025-08-04T18:53:00"/>
        <d v="2025-08-05T18:39:00"/>
        <d v="2025-08-06T17:19:00"/>
        <d v="2025-08-04T13:29:00"/>
        <d v="2025-08-07T15:33:00"/>
        <d v="2025-08-07T15:54:00"/>
        <d v="2025-08-07T17:07:00"/>
        <d v="2025-07-10T09:35:00"/>
        <d v="2025-07-18T12:05:00"/>
        <d v="2025-08-06T10:57:00"/>
        <d v="2025-07-29T15:02:00"/>
        <d v="2025-07-25T17:51:00"/>
        <d v="2025-07-29T18:11:00"/>
        <d v="2025-08-06T13:46:00"/>
        <d v="2025-08-07T18:43:00"/>
        <d v="2025-08-07T18:12:00"/>
        <d v="2025-08-06T09:29:00"/>
        <d v="2025-08-05T13:45:00"/>
        <d v="2025-08-01T12:47:00"/>
        <d v="2025-07-25T15:33:00"/>
        <d v="2025-08-06T11:04:00"/>
        <d v="2025-08-04T17:39:00"/>
        <d v="2025-08-07T08:20:00"/>
        <d v="2025-08-04T15:45:00"/>
        <d v="2025-08-04T08:13:00"/>
        <d v="2025-08-05T15:00:00"/>
        <d v="2025-08-07T10:41:00"/>
        <d v="2025-07-30T11:11:00"/>
        <d v="2025-07-29T08:53:00"/>
        <d v="2025-08-07T07:12:00"/>
        <d v="2025-08-06T13:25:00"/>
        <d v="2025-08-07T15:13:00"/>
        <d v="2025-08-07T12:44:00"/>
        <d v="2025-08-05T15:44:00"/>
        <d v="2025-08-07T10:19:00"/>
        <d v="2025-08-06T09:45:00"/>
        <d v="2025-08-04T11:07:00"/>
        <d v="2025-08-04T10:34:00"/>
        <d v="2025-08-04T10:58:00"/>
        <d v="2025-08-07T17:50:00"/>
        <d v="2025-08-07T17:52:00"/>
        <d v="2025-08-07T17:51:00"/>
        <d v="2025-08-07T17:49:00"/>
        <d v="2025-08-07T15:17:00"/>
        <d v="2025-08-07T17:48:00"/>
        <d v="2025-08-06T08:53:00"/>
        <d v="2025-08-06T08:51:00"/>
        <d v="2025-08-05T10:21:00"/>
        <d v="2025-08-05T06:44:00"/>
        <d v="2025-08-07T13:57:00"/>
        <m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2:16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7-01T08:49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7-25T09:43:00" u="1"/>
        <d v="2025-07-25T09:45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1:24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4T13:12:00" u="1"/>
        <d v="2025-08-05T10:20:00" u="1"/>
        <d v="2025-08-05T15:30:00" u="1"/>
        <d v="2025-08-05T15:35:00" u="1"/>
        <d v="2025-08-06T00:16:00" u="1"/>
        <d v="2025-08-06T00:15:00" u="1"/>
        <d v="2025-04-07T07:38:00" u="1"/>
        <d v="2025-08-05T09:55:00" u="1"/>
        <d v="2025-08-04T19:42:00" u="1"/>
        <d v="2025-08-04T09:44:00" u="1"/>
        <d v="2025-08-01T14:09:00" u="1"/>
        <d v="2025-08-05T11:27:00" u="1"/>
        <d v="2025-08-05T14:05:00" u="1"/>
        <d v="2025-08-05T10:33:00" u="1"/>
        <d v="2025-07-31T05:03:00" u="1"/>
        <d v="2025-08-04T08:22:00" u="1"/>
        <d v="2025-08-04T16:27:00" u="1"/>
        <d v="2025-08-04T09:12:00" u="1"/>
        <d v="2025-08-01T14:11:00" u="1"/>
        <d v="2025-08-04T13:10:00" u="1"/>
        <d v="2025-08-05T13:27:00" u="1"/>
        <d v="2025-08-05T11:58:00" u="1"/>
        <d v="2025-08-05T12:59:00" u="1"/>
        <d v="2025-08-05T06:05:00" u="1"/>
        <d v="2025-08-05T06:08:00" u="1"/>
        <d v="2025-08-05T08:48:00" u="1"/>
        <d v="2025-08-05T04:24:00" u="1"/>
        <d v="2025-08-04T03:53:00" u="1"/>
        <d v="2025-08-05T08:03:00" u="1"/>
        <d v="2025-08-05T03:50:00" u="1"/>
        <d v="2025-08-05T05:44:00" u="1"/>
        <d v="2025-08-05T05:42:00" u="1"/>
        <d v="2025-08-05T06:43:00" u="1"/>
        <d v="2025-08-01T21:43:00" u="1"/>
        <d v="2025-07-31T20:05:00" u="1"/>
        <d v="2025-07-29T07:40:00" u="1"/>
        <d v="2025-08-01T16:49:00" u="1"/>
        <d v="2025-08-01T16:53:00" u="1"/>
        <d v="2025-08-01T16:56:00" u="1"/>
        <d v="2025-07-25T09:00:00" u="1"/>
        <d v="2025-07-23T16:37:00" u="1"/>
        <d v="2025-07-25T08:47:00" u="1"/>
        <d v="2025-07-31T11:34:00" u="1"/>
        <d v="2025-08-01T15:56:00" u="1"/>
        <d v="2025-08-04T10:26:00" u="1"/>
        <d v="2025-08-01T15:54:00" u="1"/>
        <d v="2025-08-01T15:53:00" u="1"/>
        <d v="2025-08-04T19:32:00" u="1"/>
        <d v="2025-07-28T10:36:00" u="1"/>
        <d v="2025-08-05T16:20:00" u="1"/>
        <d v="2025-08-04T18:55:00" u="1"/>
        <d v="2025-08-05T09:39:00" u="1"/>
        <d v="2025-08-05T11:52:00" u="1"/>
        <d v="2025-08-05T16:00:00" u="1"/>
        <d v="2025-08-05T06:00:00" u="1"/>
        <d v="2025-08-05T14:40:00" u="1"/>
        <d v="2025-08-05T12:48:00" u="1"/>
        <d v="2025-08-05T12:22:00" u="1"/>
        <d v="2025-08-05T12:34:00" u="1"/>
        <d v="2025-08-05T14:07:00" u="1"/>
        <d v="2025-08-04T09:10:00" u="1"/>
        <d v="2025-08-05T13:12:00" u="1"/>
        <d v="2025-08-04T11:55:00" u="1"/>
        <d v="2025-08-05T18:55:00" u="1"/>
        <d v="2025-08-05T12:51:00" u="1"/>
        <d v="2025-03-25T11:36:00" u="1"/>
        <d v="2025-08-05T15:56:00" u="1"/>
        <d v="2025-07-17T17:03:00" u="1"/>
        <d v="2025-07-17T10:47:00" u="1"/>
        <d v="2025-07-25T10:36:00" u="1"/>
        <d v="2025-08-05T11:48:00" u="1"/>
        <d v="2025-07-24T16:49:00" u="1"/>
        <d v="2025-07-30T15:50:00" u="1"/>
        <d v="2025-07-25T15:09:00" u="1"/>
        <d v="2025-08-05T13:04:00" u="1"/>
        <d v="2025-08-05T12:47:00" u="1"/>
        <d v="2025-08-04T12:47:00" u="1"/>
        <d v="2025-08-05T08:52:00" u="1"/>
        <d v="2025-07-28T16:34:00" u="1"/>
        <d v="2025-08-05T18:52:00" u="1"/>
        <d v="2025-05-29T15:45:00" u="1"/>
        <d v="2025-08-04T15:56:00" u="1"/>
        <d v="2025-07-30T09:28:00" u="1"/>
        <d v="2025-07-31T14:26:00" u="1"/>
        <d v="2025-08-05T19:26:00" u="1"/>
        <d v="2025-08-04T15:09:00" u="1"/>
        <d v="2025-08-04T15:02:00" u="1"/>
        <d v="2025-07-24T10:17:00" u="1"/>
        <d v="2025-08-04T13:45:00" u="1"/>
        <d v="2025-08-04T13:51:00" u="1"/>
        <d v="2025-07-30T16:20:00" u="1"/>
        <d v="2025-08-04T14:30:00" u="1"/>
        <d v="2025-08-04T14:41:00" u="1"/>
        <d v="2025-07-28T16:33:00" u="1"/>
        <d v="2025-07-28T16:51:00" u="1"/>
        <d v="2025-08-05T07:49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5T09:49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7-25T15:24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7-22T10:43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28T12:35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6-02T14:03:00" u="1"/>
        <d v="2025-02-06T18:30:00" u="1"/>
        <d v="2025-03-17T10:43:00" u="1"/>
        <d v="2025-02-26T09:17:00" u="1"/>
        <d v="2025-03-14T18:27:00" u="1"/>
        <d v="2025-02-07T23:23:00" u="1"/>
        <d v="2025-03-19T23:45:00" u="1"/>
        <d v="2025-03-26T00:00:00" u="1"/>
        <d v="2025-05-02T13:07:00" u="1"/>
        <d v="2025-05-06T09:09:00" u="1"/>
        <d v="2025-05-06T09:06:00" u="1"/>
        <d v="2025-04-17T18:38:00" u="1"/>
        <d v="2025-04-17T18:27:00" u="1"/>
        <d v="2025-05-28T17:49:00" u="1"/>
        <d v="2025-05-09T00:00:00" u="1"/>
        <d v="2025-06-03T14:12:00" u="1"/>
        <d v="2025-06-03T14:04:00" u="1"/>
        <d v="2025-06-03T09:18:00" u="1"/>
        <d v="2025-06-03T09:13:00" u="1"/>
        <d v="2025-06-02T21:14:00" u="1"/>
        <d v="2025-05-09T09:50:00" u="1"/>
        <d v="2025-05-06T16:05:00" u="1"/>
        <d v="2025-05-16T10:48:00" u="1"/>
        <d v="2025-05-15T12:09:00" u="1"/>
        <d v="2025-05-27T17:11:00" u="1"/>
        <d v="2025-05-27T19:37:00" u="1"/>
        <d v="2025-05-07T14:41:00" u="1"/>
        <d v="2025-05-15T10:31:00" u="1"/>
        <d v="2025-05-15T10:16:00" u="1"/>
        <d v="2025-06-10T11:23:00" u="1"/>
        <d v="2025-06-04T08:17:00" u="1"/>
        <d v="2025-06-06T10:40:00" u="1"/>
        <d v="2025-06-03T13:54:00" u="1"/>
        <d v="2025-06-03T12:40:00" u="1"/>
        <d v="2025-06-03T12:24:00" u="1"/>
        <d v="2025-06-03T12:19:00" u="1"/>
        <d v="2025-06-05T13:00:00" u="1"/>
        <d v="2025-06-05T12:28:00" u="1"/>
        <d v="2025-06-03T16:38:00" u="1"/>
        <d v="2025-05-23T10:32:00" u="1"/>
        <d v="2025-06-03T19:10:00" u="1"/>
        <d v="2025-05-29T12:12:00" u="1"/>
        <d v="2025-05-06T09:00:00" u="1"/>
        <d v="2025-06-05T11:27:00" u="1"/>
        <d v="2025-05-27T00:00:00" u="1"/>
        <d v="2025-06-04T15:05:00" u="1"/>
        <d v="2025-06-10T09:26:00" u="1"/>
        <d v="2025-06-05T14:37:00" u="1"/>
        <d v="2025-06-09T10:31:00" u="1"/>
        <d v="2025-06-06T13:41:00" u="1"/>
        <d v="2025-06-06T10:37:00" u="1"/>
        <d v="2025-06-09T12:23:00" u="1"/>
        <d v="2025-06-04T16:36:00" u="1"/>
        <d v="2025-06-09T15:33:00" u="1"/>
        <d v="2025-06-11T14:50:00" u="1"/>
        <d v="2025-06-11T12:16:00" u="1"/>
        <d v="2025-06-11T19:00:00" u="1"/>
        <d v="2025-06-05T16:58:00" u="1"/>
        <d v="2025-06-20T18:10:00" u="1"/>
        <d v="2025-06-16T17:02:00" u="1"/>
        <d v="2025-06-12T12:41:00" u="1"/>
        <d v="2025-06-16T17:55:00" u="1"/>
        <d v="2025-06-18T15:26:00" u="1"/>
        <d v="2025-06-11T14:46:00" u="1"/>
        <d v="2025-06-11T14:41:00" u="1"/>
        <d v="2025-06-16T11:23:00" u="1"/>
        <d v="2025-01-15T10:21:00" u="1"/>
        <d v="2025-06-13T16:46:00" u="1"/>
        <d v="2025-06-12T17:28:00" u="1"/>
        <d v="2025-06-18T11:34:00" u="1"/>
        <d v="2025-06-18T17:00:00" u="1"/>
        <d v="2025-06-18T08:29:00" u="1"/>
        <d v="2025-06-16T15:44:00" u="1"/>
        <d v="2025-06-17T17:33:00" u="1"/>
        <d v="2025-06-11T14:35:00" u="1"/>
        <d v="2025-06-11T11:15:00" u="1"/>
        <d v="2025-06-11T11:20:00" u="1"/>
        <d v="2025-06-16T14:56:00" u="1"/>
        <d v="2025-06-18T09:52:00" u="1"/>
        <d v="2025-06-18T12:36:00" u="1"/>
        <d v="2025-06-16T08:08:00" u="1"/>
        <d v="2025-06-16T18:25:00" u="1"/>
        <d v="2025-06-18T00:00:00" u="1"/>
        <d v="2025-06-12T00:00:00" u="1"/>
        <d v="2025-06-22T13:41:00" u="1"/>
        <d v="2025-06-17T17:36:00" u="1"/>
        <d v="2025-06-18T09:30:00" u="1"/>
        <d v="2025-06-12T10:34:00" u="1"/>
        <d v="2025-06-16T18:42:00" u="1"/>
        <d v="2025-06-16T10:29:00" u="1"/>
        <d v="2025-06-13T13:50:00" u="1"/>
        <d v="2025-06-17T18:06:00" u="1"/>
        <d v="2025-06-18T12:35:00" u="1"/>
        <d v="2025-06-18T11:01:00" u="1"/>
        <d v="2025-06-17T15:55:00" u="1"/>
        <d v="2025-06-18T10:51:00" u="1"/>
        <d v="2025-06-18T13:28:00" u="1"/>
        <d v="2025-06-18T16:55:00" u="1"/>
        <d v="2025-06-16T14:56:28" u="1"/>
        <d v="2025-06-13T17:07:00" u="1"/>
        <d v="2025-06-17T16:25:00" u="1"/>
        <d v="2025-04-02T16:35:00" u="1"/>
        <d v="2025-04-19T00:37:00" u="1"/>
        <d v="2025-06-17T18:13:00" u="1"/>
        <d v="2025-06-13T10:29:00" u="1"/>
        <d v="2025-06-16T17:10:00" u="1"/>
        <d v="2025-06-17T15:40:00" u="1"/>
        <d v="2025-06-12T13:53:00" u="1"/>
        <d v="2025-06-16T11:12:00" u="1"/>
        <d v="2025-06-11T15:53:00" u="1"/>
        <d v="2025-06-11T17:36:00" u="1"/>
        <d v="2025-06-16T15:08:28" u="1"/>
        <d v="2025-06-17T11:30:00" u="1"/>
        <d v="2025-05-27T12:46:00" u="1"/>
        <d v="2025-06-13T16:10:00" u="1"/>
        <d v="2025-06-13T16:03:00" u="1"/>
        <d v="2025-06-20T14:07:00" u="1"/>
        <d v="2025-06-30T13:05:00" u="1"/>
        <d v="2025-06-18T16:17:00" u="1"/>
        <d v="2025-06-23T10:41:00" u="1"/>
        <d v="2025-06-27T17:03:00" u="1"/>
        <d v="2025-06-25T09:55:00" u="1"/>
        <d v="2025-06-23T19:57:00" u="1"/>
        <d v="2025-06-26T15:05:00" u="1"/>
        <d v="2025-06-26T15:17:00" u="1"/>
        <d v="2025-06-25T13:35:00" u="1"/>
        <d v="2025-06-25T13:29:00" u="1"/>
        <d v="2025-06-23T18:17:00" u="1"/>
        <d v="2025-06-27T07:49:00" u="1"/>
        <d v="2025-06-23T16:54:00" u="1"/>
        <d v="2025-06-27T14:15:00" u="1"/>
        <d v="2025-06-23T11:23:00" u="1"/>
        <d v="2025-06-25T18:28:00" u="1"/>
        <d v="2025-06-25T18:59:00" u="1"/>
        <d v="2025-06-24T16:38:00" u="1"/>
        <d v="2025-06-30T15:10:00" u="1"/>
        <d v="2025-06-30T14:08:00" u="1"/>
        <d v="2025-06-24T13:30:00" u="1"/>
        <d v="2025-06-25T13:19:00" u="1"/>
        <d v="2025-06-18T16:08:00" u="1"/>
        <d v="2025-06-10T10:03:00" u="1"/>
        <d v="2025-06-20T00:00:00" u="1"/>
        <d v="2025-06-13T17:02:00" u="1"/>
        <d v="2025-06-13T16:57:00" u="1"/>
        <d v="2025-06-13T17:10:00" u="1"/>
        <d v="2025-06-06T10:09:00" u="1"/>
        <d v="2025-06-25T09:28:00" u="1"/>
        <d v="2025-06-23T15:50:00" u="1"/>
        <d v="2025-06-26T12:42:00" u="1"/>
        <d v="2025-06-26T12:45:00" u="1"/>
        <d v="2025-06-26T12:15:00" u="1"/>
        <d v="2025-06-23T10:17:00" u="1"/>
        <d v="2025-06-23T16:45:00" u="1"/>
        <d v="2025-06-30T14:03:00" u="1"/>
        <d v="2025-06-24T08:01:00" u="1"/>
        <d v="2025-06-27T08:35:00" u="1"/>
        <d v="2025-06-27T07:46:00" u="1"/>
        <d v="2025-06-27T08:01:00" u="1"/>
        <d v="2025-06-26T15:14:00" u="1"/>
        <d v="2025-06-25T17:13:00" u="1"/>
        <d v="2025-06-24T18:04:00" u="1"/>
        <d v="2025-06-27T09:24:00" u="1"/>
        <d v="2025-06-27T10:30:00" u="1"/>
        <d v="2025-06-25T10:51:00" u="1"/>
        <d v="2025-06-27T16:51:00" u="1"/>
        <d v="2025-06-17T00:00:00" u="1"/>
        <d v="2025-06-27T11:18:00" u="1"/>
        <d v="2025-06-30T00:00:00" u="1"/>
        <d v="2025-06-06T12:09:00" u="1"/>
        <d v="2025-06-26T15:06:00" u="1"/>
        <d v="2025-06-18T13:27:00" u="1"/>
        <d v="2025-06-25T15:01:00" u="1"/>
        <d v="2025-06-24T15:18:00" u="1"/>
        <d v="2025-06-26T09:18:00" u="1"/>
        <d v="2025-06-25T13:37:00" u="1"/>
        <d v="2025-06-25T17:09:00" u="1"/>
        <d v="2025-06-24T15:06:00" u="1"/>
        <d v="2025-06-26T18:00:00" u="1"/>
        <d v="2025-06-17T18:17:01" u="1"/>
        <d v="2025-06-27T10:07:00" u="1"/>
        <d v="2025-06-16T10:35:55" u="1"/>
        <d v="2025-06-23T17:30:00" u="1"/>
        <d v="2025-06-24T07:56:00" u="1"/>
        <d v="2025-06-25T17:39:00" u="1"/>
        <d v="2025-06-26T15:27:00" u="1"/>
        <d v="2025-06-30T12:00:00" u="1"/>
        <d v="2025-06-26T19:00:00" u="1"/>
        <d v="2025-06-25T11:19:00" u="1"/>
        <d v="2025-06-27T17:07:00" u="1"/>
        <d v="2025-06-25T19:47:00" u="1"/>
        <d v="2025-06-25T17:00:00" u="1"/>
        <d v="2025-06-25T17:17:00" u="1"/>
        <d v="2025-06-24T18:22:00" u="1"/>
        <d v="2025-05-30T00:00:00" u="1"/>
        <d v="2025-06-26T07:50:00" u="1"/>
        <d v="2025-06-30T13:23:00" u="1"/>
        <d v="2025-06-30T13:33:00" u="1"/>
        <d v="2025-06-30T14:10:00" u="1"/>
        <d v="2025-06-27T11:46:00" u="1"/>
        <d v="2025-06-23T17:04:00" u="1"/>
        <d v="2025-06-27T11:36:00" u="1"/>
        <d v="2025-06-23T16:10:00" u="1"/>
        <d v="2025-06-23T14:11:00" u="1"/>
        <d v="2025-06-30T13:42:00" u="1"/>
        <d v="2025-06-30T14:40:00" u="1"/>
        <d v="2025-06-25T06:36:00" u="1"/>
        <d v="2025-06-16T00:00:00" u="1"/>
        <d v="2025-06-23T20:00:00" u="1"/>
        <d v="2025-06-26T08:43:00" u="1"/>
        <d v="2025-06-26T09:44:00" u="1"/>
        <d v="2025-06-26T17:57:00" u="1"/>
        <d v="2025-06-14T18:20:00" u="1"/>
        <d v="2025-03-26T17:51:00" u="1"/>
        <d v="2025-06-24T11:20:00" u="1"/>
        <d v="2025-06-27T15:48:00" u="1"/>
        <d v="2025-06-27T10:38:00" u="1"/>
        <d v="2025-04-04T08:01:00" u="1"/>
        <d v="2025-06-08T06:20:00" u="1"/>
        <d v="2025-04-15T07:59:00" u="1"/>
        <d v="2025-06-03T22:51:00" u="1"/>
        <d v="2024-11-13T13:33:00" u="1"/>
        <d v="2024-11-19T06:27:00" u="1"/>
        <d v="2025-06-30T17:39:00" u="1"/>
        <d v="2025-06-30T15:47:00" u="1"/>
        <d v="2025-06-30T15:39:00" u="1"/>
        <d v="2025-07-01T15:17:00" u="1"/>
        <d v="2025-06-26T08:13:00" u="1"/>
        <d v="2025-07-03T09:00:00" u="1"/>
        <d v="2025-07-03T09:12:00" u="1"/>
        <d v="2025-07-03T09:35:00" u="1"/>
        <d v="2025-07-03T11:49:00" u="1"/>
        <d v="2025-07-03T10:18:00" u="1"/>
        <d v="2025-07-03T10:22:00" u="1"/>
        <d v="2025-07-01T18:08:00" u="1"/>
        <d v="2025-03-21T10:02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6:26:00" u="1"/>
        <d v="2025-07-02T10:31:00" u="1"/>
        <d v="2025-06-30T17:30:00" u="1"/>
        <d v="2025-07-04T16:15:00" u="1"/>
        <d v="2025-07-02T17:42:00" u="1"/>
        <d v="2025-06-30T09:50:00" u="1"/>
        <d v="2025-07-01T16:17:00" u="1"/>
        <d v="2025-07-03T09:27:00" u="1"/>
        <d v="2025-06-30T14:39:00" u="1"/>
        <d v="2025-07-02T00:00:00" u="1"/>
        <d v="2025-07-02T10:34:00" u="1"/>
        <d v="2025-07-02T10:35:00" u="1"/>
        <d v="2025-07-02T18:01:00" u="1"/>
        <d v="2025-07-03T11:41:00" u="1"/>
        <d v="2025-07-01T09:42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1T00:00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1T16:23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07:47:00" u="1"/>
        <d v="2025-07-01T06:32:00" u="1"/>
        <d v="2025-07-01T07:23:00" u="1"/>
        <d v="2025-07-02T11:04:00" u="1"/>
        <d v="2025-07-02T11:09:00" u="1"/>
        <d v="2025-07-02T06:28:00" u="1"/>
        <d v="2025-07-02T08:24:00" u="1"/>
        <d v="2025-07-02T08:37:00" u="1"/>
        <d v="2025-07-02T08:44:00" u="1"/>
        <d v="2025-07-02T08:48:00" u="1"/>
        <d v="2025-07-02T08:54:00" u="1"/>
        <d v="2025-07-02T09:01:00" u="1"/>
        <d v="2025-07-03T07:12:00" u="1"/>
        <d v="2025-07-03T08:18:00" u="1"/>
        <d v="2025-07-02T10:39:00" u="1"/>
        <d v="2025-07-01T09:02:00" u="1"/>
        <d v="2025-07-03T11:19:00" u="1"/>
        <d v="2025-07-02T10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1T16:20:00" u="1"/>
        <d v="2025-06-30T13:39:00" u="1"/>
        <d v="2025-06-30T10:36:00" u="1"/>
        <d v="2025-07-02T10:37:00" u="1"/>
        <d v="2025-06-27T10:35:00" u="1"/>
        <d v="2025-07-01T10:31:00" u="1"/>
        <d v="2025-07-02T18:48:00" u="1"/>
        <d v="2025-07-02T14:49:00" u="1"/>
        <d v="2025-07-02T10:17:00" u="1"/>
        <d v="2025-07-01T09:33:00" u="1"/>
        <d v="2025-07-01T09:44:00" u="1"/>
        <d v="2025-07-01T20:54:00" u="1"/>
        <d v="2025-06-18T10:19:00" u="1"/>
        <d v="2025-07-02T11:41:00" u="1"/>
        <d v="2025-07-01T19:18:00" u="1"/>
        <d v="2025-07-03T12:47:00" u="1"/>
        <d v="2025-06-02T11:25:00" u="1"/>
        <d v="2025-06-10T15:50:00" u="1"/>
        <d v="2025-06-25T08:43:00" u="1"/>
        <d v="2025-07-01T09:23:00" u="1"/>
        <d v="2025-07-03T09:37:00" u="1"/>
        <d v="2025-07-03T10:04:00" u="1"/>
        <d v="2025-07-02T09:23:00" u="1"/>
        <d v="2025-07-01T15:12:00" u="1"/>
        <d v="2025-06-24T13:39:00" u="1"/>
        <d v="2025-07-03T11:34:00" u="1"/>
        <d v="2025-07-01T09:07:00" u="1"/>
        <d v="2025-07-02T12:18:00" u="1"/>
        <d v="2025-07-02T15:36:00" u="1"/>
        <d v="2025-07-01T13:11:00" u="1"/>
        <d v="2025-07-02T18:54:00" u="1"/>
        <d v="2025-07-03T11:10:00" u="1"/>
        <d v="2025-06-26T13:45:00" u="1"/>
        <d v="2025-06-24T17:35:00" u="1"/>
        <d v="2025-06-30T11:19:00" u="1"/>
        <d v="2025-05-27T11:21:00" u="1"/>
        <d v="2025-07-01T15:39:00" u="1"/>
        <d v="2025-07-01T09:15:00" u="1"/>
        <d v="2025-07-02T14:37:00" u="1"/>
        <d v="2025-07-01T07:51:00" u="1"/>
        <d v="2025-07-01T22:00:00" u="1"/>
        <d v="2025-07-01T21:09:00" u="1"/>
        <d v="2025-07-02T14:05:00" u="1"/>
        <d v="2025-07-01T14:22:00" u="1"/>
        <d v="2025-07-01T14:28:00" u="1"/>
        <d v="2025-07-01T14:36:00" u="1"/>
        <d v="2025-07-01T17:31:00" u="1"/>
        <d v="2025-07-02T15:00:00" u="1"/>
        <d v="2025-06-26T10:58:00" u="1"/>
        <d v="2025-06-30T18:52:00" u="1"/>
        <d v="2025-07-02T10:18:00" u="1"/>
        <d v="2025-07-01T18:52:00" u="1"/>
        <d v="2025-07-01T12:32:00" u="1"/>
        <d v="2025-07-02T16:02:00" u="1"/>
        <d v="2025-07-01T13:43:00" u="1"/>
        <d v="2025-05-18T12:25:00" u="1"/>
        <d v="2025-07-02T10:45:00" u="1"/>
        <d v="2025-07-01T16:49:00" u="1"/>
        <d v="2025-07-01T21:35:00" u="1"/>
        <d v="2025-07-01T22:02:00" u="1"/>
        <d v="2025-07-01T22:19:00" u="1"/>
        <d v="2025-07-01T22:06:00" u="1"/>
        <d v="2025-07-01T20:05:00" u="1"/>
        <d v="2025-07-01T13:05:00" u="1"/>
        <d v="2025-07-01T17:19:00" u="1"/>
        <d v="2025-07-03T07:42:00" u="1"/>
        <d v="2025-07-02T12:35:00" u="1"/>
        <d v="2025-07-02T16:00:00" u="1"/>
        <d v="2025-07-02T11:32:00" u="1"/>
        <d v="2025-07-01T21:59:00" u="1"/>
        <d v="2025-07-01T16:42:00" u="1"/>
        <d v="2025-07-03T10:38:00" u="1"/>
        <d v="2025-06-23T16:58:00" u="1"/>
        <d v="2025-06-30T17:09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3T18:51:00" u="1"/>
        <d v="2025-07-04T08:33:00" u="1"/>
        <d v="2025-07-03T13:44:00" u="1"/>
        <d v="2025-07-03T16:45:00" u="1"/>
        <d v="2025-07-04T17:06:00" u="1"/>
        <d v="2025-07-04T15:32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3T20:05:00" u="1"/>
        <d v="2025-07-04T11:07:00" u="1"/>
        <d v="2025-07-04T11:09:00" u="1"/>
        <d v="2025-07-03T16:10:00" u="1"/>
        <d v="2025-07-04T08:43:00" u="1"/>
        <d v="2025-07-03T11:38:00" u="1"/>
        <d v="2025-07-04T13:34:00" u="1"/>
        <d v="2025-07-04T12:25:00" u="1"/>
        <d v="2025-07-04T12:58:00" u="1"/>
        <d v="2025-07-04T12:40:00" u="1"/>
        <d v="2025-07-04T09:57:00" u="1"/>
        <d v="2025-07-04T07:26:00" u="1"/>
        <d v="2025-07-04T15:53:00" u="1"/>
        <d v="2025-07-04T14:07:00" u="1"/>
        <d v="2025-07-04T14:24:00" u="1"/>
        <d v="2025-07-04T14:51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00:00:00" u="1"/>
        <d v="2025-07-04T11:48:00" u="1"/>
        <d v="2025-07-03T17:52:00" u="1"/>
        <d v="2025-07-04T11:55:00" u="1"/>
        <d v="2025-07-04T17:54:00" u="1"/>
        <d v="2025-07-04T10:11:00" u="1"/>
        <d v="2025-07-04T15:49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4T14:34:00" u="1"/>
        <d v="2025-07-01T13:59:00" u="1"/>
        <d v="2025-07-04T14:48:00" u="1"/>
        <d v="2025-07-03T17:31:00" u="1"/>
        <d v="2025-07-04T13:57:00" u="1"/>
        <d v="2025-07-02T09:47:00" u="1"/>
        <d v="2025-07-03T14:03:00" u="1"/>
        <d v="2025-07-03T14:11:00" u="1"/>
        <d v="2025-07-03T15:59:00" u="1"/>
        <d v="2025-07-03T16:04:00" u="1"/>
        <d v="2025-07-04T09:40:00" u="1"/>
        <d v="2025-07-04T09:28:00" u="1"/>
        <d v="2025-07-04T08:09:00" u="1"/>
        <d v="2025-07-04T08:21:00" u="1"/>
        <d v="2025-07-04T08:26:00" u="1"/>
        <d v="2025-07-04T07:55:00" u="1"/>
        <d v="2025-07-04T07:59:00" u="1"/>
        <d v="2025-07-04T08:05:00" u="1"/>
        <d v="2025-07-03T16:43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14:30:00" u="1"/>
        <d v="2025-07-04T14:33:00" u="1"/>
        <d v="2025-07-04T10:20:00" u="1"/>
        <d v="2025-07-04T11:31:00" u="1"/>
        <d v="2025-07-03T14:32:00" u="1"/>
        <d v="2025-07-04T14:04:00" u="1"/>
        <d v="2025-07-03T18:50:00" u="1"/>
        <d v="2025-07-04T16:08:00" u="1"/>
        <d v="2025-07-04T14:10:00" u="1"/>
        <d v="2025-07-04T11:01:00" u="1"/>
        <d v="2025-07-04T10:40:00" u="1"/>
        <d v="2025-07-04T09:38:00" u="1"/>
        <d v="2025-07-04T08:13:00" u="1"/>
        <d v="2025-07-03T19:01:00" u="1"/>
        <d v="2025-07-03T19:55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3:49:00" u="1"/>
        <d v="2025-07-04T18:55:00" u="1"/>
        <d v="2025-07-03T14:53:00" u="1"/>
        <d v="2025-07-04T15:57:00" u="1"/>
        <d v="2025-06-25T07:01:00" u="1"/>
        <d v="2025-03-06T12:00:00" u="1"/>
        <d v="2025-07-03T14:41:00" u="1"/>
        <d v="2025-07-04T15:59:00" u="1"/>
        <d v="2025-07-04T18:47:00" u="1"/>
        <d v="2025-07-04T18:04:00" u="1"/>
        <d v="2025-07-03T18:32:00" u="1"/>
        <d v="2025-07-04T07:24:00" u="1"/>
        <d v="2025-07-04T09:43:00" u="1"/>
        <d v="2025-06-24T13:57:00" u="1"/>
        <d v="2025-07-03T15:21:00" u="1"/>
        <d v="2025-07-04T09:30:00" u="1"/>
        <d v="2025-07-04T14:32:00" u="1"/>
        <d v="2025-07-04T05:35:00" u="1"/>
        <d v="2025-07-02T08:55:00" u="1"/>
        <d v="2025-07-04T16:12:00" u="1"/>
        <d v="2025-07-04T15:31:00" u="1"/>
        <d v="2025-04-29T06:25:00" u="1"/>
        <d v="2025-06-02T05:54:00" u="1"/>
        <d v="2025-07-04T15:05:00" u="1"/>
        <d v="2025-05-15T08:23:00" u="1"/>
        <d v="2025-04-29T08:33:00" u="1"/>
        <d v="2025-07-03T16:52:00" u="1"/>
        <d v="2025-07-04T11:17:00" u="1"/>
        <d v="2025-07-04T14:01:00" u="1"/>
        <d v="2025-07-04T12:15:00" u="1"/>
        <d v="2025-07-01T10:26:00" u="1"/>
        <d v="2025-07-04T12:57:00" u="1"/>
        <d v="2025-07-04T17:47:00" u="1"/>
        <d v="2025-07-03T15:47:00" u="1"/>
        <d v="2025-07-04T12:51:00" u="1"/>
        <d v="2025-07-03T12:29:00" u="1"/>
        <d v="2025-07-04T07:52:00" u="1"/>
        <d v="2025-07-03T18:23:00" u="1"/>
        <d v="2025-07-04T06:47:00" u="1"/>
        <d v="2025-07-02T19:41:00" u="1"/>
        <d v="2025-07-02T20:28:00" u="1"/>
        <d v="2025-07-02T20:30:00" u="1"/>
        <d v="2025-07-03T16:05:00" u="1"/>
        <d v="2025-07-04T13:29:00" u="1"/>
        <d v="2025-07-04T13:32:00" u="1"/>
        <d v="2025-07-03T13:45:00" u="1"/>
        <d v="2025-07-04T15:26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6T15:56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3T15:09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23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7-03T08:47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25T18:02:00" u="1"/>
        <d v="2025-06-20T14:27:00" u="1"/>
        <d v="2025-06-26T08:41:00" u="1"/>
        <d v="2025-06-26T10:32:00" u="1"/>
        <d v="2025-06-24T17:59:00" u="1"/>
        <d v="2025-06-25T14:57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18T13:12:00" u="1"/>
        <d v="2025-06-23T12:39:00" u="1"/>
        <d v="2025-06-20T09:23:00" u="1"/>
        <d v="2025-06-23T13:51:00" u="1"/>
        <d v="2025-06-23T11:22:00" u="1"/>
        <d v="2025-06-25T17:51:00" u="1"/>
        <d v="2025-06-25T14:28:00" u="1"/>
        <d v="2025-06-25T14:29:00" u="1"/>
        <d v="2025-06-26T17:16:00" u="1"/>
        <d v="2025-06-26T11:31:00" u="1"/>
        <d v="2025-06-26T13:00:00" u="1"/>
        <d v="2025-06-20T16:16:00" u="1"/>
        <d v="2025-06-20T16:51:00" u="1"/>
        <d v="2025-06-04T12:33:00" u="1"/>
        <d v="2025-06-10T11:21:00" u="1"/>
        <d v="2025-06-26T13:02:00" u="1"/>
        <d v="2025-06-16T13:30:00" u="1"/>
        <d v="2025-06-25T08:56:00" u="1"/>
        <d v="2025-06-25T08:51:00" u="1"/>
        <d v="2025-06-20T12:13:00" u="1"/>
        <d v="2025-06-26T15:49:00" u="1"/>
        <d v="2025-06-26T16:06:00" u="1"/>
        <d v="2025-06-26T16:14:00" u="1"/>
        <d v="2025-06-26T16:20:00" u="1"/>
        <d v="2025-06-12T15:47:00" u="1"/>
        <d v="2025-06-26T12:25:00" u="1"/>
        <d v="2025-06-26T12:30:00" u="1"/>
        <d v="2025-06-26T12:53:00" u="1"/>
        <d v="2025-06-26T09:02:00" u="1"/>
        <d v="2025-06-26T08:52:00" u="1"/>
        <d v="2025-06-25T16:51:00" u="1"/>
        <d v="2025-06-25T14:40:00" u="1"/>
        <d v="2025-06-25T07:3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0T13:51:00" u="1"/>
        <d v="2025-06-26T09:26:00" u="1"/>
        <d v="2025-06-25T11:55:00" u="1"/>
        <d v="2025-06-25T08:50:00" u="1"/>
        <d v="2025-06-20T08:34:00" u="1"/>
        <d v="2025-06-20T09:21:00" u="1"/>
        <d v="2025-06-24T10:30:00" u="1"/>
        <d v="2025-06-24T09:40:00" u="1"/>
        <d v="2025-06-23T18:08:00" u="1"/>
        <d v="2025-06-23T17:15:00" u="1"/>
        <d v="2025-06-24T15:30:00" u="1"/>
        <d v="2025-06-24T16:29:00" u="1"/>
        <d v="2025-06-24T10:39:00" u="1"/>
        <d v="2025-06-24T10:42:00" u="1"/>
        <d v="2025-06-24T10:36:00" u="1"/>
        <d v="2025-06-25T13:48:00" u="1"/>
        <d v="2025-06-25T00:00:00" u="1"/>
        <d v="2025-06-18T17:44:00" u="1"/>
        <d v="2025-06-18T17:45:00" u="1"/>
        <d v="2025-06-02T18:36:00" u="1"/>
        <d v="2025-06-03T14:26:00" u="1"/>
        <d v="2025-06-03T11:07:00" u="1"/>
        <d v="2025-06-10T11:38:00" u="1"/>
        <d v="2025-06-09T12:04:00" u="1"/>
        <d v="2025-06-09T11:54:00" u="1"/>
        <d v="2025-06-26T16:49:00" u="1"/>
        <d v="2025-06-10T22:14:00" u="1"/>
        <d v="2025-06-25T09:17:00" u="1"/>
        <d v="2025-06-26T17:35:00" u="1"/>
        <d v="2025-06-24T12:24:00" u="1"/>
        <d v="2025-06-26T10:24:00" u="1"/>
        <d v="2025-06-26T15:57:00" u="1"/>
        <d v="2025-06-25T14:38:00" u="1"/>
        <d v="2025-06-25T09:37:00" u="1"/>
        <d v="2025-06-25T08:03:00" u="1"/>
        <d v="2025-06-24T13:50:00" u="1"/>
        <d v="2025-06-26T09:17:00" u="1"/>
        <d v="2025-06-26T14:46:00" u="1"/>
        <d v="2025-06-26T14:57:00" u="1"/>
        <d v="2025-06-26T15:01:00" u="1"/>
        <d v="2025-06-26T08:34:00" u="1"/>
        <d v="2025-06-26T14:38:00" u="1"/>
        <d v="2025-06-26T15:18:00" u="1"/>
        <d v="2025-06-24T14:05:00" u="1"/>
        <d v="2025-06-24T17:43:00" u="1"/>
        <d v="2025-06-26T12:22:00" u="1"/>
        <d v="2025-06-20T10:11:00" u="1"/>
        <d v="2025-06-26T15:09:00" u="1"/>
        <d v="2025-06-26T15:19:00" u="1"/>
        <d v="2025-05-28T14:09:00" u="1"/>
        <d v="2025-06-26T16:46:00" u="1"/>
        <d v="2025-06-06T20:31:00" u="1"/>
        <d v="2025-06-13T10:02:00" u="1"/>
        <d v="2025-06-25T12:08:00" u="1"/>
        <d v="2025-06-26T02:09:00" u="1"/>
        <d v="2025-06-06T15:50:00" u="1"/>
        <d v="2025-06-06T15:30:00" u="1"/>
        <d v="2025-06-25T08:55:00" u="1"/>
        <d v="2025-05-05T09:03:00" u="1"/>
        <d v="2025-06-27T03:59:00" u="1"/>
        <d v="2025-06-27T01:00:00" u="1"/>
        <d v="2025-06-23T18:00:00" u="1"/>
        <d v="2025-06-25T01:01:00" u="1"/>
        <d v="2025-06-25T10:33:00" u="1"/>
        <d v="2025-06-25T10:46:00" u="1"/>
        <d v="2025-06-25T11:25:00" u="1"/>
        <d v="2025-06-25T12:42:00" u="1"/>
        <d v="2025-06-25T12:48:00" u="1"/>
        <d v="2025-06-26T15:53:00" u="1"/>
        <d v="2025-06-25T12:33:00" u="1"/>
        <d v="2025-06-23T16:20:00" u="1"/>
        <d v="2025-06-06T18:00:00" u="1"/>
        <d v="2025-06-17T11:03:00" u="1"/>
        <d v="2025-06-26T06:55:00" u="1"/>
        <d v="2025-06-24T18:46:00" u="1"/>
        <d v="2025-06-25T10:06:00" u="1"/>
        <d v="2025-06-24T19:12:00" u="1"/>
        <d v="2025-06-25T19:25:00" u="1"/>
        <d v="2025-06-25T16:02:00" u="1"/>
        <d v="2025-06-17T11:39:00" u="1"/>
        <d v="2025-05-22T19:49:00" u="1"/>
        <d v="2025-06-07T19:49:00" u="1"/>
        <d v="2025-06-25T16:41:00" u="1"/>
        <d v="2025-06-16T09:53:00" u="1"/>
        <d v="2025-06-13T21:14:00" u="1"/>
        <d v="2025-06-23T07:49:00" u="1"/>
        <d v="2025-06-24T03:14:00" u="1"/>
        <d v="2025-06-26T15:15:00" u="1"/>
        <d v="2025-06-25T15:43:00" u="1"/>
        <d v="2025-06-27T02:21:00" u="1"/>
        <d v="2025-06-09T10:56:00" u="1"/>
        <d v="2025-06-25T04:00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24T23:27:00" u="1"/>
        <d v="2025-06-10T13:21:00" u="1"/>
        <d v="2025-06-26T16:31:00" u="1"/>
        <d v="2025-06-26T17:05:00" u="1"/>
        <d v="2025-06-23T14:12:00" u="1"/>
        <d v="2025-06-24T19:02:00" u="1"/>
        <d v="2025-06-26T12:13:00" u="1"/>
        <d v="2025-06-18T15:06:00" u="1"/>
        <d v="2025-06-20T12:51:00" u="1"/>
        <d v="2025-06-20T12:52:00" u="1"/>
        <d v="2025-06-23T13:55:00" u="1"/>
        <d v="2025-06-26T14:36:00" u="1"/>
        <d v="2025-06-26T11:17:00" u="1"/>
        <d v="2025-06-24T18:26:00" u="1"/>
        <d v="2025-06-25T13:33:00" u="1"/>
        <d v="2025-06-26T18:49:00" u="1"/>
        <d v="2025-06-25T08:58:00" u="1"/>
        <d v="2025-06-11T15:19:00" u="1"/>
        <d v="2025-06-04T10:50:00" u="1"/>
        <d v="2025-06-23T11:07:00" u="1"/>
        <d v="2025-06-17T16:18:00" u="1"/>
        <d v="2025-06-23T12:33:00" u="1"/>
        <d v="2025-06-23T11:55:00" u="1"/>
        <d v="2025-06-16T16:28:00" u="1"/>
        <d v="2025-06-10T15:33:00" u="1"/>
        <d v="2025-06-20T13:30:00" u="1"/>
        <d v="2025-06-23T09:16:00" u="1"/>
        <d v="2025-06-23T08:52:00" u="1"/>
        <d v="2025-06-23T08:41:00" u="1"/>
        <d v="2025-06-23T10:16:00" u="1"/>
        <d v="2025-06-20T13:47:00" u="1"/>
        <d v="2025-06-20T09:43:00" u="1"/>
        <d v="2025-06-20T14:35:00" u="1"/>
        <d v="2025-06-23T07:04:00" u="1"/>
        <d v="2025-06-09T12:25:00" u="1"/>
        <d v="2025-06-23T18:51:00" u="1"/>
        <d v="2025-06-23T11:29:00" u="1"/>
        <d v="2025-06-23T09:18:00" u="1"/>
        <d v="2025-06-18T18:18:00" u="1"/>
        <d v="2025-06-23T12:54:00" u="1"/>
        <d v="2025-06-11T09:13:00" u="1"/>
        <d v="2025-06-22T12:48:00" u="1"/>
        <d v="2025-06-18T16:21:00" u="1"/>
        <d v="2025-06-18T12:19:00" u="1"/>
        <d v="2025-06-23T14:43:00" u="1"/>
        <d v="2025-06-10T09:40:00" u="1"/>
        <d v="2025-06-13T15:15:00" u="1"/>
        <d v="2025-06-23T11:04:00" u="1"/>
        <d v="2025-06-23T08:43:00" u="1"/>
        <d v="2025-06-09T08:57:00" u="1"/>
        <d v="2025-06-09T13:54:00" u="1"/>
        <d v="2025-06-20T11:34:00" u="1"/>
        <d v="2025-06-18T16:46:00" u="1"/>
        <d v="2025-06-23T08:11:00" u="1"/>
        <d v="2025-06-23T09:49:00" u="1"/>
        <d v="2025-06-12T14:43:00" u="1"/>
        <d v="2025-05-26T06:10:00" u="1"/>
        <d v="2025-06-23T13:52:00" u="1"/>
        <d v="2025-06-20T09:53:00" u="1"/>
        <d v="2025-06-16T05:08:00" u="1"/>
        <d v="2025-06-17T11:53:00" u="1"/>
        <d v="2025-06-17T14:27:00" u="1"/>
        <d v="2025-06-23T14:49:00" u="1"/>
        <d v="2025-06-20T11:22:00" u="1"/>
        <d v="2025-06-23T12:18:00" u="1"/>
        <d v="2025-06-23T11:12:00" u="1"/>
        <d v="2025-06-23T11:13:00" u="1"/>
        <d v="2025-06-23T12:38:00" u="1"/>
        <d v="2025-06-23T11:56:00" u="1"/>
        <d v="2025-06-23T15:19:00" u="1"/>
        <d v="2025-06-23T16:23:00" u="1"/>
        <d v="2025-06-23T14:00:00" u="1"/>
        <d v="2025-06-17T09:20:00" u="1"/>
        <d v="2025-06-17T09:17:00" u="1"/>
        <d v="2025-06-18T14:40:00" u="1"/>
        <d v="2025-06-23T12:12:00" u="1"/>
        <d v="2025-06-23T11:32:00" u="1"/>
        <d v="2025-06-23T10:43:00" u="1"/>
        <d v="2025-06-18T16:59:00" u="1"/>
        <d v="2025-06-21T12:17:00" u="1"/>
        <d v="2025-06-23T00:00:00" u="1"/>
        <d v="2025-06-23T14:13:00" u="1"/>
        <d v="2025-06-23T14:23:00" u="1"/>
        <d v="2025-06-20T11:51:00" u="1"/>
        <d v="2025-06-23T09:45:00" u="1"/>
        <d v="2025-06-16T17:04:00" u="1"/>
        <d v="2025-06-20T09:22:00" u="1"/>
        <d v="2025-06-23T13:18:00" u="1"/>
        <d v="2025-06-18T22:30:00" u="1"/>
        <d v="2025-06-20T14:30:00" u="1"/>
        <d v="2025-06-23T12:16:00" u="1"/>
        <d v="2025-06-23T11:46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2T13:56:00" u="1"/>
        <d v="2025-06-23T13:03:00" u="1"/>
        <d v="2025-06-23T11:03:00" u="1"/>
        <d v="2025-06-23T09:53:00" u="1"/>
        <d v="2025-06-20T10:49:00" u="1"/>
        <d v="2025-06-18T17:43:00" u="1"/>
        <d v="2025-06-20T13:15:00" u="1"/>
        <d v="2025-06-23T11:43:00" u="1"/>
        <d v="2025-06-20T15:04:00" u="1"/>
        <d v="2025-06-20T15:59:00" u="1"/>
        <d v="2025-06-20T16:07:00" u="1"/>
        <d v="2025-05-17T11:46:00" u="1"/>
        <d v="2025-04-01T15:04:00" u="1"/>
        <d v="2025-05-29T14:11:00" u="1"/>
        <d v="2025-06-21T14:22:00" u="1"/>
        <d v="2025-06-04T14:55:00" u="1"/>
        <d v="2025-06-21T14:33:00" u="1"/>
        <d v="2025-06-17T10:08:00" u="1"/>
        <d v="2025-06-13T15:43:00" u="1"/>
        <d v="2025-06-16T08:45:00" u="1"/>
        <d v="2025-05-28T00:00:00" u="1"/>
        <d v="2025-02-12T16:00:00" u="1"/>
        <d v="2025-02-07T10:49:00" u="1"/>
        <d v="2025-02-21T15:33:00" u="1"/>
        <d v="2025-06-19T07:58:00" u="1"/>
        <d v="2025-06-20T13:56:00" u="1"/>
        <d v="2025-06-20T14:39:00" u="1"/>
        <d v="2025-06-17T17:59:00" u="1"/>
        <d v="2025-06-19T16:38:00" u="1"/>
        <d v="2025-05-06T08:15:00" u="1"/>
        <d v="2025-05-19T00:00:00" u="1"/>
        <d v="2025-05-23T08:36:00" u="1"/>
        <d v="2025-05-26T08:26:00" u="1"/>
        <d v="2025-05-19T13:34:00" u="1"/>
        <d v="2025-05-19T11:44:00" u="1"/>
        <d v="2025-05-19T13:36:00" u="1"/>
        <d v="2025-05-20T04:30:00" u="1"/>
        <d v="2025-05-23T08:52:00" u="1"/>
        <d v="2025-05-14T15:07:00" u="1"/>
        <d v="2025-06-17T07:57:00" u="1"/>
        <d v="2025-05-16T22:30:00" u="1"/>
        <d v="2025-05-19T12:31:00" u="1"/>
        <d v="2025-06-23T16:49:00" u="1"/>
        <d v="2025-06-03T10:08:00" u="1"/>
        <d v="2025-06-18T16:19:00" u="1"/>
        <d v="2025-05-05T09:41:00" u="1"/>
        <d v="2025-05-23T08:37:00" u="1"/>
        <d v="2025-05-22T13:20:00" u="1"/>
        <d v="2025-05-27T15:11:00" u="1"/>
        <d v="2025-05-28T16:01:00" u="1"/>
        <d v="2025-05-26T06:46:00" u="1"/>
        <d v="2025-05-15T09:43:00" u="1"/>
        <d v="2025-05-23T12:13:00" u="1"/>
        <d v="2025-05-23T07:52:00" u="1"/>
        <d v="2025-05-27T04:07:00" u="1"/>
        <d v="2025-05-23T13:35:00" u="1"/>
        <d v="2025-05-21T00:00:00" u="1"/>
        <d v="2025-03-21T07:40:00" u="1"/>
        <d v="2025-05-22T09:15:00" u="1"/>
        <d v="2025-06-12T11:48:00" u="1"/>
        <d v="2025-06-12T12:06:00" u="1"/>
        <d v="2025-06-04T07:43:00" u="1"/>
        <d v="2025-05-15T07:49:00" u="1"/>
        <d v="2025-05-20T00:00:00" u="1"/>
        <d v="2025-05-20T08:31:00" u="1"/>
        <d v="2025-05-19T11:46:00" u="1"/>
        <d v="2025-05-26T10:38:00" u="1"/>
        <d v="2025-05-27T13:54:00" u="1"/>
        <d v="2025-05-23T10:07:00" u="1"/>
        <d v="2025-05-19T12:33:00" u="1"/>
        <d v="2025-06-09T07:48:00" u="1"/>
        <d v="2025-05-27T08:39:00" u="1"/>
        <d v="2025-05-27T08:50:00" u="1"/>
        <d v="2025-06-13T08:54:00" u="1"/>
        <d v="2025-05-20T14:36:00" u="1"/>
        <d v="2025-06-23T13:02:00" u="1"/>
        <d v="2025-06-06T07:19:00" u="1"/>
        <d v="2025-06-04T13:13:00" u="1"/>
        <d v="2025-05-12T12:41:00" u="1"/>
        <d v="2025-05-13T00:00:00" u="1"/>
        <d v="2025-05-19T15:32:00" u="1"/>
        <d v="2025-05-27T11:31:00" u="1"/>
        <d v="2025-06-06T08:49:00" u="1"/>
        <d v="2025-05-26T00:00:00" u="1"/>
        <d v="2025-05-26T07:26:00" u="1"/>
        <d v="2025-05-26T07:24:00" u="1"/>
        <d v="2025-05-20T16:28:00" u="1"/>
        <d v="2025-06-23T13:05:00" u="1"/>
        <d v="2025-06-23T14:59:00" u="1"/>
        <d v="2025-06-12T12:37:00" u="1"/>
        <d v="2025-06-04T09:04:00" u="1"/>
        <d v="2025-06-12T12:31:00" u="1"/>
        <d v="2025-06-12T12:34:00" u="1"/>
        <d v="2025-05-22T06:47:00" u="1"/>
        <d v="2025-06-04T08:08:00" u="1"/>
        <d v="2025-06-04T08:10:00" u="1"/>
        <d v="2025-05-27T19:19:00" u="1"/>
        <d v="2025-06-02T12:44:00" u="1"/>
        <d v="2025-06-04T13:45:00" u="1"/>
        <d v="2025-05-22T11:50:00" u="1"/>
        <d v="2025-05-27T15:29:00" u="1"/>
        <d v="2025-05-20T10:39:00" u="1"/>
        <d v="2025-05-22T10:49:00" u="1"/>
        <d v="2025-05-20T19:10:00" u="1"/>
        <d v="2025-06-06T09:23:00" u="1"/>
        <d v="2025-06-12T08:57:00" u="1"/>
        <d v="2025-06-12T15:36:00" u="1"/>
        <d v="2025-04-08T15:52:00" u="1"/>
        <d v="2025-06-13T08:01:00" u="1"/>
        <d v="2025-05-16T07:27:00" u="1"/>
        <d v="2025-06-23T07:00:00" u="1"/>
        <d v="2025-05-19T15:17:00" u="1"/>
        <d v="2025-05-23T11:25:00" u="1"/>
        <d v="2025-05-15T00:00:00" u="1"/>
        <d v="2025-02-27T06:25:00" u="1"/>
        <d v="2025-06-23T13:53:00" u="1"/>
        <d v="2025-03-24T12:55:00" u="1"/>
        <d v="2025-03-31T07:48:00" u="1"/>
        <d v="2025-04-11T07:32:00" u="1"/>
        <d v="2025-06-23T07:32:00" u="1"/>
        <d v="2025-05-28T09:03:00" u="1"/>
        <d v="2025-05-22T10:00:00" u="1"/>
        <d v="2025-05-22T11:49:00" u="1"/>
        <d v="2025-05-16T07:19:00" u="1"/>
        <d v="2025-05-16T10:16:00" u="1"/>
        <d v="2025-05-20T16:30:00" u="1"/>
        <d v="2025-04-25T00:00:00" u="1"/>
        <d v="2025-04-11T09:06:00" u="1"/>
        <d v="2025-03-20T06:23:00" u="1"/>
        <d v="2025-05-26T07:18:00" u="1"/>
        <d v="2025-04-08T15:50:00" u="1"/>
        <d v="2025-05-26T07:00:00" u="1"/>
        <d v="2025-03-06T06:44:00" u="1"/>
        <d v="2025-03-06T07:21:00" u="1"/>
        <d v="2025-05-23T07:53:00" u="1"/>
        <d v="2025-05-19T13:29:00" u="1"/>
        <d v="2025-06-18T05:25:00" u="1"/>
        <d v="2025-06-19T03:54:00" u="1"/>
        <d v="2025-05-23T15:41:00" u="1"/>
        <d v="2025-06-20T00:59:00" u="1"/>
        <d v="2025-06-20T03:00:00" u="1"/>
        <d v="2025-05-23T19:14:00" u="1"/>
        <d v="2025-06-23T14:19:00" u="1"/>
        <d v="2025-06-18T04:59:00" u="1"/>
        <d v="2025-06-20T16:18:00" u="1"/>
        <d v="2025-06-23T14:55:00" u="1"/>
        <d v="2025-04-29T08:09:00" u="1"/>
        <d v="2025-05-21T19:00:00" u="1"/>
        <d v="2025-05-28T17:30:00" u="1"/>
        <d v="2025-05-15T18:00:00" u="1"/>
        <d v="2025-05-16T07:14:00" u="1"/>
        <d v="2025-05-23T12:46:00" u="1"/>
        <d v="2025-06-20T14:13:00" u="1"/>
        <d v="2025-06-16T15:29:00" u="1"/>
        <d v="2025-05-26T09:14:00" u="1"/>
        <d v="2025-05-11T15:18:00" u="1"/>
        <d v="2025-06-23T13:11:00" u="1"/>
        <d v="2025-06-23T10:29:00" u="1"/>
        <d v="2025-06-18T13:00:00" u="1"/>
        <d v="2025-05-30T08:18:00" u="1"/>
        <d v="2025-05-30T08:23:00" u="1"/>
        <d v="2025-06-23T17:20:00" u="1"/>
        <d v="2025-05-05T13:29:00" u="1"/>
        <d v="2025-05-20T13:08:00" u="1"/>
        <d v="2025-05-23T08:28:00" u="1"/>
        <d v="2025-06-18T18:05:00" u="1"/>
        <d v="2025-05-16T00:00:00" u="1"/>
        <d v="2025-06-13T09:41:00" u="1"/>
        <d v="2025-06-12T08:45:00" u="1"/>
        <d v="2025-05-23T11:17:00" u="1"/>
        <d v="2025-05-23T09:10:00" u="1"/>
        <d v="2025-06-12T14:19:00" u="1"/>
        <d v="2025-06-20T13:06:00" u="1"/>
        <d v="2025-05-23T08:09:00" u="1"/>
        <d v="2025-06-23T11:38:00" u="1"/>
        <d v="2025-05-19T12:18:00" u="1"/>
        <d v="2025-06-16T10:35:00" u="1"/>
        <d v="2025-05-29T15:22:00" u="1"/>
        <d v="2025-05-04T00:00:00" u="1"/>
        <d v="2025-03-05T00:00:00" u="1"/>
        <d v="2025-05-29T08:18:00" u="1"/>
        <d v="2025-05-30T10:12:00" u="1"/>
        <d v="2025-06-12T13:33:00" u="1"/>
        <d v="2025-05-07T10:06:00" u="1"/>
        <d v="2025-06-23T06:43:00" u="1"/>
        <d v="2025-06-23T06:42:00" u="1"/>
        <d v="2025-06-17T15:31:00" u="1"/>
        <d v="2025-05-22T10:39:00" u="1"/>
        <d v="2025-06-11T11:36:00" u="1"/>
        <d v="2025-03-21T13:38:00" u="1"/>
        <d v="2025-06-05T15:00:00" u="1"/>
        <d v="2025-06-20T14:55:00" u="1"/>
        <d v="2025-06-06T19:17:00" u="1"/>
        <d v="2025-06-16T10:17:00" u="1"/>
        <d v="2025-06-18T14:57:00" u="1"/>
        <d v="2025-06-20T09:45:00" u="1"/>
        <d v="2025-05-16T10:21:00" u="1"/>
        <d v="2025-05-16T09:22:00" u="1"/>
        <d v="2025-04-29T10:01:00" u="1"/>
        <d v="2025-04-29T10:00:00" u="1"/>
        <d v="2025-06-09T11:47:00" u="1"/>
        <d v="2025-06-23T11:49:00" u="1"/>
        <d v="2025-06-23T11:21:00" u="1"/>
        <d v="2025-06-20T12:06:00" u="1"/>
        <d v="2025-06-16T08:32:00" u="1"/>
        <d v="2025-06-23T08:20:00" u="1"/>
        <d v="2025-05-26T12:23:00" u="1"/>
        <d v="2025-06-17T04:20:00" u="1"/>
        <d v="2025-05-21T02:44:00" u="1"/>
        <d v="2025-06-23T09:52:00" u="1"/>
        <d v="2025-06-23T20:40:00" u="1"/>
        <d v="2025-06-18T16:16:00" u="1"/>
        <d v="2025-06-16T15:51:00" u="1"/>
        <d v="2025-06-18T15:30:00" u="1"/>
        <d v="2025-06-12T09:47:00" u="1"/>
        <d v="2025-03-18T00:00:00" u="1"/>
        <d v="2025-05-16T14:21:00" u="1"/>
        <d v="2025-05-23T09:55:00" u="1"/>
        <d v="2025-05-23T10:45:00" u="1"/>
        <d v="2025-06-10T07:55:00" u="1"/>
        <d v="2025-06-14T18:36:00" u="1"/>
        <d v="2025-06-16T14:03:00" u="1"/>
        <d v="2025-06-20T16:55:00" u="1"/>
        <d v="2025-06-16T11:01:00" u="1"/>
        <d v="2025-05-15T07:57:00" u="1"/>
        <d v="2025-06-14T18:51:00" u="1"/>
        <d v="2025-05-16T08:01:00" u="1"/>
        <d v="2025-05-23T08:50:00" u="1"/>
        <d v="2025-06-18T16:47:00" u="1"/>
        <d v="2025-03-19T07:39:00" u="1"/>
        <d v="2025-06-20T07:09:00" u="1"/>
        <d v="2025-06-19T12:23:00" u="1"/>
        <d v="2025-06-16T08:51:00" u="1"/>
        <d v="2025-06-17T15:34:00" u="1"/>
        <d v="2025-06-18T17:26:00" u="1"/>
        <d v="2025-06-04T11:37:00" u="1"/>
        <d v="2025-06-19T09:57:00" u="1"/>
        <d v="2025-06-18T10:45:00" u="1"/>
        <d v="2025-06-14T19:21:00" u="1"/>
        <d v="2025-06-06T13:19:00" u="1"/>
        <d v="2025-06-04T00:00:00" u="1"/>
        <d v="2025-02-01T00:00:00" u="1"/>
        <d v="2025-01-01T00:00:00" u="1"/>
        <d v="2025-04-22T16:35:00" u="1"/>
        <d v="2025-04-23T00:00:00" u="1"/>
        <d v="2025-04-17T18:19:00" u="1"/>
        <d v="2025-04-17T15:42:00" u="1"/>
        <d v="2025-04-17T13:03:00" u="1"/>
        <d v="2025-04-16T09:36:00" u="1"/>
        <d v="2025-05-13T04:56:00" u="1"/>
        <d v="2025-05-21T03:00:00" u="1"/>
        <d v="2025-05-21T19:20:00" u="1"/>
        <d v="2025-04-19T19:21:00" u="1"/>
        <d v="2025-05-21T17:52:00" u="1"/>
        <d v="2025-05-09T13:59:00" u="1"/>
        <d v="2025-05-20T01:23:00" u="1"/>
        <d v="2025-05-21T01:11:00" u="1"/>
        <d v="2025-05-20T01:03:00" u="1"/>
        <d v="2025-05-21T19:07:00" u="1"/>
        <d v="2025-06-02T13:26:00" u="1"/>
        <d v="2025-05-26T18:51:00" u="1"/>
        <d v="2025-05-22T18:00:00" u="1"/>
        <d v="2025-05-30T16:59:00" u="1"/>
        <d v="2025-05-30T15:41:00" u="1"/>
        <d v="2025-05-31T09:27:00" u="1"/>
        <d v="2025-05-29T01:04:00" u="1"/>
        <d v="2025-05-25T21:49:00" u="1"/>
        <d v="2025-05-27T09:22:00" u="1"/>
        <d v="2025-05-22T15:23:00" u="1"/>
        <d v="2025-05-25T09:38:00" u="1"/>
        <d v="2025-05-29T03:45:00" u="1"/>
        <d v="2025-05-30T04:31:00" u="1"/>
        <d v="2025-05-30T04:57:00" u="1"/>
        <d v="2025-06-01T04:46:00" u="1"/>
        <d v="2025-05-23T02:19:00" u="1"/>
        <d v="2025-06-02T02:59:00" u="1"/>
        <d v="2025-05-30T01:01:00" u="1"/>
        <d v="2025-05-31T00:59:00" u="1"/>
        <d v="2025-05-21T19:22:00" u="1"/>
        <d v="2025-06-02T10:25:00" u="1"/>
        <d v="2025-05-30T05:42:00" u="1"/>
        <d v="2025-06-02T04:59:00" u="1"/>
        <d v="2025-06-01T00:59:00" u="1"/>
        <d v="2025-05-31T02:49:00" u="1"/>
        <d v="2025-06-02T07:24:00" u="1"/>
        <d v="2025-06-01T07:28:00" u="1"/>
        <d v="2025-05-21T19:04:00" u="1"/>
        <d v="2025-05-22T03:37:00" u="1"/>
        <d v="2025-05-24T03:15:00" u="1"/>
        <d v="2025-05-24T04:01:00" u="1"/>
        <d v="2025-05-27T04:02:00" u="1"/>
        <d v="2025-05-28T04:09:00" u="1"/>
        <d v="2025-06-11T08:08:00" u="1"/>
        <d v="2025-06-06T13:32:00" u="1"/>
        <d v="2025-06-06T14:34:00" u="1"/>
        <d v="2025-06-10T13:27:00" u="1"/>
        <d v="2025-06-02T15:56:00" u="1"/>
        <d v="2025-06-04T17:15:00" u="1"/>
        <d v="2025-06-04T17:25:00" u="1"/>
        <d v="2025-06-04T17:03:00" u="1"/>
        <d v="2025-06-05T15:33:00" u="1"/>
        <d v="2025-06-04T10:30:00" u="1"/>
        <d v="2025-06-04T10:38:00" u="1"/>
        <d v="2025-06-06T17:51:00" u="1"/>
        <d v="2025-06-11T08:25:00" u="1"/>
        <d v="2025-06-11T08:26:00" u="1"/>
        <d v="2025-06-06T12:03:00" u="1"/>
        <d v="2025-06-11T10:45:00" u="1"/>
        <d v="2025-06-10T13:01:00" u="1"/>
        <d v="2025-06-09T00:00:00" u="1"/>
        <d v="2025-06-09T13:36:00" u="1"/>
        <d v="2025-06-05T11:24:00" u="1"/>
        <d v="2025-05-30T10:49:00" u="1"/>
        <d v="2025-06-06T08:18:00" u="1"/>
        <d v="2025-05-28T14:26:00" u="1"/>
        <d v="2025-06-06T00:00:00" u="1"/>
        <d v="2025-06-11T00:00:00" u="1"/>
        <d v="2025-06-11T09:10:00" u="1"/>
        <d v="2025-06-06T10:05:00" u="1"/>
        <d v="2025-06-10T18:03:00" u="1"/>
        <d v="2025-06-10T17:26:00" u="1"/>
        <d v="2025-06-05T17:08:00" u="1"/>
        <d v="2025-06-05T18:30:00" u="1"/>
        <d v="2025-06-10T16:25:00" u="1"/>
        <d v="2025-06-10T16:19:00" u="1"/>
        <d v="2025-06-10T16:12:00" u="1"/>
        <d v="2025-06-10T16:04:00" u="1"/>
        <d v="2025-06-06T19:37:00" u="1"/>
        <d v="2025-06-06T19:32:00" u="1"/>
        <d v="2025-06-05T15:23:00" u="1"/>
        <d v="2025-06-10T18:43:00" u="1"/>
        <d v="2025-06-10T14:08:00" u="1"/>
        <d v="2025-06-10T14:15:00" u="1"/>
        <d v="2025-06-10T17:07:00" u="1"/>
        <d v="2025-06-05T09:19:00" u="1"/>
        <d v="2025-06-10T15:09:00" u="1"/>
        <d v="2025-06-10T15:26:00" u="1"/>
        <d v="2025-06-06T15:57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0T15:11:00" u="1"/>
        <d v="2025-06-10T15:12:00" u="1"/>
        <d v="2025-06-10T16:58:00" u="1"/>
        <d v="2025-06-06T18:47:00" u="1"/>
        <d v="2025-06-10T20:55:00" u="1"/>
        <d v="2025-06-10T18:11:00" u="1"/>
        <d v="2025-06-10T20:31:00" u="1"/>
        <d v="2025-06-06T13:54:00" u="1"/>
        <d v="2025-06-05T09:35:00" u="1"/>
        <d v="2025-06-06T12:34:00" u="1"/>
        <d v="2025-06-11T09:04:00" u="1"/>
        <d v="2025-06-04T15:47:00" u="1"/>
        <d v="2025-06-10T14:35:00" u="1"/>
        <d v="2025-06-04T16:14:00" u="1"/>
        <d v="2025-06-04T11:00:00" u="1"/>
        <d v="2025-06-11T09:14:00" u="1"/>
        <d v="2025-06-09T11:00:00" u="1"/>
        <d v="2025-06-03T11:56:00" u="1"/>
        <d v="2025-06-07T01:12:00" u="1"/>
        <d v="2025-06-04T12:10:00" u="1"/>
        <d v="2025-06-06T19:53:00" u="1"/>
        <d v="2025-06-07T01:11:00" u="1"/>
        <d v="2025-06-03T01:16:00" u="1"/>
        <d v="2025-06-03T05:36:00" u="1"/>
        <d v="2025-06-05T14:13:00" u="1"/>
        <d v="2025-06-11T00:59:00" u="1"/>
        <d v="2025-06-09T20:31:00" u="1"/>
        <d v="2025-06-13T09:47:00" u="1"/>
        <d v="2025-06-10T16:26:00" u="1"/>
        <d v="2025-06-05T08:59:00" u="1"/>
        <d v="2025-06-06T10:07:00" u="1"/>
        <d v="2025-06-10T10:45:00" u="1"/>
        <d v="2025-06-08T07:04:00" u="1"/>
        <d v="2025-06-09T04:59:00" u="1"/>
        <d v="2025-06-11T05:14:00" u="1"/>
        <d v="2025-06-11T14:38:00" u="1"/>
        <d v="2025-06-05T14:12:00" u="1"/>
        <d v="2025-06-10T10:20:00" u="1"/>
        <d v="2025-06-03T02:21:00" u="1"/>
        <d v="2025-06-06T11:28:00" u="1"/>
        <d v="2025-06-06T12:45:00" u="1"/>
        <d v="2025-06-10T14:23:00" u="1"/>
        <d v="2025-06-05T19:16:00" u="1"/>
        <d v="2025-06-02T16:48:00" u="1"/>
        <d v="2025-06-02T15:02:00" u="1"/>
        <d v="2025-06-12T08:44:00" u="1"/>
        <d v="2025-06-12T08:23:00" u="1"/>
        <d v="2025-06-10T18:38:00" u="1"/>
        <d v="2025-06-10T18:34:00" u="1"/>
        <d v="2025-06-10T18:32:00" u="1"/>
        <d v="2025-06-11T14:49:00" u="1"/>
        <d v="2025-06-11T12:41:00" u="1"/>
        <d v="2025-06-11T12:13:00" u="1"/>
        <d v="2025-06-11T12:02:00" u="1"/>
        <d v="2025-06-11T09:45:00" u="1"/>
        <d v="2025-06-11T09:42:00" u="1"/>
        <d v="2025-06-11T09:28:00" u="1"/>
        <d v="2025-06-11T09:36:00" u="1"/>
        <d v="2025-06-12T16:39:00" u="1"/>
        <d v="2025-06-11T15:42:00" u="1"/>
        <d v="2025-06-12T15:00:00" u="1"/>
        <d v="2025-06-12T11:13:00" u="1"/>
        <d v="2025-06-12T17:14:00" u="1"/>
        <d v="2025-06-12T11:26:00" u="1"/>
        <d v="2025-06-09T08:10:00" u="1"/>
        <d v="2025-06-13T08:44:00" u="1"/>
        <d v="2025-06-12T16:51:00" u="1"/>
        <d v="2025-06-02T13:33:00" u="1"/>
        <d v="2025-06-11T17:07:00" u="1"/>
        <d v="2025-06-11T08:41:00" u="1"/>
        <d v="2025-06-11T17:42:00" u="1"/>
        <d v="2025-06-12T15:58:00" u="1"/>
        <d v="2025-06-12T18:52:00" u="1"/>
        <d v="2025-06-12T14:18:00" u="1"/>
        <d v="2025-06-11T19:31:00" u="1"/>
        <d v="2025-06-11T17:32:00" u="1"/>
        <d v="2025-06-11T08:42:00" u="1"/>
        <d v="2025-06-12T14:09:00" u="1"/>
        <d v="2025-06-12T14:30:00" u="1"/>
        <d v="2025-06-11T11:22:00" u="1"/>
        <d v="2025-06-11T08:51:00" u="1"/>
        <d v="2025-06-12T11:47:00" u="1"/>
        <d v="2025-06-12T12:04:00" u="1"/>
        <d v="2025-06-11T13:41:00" u="1"/>
        <d v="2025-06-13T08:13:00" u="1"/>
        <d v="2025-06-12T11:51:00" u="1"/>
        <d v="2025-06-11T16:38:00" u="1"/>
        <d v="2025-06-11T16:39:00" u="1"/>
        <d v="2025-06-09T16:01:00" u="1"/>
        <d v="2025-06-12T08:20:00" u="1"/>
        <d v="2025-06-12T11:16:00" u="1"/>
        <d v="2025-06-12T17:52:00" u="1"/>
        <d v="2025-06-12T16:40:00" u="1"/>
        <d v="2025-06-12T16:41:00" u="1"/>
        <d v="2025-06-11T17:06:00" u="1"/>
        <d v="2025-06-11T16:36:00" u="1"/>
        <d v="2025-06-11T12:09:00" u="1"/>
        <d v="2025-06-11T12:11:00" u="1"/>
        <d v="2025-06-11T17:24:00" u="1"/>
        <d v="2025-06-11T17:29:00" u="1"/>
        <d v="2025-06-06T12:47:00" u="1"/>
        <d v="2025-06-06T12:51:00" u="1"/>
        <d v="2025-06-12T16:47:00" u="1"/>
        <d v="2025-06-12T17:58:00" u="1"/>
        <d v="2025-06-11T10:19:00" u="1"/>
        <d v="2025-06-12T16:45:00" u="1"/>
        <d v="2025-06-12T13:20:00" u="1"/>
        <d v="2025-06-12T16:52:00" u="1"/>
        <d v="2025-06-12T17:10:00" u="1"/>
        <d v="2025-06-11T20:23:00" u="1"/>
        <d v="2025-06-12T17:22:00" u="1"/>
        <d v="2025-06-11T08:30:00" u="1"/>
        <d v="2025-06-12T13:14:00" u="1"/>
        <d v="2025-06-11T18:26:00" u="1"/>
        <d v="2025-06-11T18:25:00" u="1"/>
        <d v="2025-06-11T11:25:00" u="1"/>
        <d v="2025-06-12T15:51:00" u="1"/>
        <d v="2025-06-12T17:27:00" u="1"/>
        <d v="2025-06-12T18:43:00" u="1"/>
        <d v="2025-06-12T17:12:00" u="1"/>
        <d v="2025-06-12T16:06:00" u="1"/>
        <d v="2025-06-12T09:08:00" u="1"/>
        <d v="2025-06-12T09:17:00" u="1"/>
        <d v="2025-06-12T06:54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1T13:43:00" u="1"/>
        <d v="2025-06-11T14:08:00" u="1"/>
        <d v="2025-06-11T14:12:00" u="1"/>
        <d v="2025-06-11T14:16:00" u="1"/>
        <d v="2025-06-11T14:27:00" u="1"/>
        <d v="2025-06-12T17:31:00" u="1"/>
        <d v="2025-06-12T11:21:00" u="1"/>
        <d v="2025-06-12T14:17:00" u="1"/>
        <d v="2025-06-11T15:54:00" u="1"/>
        <d v="2025-06-11T14:42:00" u="1"/>
        <d v="2025-06-11T16:35:00" u="1"/>
        <d v="2025-06-11T10:23:00" u="1"/>
        <d v="2025-06-12T15:37:00" u="1"/>
        <d v="2025-06-05T18:02:00" u="1"/>
        <d v="2025-06-13T08:51:00" u="1"/>
        <d v="2025-05-22T16:38:00" u="1"/>
        <d v="2025-06-11T18:12:00" u="1"/>
        <d v="2025-06-12T20:42:00" u="1"/>
        <d v="2025-06-13T05:35:00" u="1"/>
        <d v="2025-06-13T09:59:00" u="1"/>
        <d v="2025-06-12T12:01:00" u="1"/>
        <d v="2025-06-12T04:12:00" u="1"/>
        <d v="2025-06-12T15:07:00" u="1"/>
        <d v="2025-06-12T15:40:00" u="1"/>
        <d v="2025-06-12T15:38:00" u="1"/>
        <d v="2025-06-12T09:15:00" u="1"/>
        <d v="2025-06-11T15:47:00" u="1"/>
        <d v="2025-06-12T15:16:00" u="1"/>
        <d v="2025-06-12T14:46:00" u="1"/>
        <d v="2025-06-12T14:49:00" u="1"/>
        <d v="2025-06-12T09:14:00" u="1"/>
        <d v="2025-06-13T00:59:00" u="1"/>
        <d v="2025-06-12T09:26:00" u="1"/>
        <d v="2025-06-10T09:06:00" u="1"/>
        <d v="2025-06-12T13:15:00" u="1"/>
        <d v="2025-06-12T13:21:00" u="1"/>
        <d v="2025-06-12T11:31:00" u="1"/>
        <d v="2025-06-12T08:53:00" u="1"/>
        <d v="2025-06-11T09:30:00" u="1"/>
        <d v="2025-06-12T10:14:00" u="1"/>
        <d v="2025-06-12T10:29:00" u="1"/>
        <d v="2025-06-12T06:46:00" u="1"/>
        <d v="2025-06-12T11:17:00" u="1"/>
        <d v="2025-06-12T11:30:00" u="1"/>
        <d v="2025-06-11T15:59:00" u="1"/>
        <d v="2025-06-09T09:57:00" u="1"/>
        <d v="2025-06-09T10:09:00" u="1"/>
        <d v="2025-06-11T16:24:00" u="1"/>
        <d v="2025-06-11T12:08:00" u="1"/>
        <d v="2025-06-11T18:06:00" u="1"/>
        <d v="2025-06-12T18:28:00" u="1"/>
        <d v="2025-06-13T08:09:00" u="1"/>
        <d v="2025-06-13T08:43:00" u="1"/>
        <d v="2025-06-13T10:24:00" u="1"/>
        <d v="2025-06-13T10:39:00" u="1"/>
        <d v="2025-06-12T10:57:00" u="1"/>
        <d v="2025-06-13T04:46:00" u="1"/>
        <d v="2025-06-13T11:11:00" u="1"/>
        <d v="2025-06-12T16:57:00" u="1"/>
        <d v="2025-06-13T09:35:00" u="1"/>
        <d v="2025-05-21T14:03:00" u="1"/>
        <d v="2025-02-12T12:13:00" u="1"/>
        <d v="2025-03-31T11:35:00" u="1"/>
        <d v="2025-03-21T09:34:00" u="1"/>
        <d v="2025-05-02T16:03:00" u="1"/>
        <d v="2025-05-02T17:14:00" u="1"/>
        <d v="2025-04-10T09:39:00" u="1"/>
        <d v="2025-04-04T08:00:00" u="1"/>
        <d v="2025-05-05T13:21:00" u="1"/>
        <d v="2025-05-06T10:18:00" u="1"/>
        <d v="2025-01-29T12:07:00" u="1"/>
        <d v="2025-03-10T06:52:00" u="1"/>
        <d v="2025-05-09T11:00:00" u="1"/>
        <d v="2025-05-05T08:25:00" u="1"/>
        <d v="2025-04-29T08:36:00" u="1"/>
        <d v="2025-02-06T05:26:00" u="1"/>
        <d v="2025-03-31T08:29:00" u="1"/>
        <d v="2025-05-14T19:00:00" u="1"/>
        <d v="2025-05-14T09:00:00" u="1"/>
        <d v="2025-05-14T15:15:00" u="1"/>
        <d v="2025-05-16T13:05:00" u="1"/>
        <d v="2025-05-14T12:23:00" u="1"/>
        <d v="2025-05-08T16:04:00" u="1"/>
        <d v="2025-04-24T12:06:00" u="1"/>
        <d v="2025-05-19T14:58:00" u="1"/>
        <d v="2025-05-02T08:02:00" u="1"/>
        <d v="2025-05-16T10:44:00" u="1"/>
        <d v="2024-11-28T00:00:00" u="1"/>
        <d v="2025-05-19T08:08:00" u="1"/>
        <d v="2025-05-16T09:14:00" u="1"/>
        <d v="2025-05-16T09:29:00" u="1"/>
        <d v="2025-05-16T10:04:00" u="1"/>
        <d v="2025-01-31T12:06:00" u="1"/>
        <d v="2025-05-07T09:25:00" u="1"/>
        <d v="2025-05-16T11:08:00" u="1"/>
        <d v="2025-05-19T13:56:00" u="1"/>
        <d v="2025-05-15T18:40:00" u="1"/>
        <d v="2025-05-19T09:48:00" u="1"/>
        <d v="2025-05-05T18:44:00" u="1"/>
        <d v="2025-05-14T00:00:00" u="1"/>
        <d v="2025-05-20T10:14:00" u="1"/>
        <d v="2025-05-21T12:14:00" u="1"/>
        <d v="2025-05-21T08:12:00" u="1"/>
        <d v="2025-05-20T09:13:00" u="1"/>
        <d v="2025-05-21T10:59:00" u="1"/>
        <d v="2025-05-21T15:58:00" u="1"/>
        <d v="2025-05-21T15:56:00" u="1"/>
        <d v="2025-05-20T17:55:00" u="1"/>
        <d v="2025-05-20T16:21:00" u="1"/>
        <d v="2025-05-21T15:40:00" u="1"/>
        <d v="2025-05-20T15:41:00" u="1"/>
        <d v="2025-05-20T11:02:00" u="1"/>
        <d v="2025-05-20T18:52:00" u="1"/>
        <d v="2025-05-20T09:24:00" u="1"/>
        <d v="2025-05-21T12:15:00" u="1"/>
        <d v="2025-05-19T08:21:00" u="1"/>
        <d v="2025-05-21T13:43:00" u="1"/>
        <d v="2025-05-20T15:45:00" u="1"/>
        <d v="2025-04-23T14:29:00" u="1"/>
        <d v="2025-05-20T13:20:00" u="1"/>
        <d v="2025-05-20T15:37:00" u="1"/>
        <d v="2025-05-19T14:53:00" u="1"/>
        <d v="2025-05-20T12:22:00" u="1"/>
        <d v="2025-05-20T14:09:00" u="1"/>
        <d v="2025-05-13T06:43:00" u="1"/>
        <d v="2025-05-08T15:06:00" u="1"/>
        <d v="2025-05-21T07:21:00" u="1"/>
        <d v="2025-03-28T14:26:00" u="1"/>
        <d v="2025-05-21T12:42:00" u="1"/>
        <d v="2025-05-20T17:11:00" u="1"/>
        <d v="2025-05-20T12:02:00" u="1"/>
        <d v="2025-05-21T19:07:20" u="1"/>
        <d v="2025-05-20T09:46:00" u="1"/>
        <d v="2025-05-20T17:19:00" u="1"/>
        <d v="2025-05-26T15:52:00" u="1"/>
        <d v="2025-05-23T19:22:00" u="1"/>
        <d v="2025-05-26T19:33:00" u="1"/>
        <d v="2025-05-23T08:34:00" u="1"/>
        <d v="2025-05-23T11:12:00" u="1"/>
        <d v="2025-05-21T17:13:00" u="1"/>
        <d v="2025-05-23T17:54:00" u="1"/>
        <d v="2025-05-26T08:29:00" u="1"/>
        <d v="2025-05-26T11:11:00" u="1"/>
        <d v="2025-05-26T21:24:00" u="1"/>
        <d v="2025-05-26T18:12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6:34:00" u="1"/>
        <d v="2025-05-26T12:09:00" u="1"/>
        <d v="2025-05-23T10:11:00" u="1"/>
        <d v="2025-05-26T08:31:00" u="1"/>
        <d v="2025-05-23T15:34:00" u="1"/>
        <d v="2025-05-23T15:35:00" u="1"/>
        <d v="2025-05-26T14:15:00" u="1"/>
        <d v="2025-05-26T15:47:00" u="1"/>
        <d v="2025-05-26T13:11:00" u="1"/>
        <d v="2025-05-26T13:46:00" u="1"/>
        <d v="2025-05-26T14:23:00" u="1"/>
        <d v="2025-05-23T13:48:00" u="1"/>
        <d v="2025-05-23T14:19:00" u="1"/>
        <d v="2025-05-23T14:40:00" u="1"/>
        <d v="2025-05-23T16:05:00" u="1"/>
        <d v="2025-05-26T08:22:00" u="1"/>
        <d v="2025-05-26T08:02:00" u="1"/>
        <d v="2025-05-26T11:26:00" u="1"/>
        <d v="2025-05-22T09:36:00" u="1"/>
        <d v="2025-05-26T11:07:00" u="1"/>
        <d v="2025-05-26T11:06:00" u="1"/>
        <d v="2025-05-26T14:16:00" u="1"/>
        <d v="2025-05-22T14:04:00" u="1"/>
        <d v="2025-05-22T14:10:00" u="1"/>
        <d v="2025-05-22T14:14:00" u="1"/>
        <d v="2025-05-19T17:40:00" u="1"/>
        <d v="2025-05-26T13:36:00" u="1"/>
        <d v="2025-05-12T14:03:00" u="1"/>
        <d v="2025-05-26T17:38:00" u="1"/>
        <d v="2025-05-23T11:56:00" u="1"/>
        <d v="2025-05-23T09:47:00" u="1"/>
        <d v="2025-05-26T17:45:00" u="1"/>
        <d v="2025-05-26T17:44:00" u="1"/>
        <d v="2025-05-26T11:39:00" u="1"/>
        <d v="2025-05-26T11:59:00" u="1"/>
        <d v="2025-05-23T14:53:00" u="1"/>
        <d v="2025-05-22T11:00:00" u="1"/>
        <d v="2025-05-23T15:20:00" u="1"/>
        <d v="2025-05-22T17:24:00" u="1"/>
        <d v="2025-05-23T15:00:00" u="1"/>
        <d v="2025-05-26T16:57:00" u="1"/>
        <d v="2025-05-26T10:21:00" u="1"/>
        <d v="2025-05-22T07:05:00" u="1"/>
        <d v="2025-05-23T13:11:00" u="1"/>
        <d v="2025-05-26T13:22:00" u="1"/>
        <d v="2025-05-26T18:17:00" u="1"/>
        <d v="2025-05-26T09:39:00" u="1"/>
        <d v="2025-05-26T07:55:00" u="1"/>
        <d v="2025-05-22T17:50:00" u="1"/>
        <d v="2025-05-26T18:09:00" u="1"/>
        <d v="2025-05-22T13:29:00" u="1"/>
        <d v="2025-05-22T11:02:00" u="1"/>
        <d v="2025-05-22T15:50:00" u="1"/>
        <d v="2025-05-26T09:12:00" u="1"/>
        <d v="2025-05-23T15:51:00" u="1"/>
        <d v="2025-05-23T22:03:00" u="1"/>
        <d v="2025-05-26T18:04:00" u="1"/>
        <d v="2025-05-22T16:31:00" u="1"/>
        <d v="2025-05-23T10:20:00" u="1"/>
        <d v="2025-05-26T14:40:00" u="1"/>
        <d v="2025-05-26T15:58:00" u="1"/>
        <d v="2025-05-23T08:16:00" u="1"/>
        <d v="2025-05-23T13:01:00" u="1"/>
        <d v="2025-05-22T17:36:00" u="1"/>
        <d v="2025-05-22T10:08:00" u="1"/>
        <d v="2025-05-22T15:53:00" u="1"/>
        <d v="2025-05-21T13:34:00" u="1"/>
        <d v="2025-05-23T00:00:00" u="1"/>
        <d v="2025-05-26T23:55:00" u="1"/>
        <d v="2025-05-23T07:46:00" u="1"/>
        <d v="2025-05-27T09:53:00" u="1"/>
        <d v="2025-05-09T07:25:00" u="1"/>
        <d v="2025-05-23T17:15:00" u="1"/>
        <d v="2025-05-22T00:00:00" u="1"/>
        <d v="2025-04-10T10:04:00" u="1"/>
        <d v="2025-05-26T10:18:00" u="1"/>
        <d v="2025-05-21T15:36:00" u="1"/>
        <d v="2025-05-22T08:27:00" u="1"/>
        <d v="2024-12-12T00:00:00" u="1"/>
        <d v="2025-05-26T08:15:00" u="1"/>
        <d v="2025-05-22T13:03:00" u="1"/>
        <d v="2025-05-26T19:38:00" u="1"/>
        <d v="2025-05-23T18:29:00" u="1"/>
        <d v="2025-05-21T17:10:00" u="1"/>
        <d v="2025-05-23T15:44:00" u="1"/>
        <d v="2025-05-22T15:38:00" u="1"/>
        <d v="2025-05-26T14:46:00" u="1"/>
        <d v="2025-05-21T16:44:00" u="1"/>
        <d v="2025-05-26T11:25:00" u="1"/>
        <d v="2025-05-26T11:35:00" u="1"/>
        <d v="2025-05-21T17:25:00" u="1"/>
        <d v="2025-05-23T12:45:00" u="1"/>
        <d v="2025-05-26T12:34:00" u="1"/>
        <d v="2025-05-26T17:48:00" u="1"/>
        <d v="2025-05-28T04:21:00" u="1"/>
        <d v="2025-05-27T15:59:00" u="1"/>
        <d v="2025-05-27T13:20:00" u="1"/>
        <d v="2025-05-27T12:48:00" u="1"/>
        <d v="2025-05-27T20:06:00" u="1"/>
        <d v="2025-05-27T17:27:00" u="1"/>
        <d v="2025-05-27T13:06:00" u="1"/>
        <d v="2025-05-27T13:29:00" u="1"/>
        <d v="2025-05-27T22:45:00" u="1"/>
        <d v="2025-05-27T15:12:00" u="1"/>
        <d v="2025-05-27T17:06:00" u="1"/>
        <d v="2025-05-27T16:11:00" u="1"/>
        <d v="2025-05-27T16:09:00" u="1"/>
        <d v="2025-05-27T16:04:00" u="1"/>
        <d v="2025-05-26T09:10:00" u="1"/>
        <d v="2025-05-26T12:58:00" u="1"/>
        <d v="2025-05-27T14:23:00" u="1"/>
        <d v="2025-05-27T13:50:00" u="1"/>
        <d v="2025-05-27T10:06:00" u="1"/>
        <d v="2025-05-27T10:58:00" u="1"/>
        <d v="2025-05-27T08:21:00" u="1"/>
        <d v="2025-05-27T07:10:00" u="1"/>
        <d v="2025-05-27T14:16:00" u="1"/>
        <d v="2025-05-26T11:13:00" u="1"/>
        <d v="2025-05-27T15:18:00" u="1"/>
        <d v="2025-05-27T08:43:00" u="1"/>
        <d v="2025-05-27T09:13:00" u="1"/>
        <d v="2025-05-27T09:25:00" u="1"/>
        <d v="2025-05-27T09:54:00" u="1"/>
        <d v="2025-05-27T10:23:00" u="1"/>
        <d v="2025-05-27T06:55:00" u="1"/>
        <d v="2025-05-27T08:15:00" u="1"/>
        <d v="2025-05-26T13:14:00" u="1"/>
        <d v="2025-05-27T14:38:00" u="1"/>
        <d v="2025-05-26T16:30:00" u="1"/>
        <d v="2025-05-26T10:58:00" u="1"/>
        <d v="2025-05-27T14:19:00" u="1"/>
        <d v="2025-05-13T11:40:00" u="1"/>
        <d v="2025-05-13T11:27:00" u="1"/>
        <d v="2025-05-27T16:52:00" u="1"/>
        <d v="2025-05-27T17:04:00" u="1"/>
        <d v="2025-05-27T12:24:00" u="1"/>
        <d v="2025-05-27T12:12:00" u="1"/>
        <d v="2025-05-27T16:58:00" u="1"/>
        <d v="2025-05-27T17:45:00" u="1"/>
        <d v="2025-05-27T10:21:00" u="1"/>
        <d v="2025-05-27T14:22:00" u="1"/>
        <d v="2025-05-27T18:02:00" u="1"/>
        <d v="2025-05-27T15:22:00" u="1"/>
        <d v="2025-05-27T14:50:00" u="1"/>
        <d v="2025-05-27T12:33:00" u="1"/>
        <d v="2025-05-27T09:20:00" u="1"/>
        <d v="2025-05-27T08:46:00" u="1"/>
        <d v="2025-05-27T14:12:00" u="1"/>
        <d v="2025-05-27T17:17:00" u="1"/>
        <d v="2025-05-27T16:57:00" u="1"/>
        <d v="2025-05-27T11:24:00" u="1"/>
        <d v="2025-05-27T19:58:00" u="1"/>
        <d v="2025-05-27T13:21:00" u="1"/>
        <d v="2025-05-27T17:01:00" u="1"/>
        <d v="2025-05-27T09:02:00" u="1"/>
        <d v="2025-05-27T15:52:00" u="1"/>
        <d v="2025-05-27T17:48:00" u="1"/>
        <d v="2025-05-27T18:03:00" u="1"/>
        <d v="2025-05-27T17:59:00" u="1"/>
        <d v="2025-05-27T17:31:00" u="1"/>
        <d v="2025-05-27T15:06:00" u="1"/>
        <d v="2025-05-27T18:46:00" u="1"/>
        <d v="2025-05-27T15:31:00" u="1"/>
        <d v="2025-05-27T10:29:00" u="1"/>
        <d v="2025-05-27T13:37:00" u="1"/>
        <d v="2025-05-27T16:22:00" u="1"/>
        <d v="2025-05-27T05:36:00" u="1"/>
        <d v="2025-05-27T03:59:00" u="1"/>
        <d v="2025-05-27T09:51:00" u="1"/>
        <d v="2025-05-27T07:34:00" u="1"/>
        <d v="2025-05-27T07:49:00" u="1"/>
        <d v="2025-05-21T07:38:00" u="1"/>
        <d v="2025-05-27T16:25:00" u="1"/>
        <d v="2025-05-27T14:49:00" u="1"/>
        <d v="2025-05-27T10:19:00" u="1"/>
        <d v="2025-05-27T16:32:00" u="1"/>
        <d v="2025-05-23T13:12:00" u="1"/>
        <d v="2025-04-29T00:00:00" u="1"/>
        <d v="2025-05-02T11:27:00" u="1"/>
        <d v="2025-05-27T18:54:00" u="1"/>
        <d v="2025-05-27T14:40:00" u="1"/>
        <d v="2025-05-27T12:34:00" u="1"/>
        <d v="2025-05-26T08:13:00" u="1"/>
        <d v="2025-05-26T09:18:00" u="1"/>
        <d v="2025-05-27T06:31:00" u="1"/>
        <d v="2025-05-23T09:45:00" u="1"/>
        <d v="2025-04-14T08:22:00" u="1"/>
        <d v="2025-05-27T06:34:00" u="1"/>
        <d v="2025-05-27T10:31:00" u="1"/>
        <d v="2025-05-27T05:32:00" u="1"/>
        <d v="2025-05-26T07:23:00" u="1"/>
        <d v="2025-05-27T17:16:00" u="1"/>
        <d v="2025-05-27T16:06:00" u="1"/>
        <d v="2024-11-06T05:33:00" u="1"/>
        <d v="2024-10-31T12:38:00" u="1"/>
        <d v="2024-10-29T10:05:00" u="1"/>
        <d v="2025-05-27T14:11:00" u="1"/>
        <d v="2025-04-30T15:14:00" u="1"/>
        <d v="2025-04-30T15:19:00" u="1"/>
        <d v="2025-05-27T14:10:00" u="1"/>
        <d v="2025-05-27T11:01:00" u="1"/>
        <d v="2025-04-30T16:49:00" u="1"/>
        <d v="2025-05-27T16:24:00" u="1"/>
        <d v="2025-05-27T12:03:00" u="1"/>
        <d v="2025-05-27T19:27:00" u="1"/>
        <d v="2025-05-27T10:30:00" u="1"/>
        <d v="2025-05-27T13:57:00" u="1"/>
        <d v="2025-05-27T10:01:00" u="1"/>
        <d v="2025-05-27T10:54:00" u="1"/>
        <d v="2025-05-27T15:20:00" u="1"/>
        <d v="2025-05-27T14:57:00" u="1"/>
        <d v="2025-05-27T15:35:00" u="1"/>
        <d v="2025-05-27T10:43:00" u="1"/>
        <d v="2025-05-27T13:05:00" u="1"/>
        <d v="2025-05-27T15:04:00" u="1"/>
        <d v="2025-05-27T12:55:00" u="1"/>
        <d v="2025-05-16T10:49:00" u="1"/>
        <d v="2025-04-16T16:11:00" u="1"/>
        <d v="2025-04-04T16:27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6:59:00" u="1"/>
        <d v="2025-05-11T10:53:00" u="1"/>
        <d v="2025-05-19T14:36:00" u="1"/>
        <d v="2025-05-20T17:24:00" u="1"/>
        <d v="2025-05-21T09:01:00" u="1"/>
        <d v="2025-05-16T19:04:00" u="1"/>
        <d v="2025-05-20T07:51:00" u="1"/>
        <d v="2025-05-19T12:06:00" u="1"/>
        <d v="2025-05-20T18:55:00" u="1"/>
        <d v="2025-05-21T10:57:00" u="1"/>
        <d v="2025-05-19T20:27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3T15:33:00" u="1"/>
        <d v="2025-05-26T13:10:00" u="1"/>
        <d v="2025-05-24T07:28:00" u="1"/>
        <d v="2025-05-23T14:17:00" u="1"/>
        <d v="2025-05-26T07:58:00" u="1"/>
        <d v="2025-05-26T07:15:00" u="1"/>
        <d v="2025-05-26T07:10:00" u="1"/>
        <d v="2025-05-22T10:05:00" u="1"/>
        <d v="2025-05-26T07:35:00" u="1"/>
        <d v="2025-05-22T12:32:00" u="1"/>
        <d v="2025-05-21T19:13:00" u="1"/>
        <d v="2025-05-22T12:19:00" u="1"/>
        <d v="2025-05-23T11:38:00" u="1"/>
        <d v="2025-05-22T09:45:00" u="1"/>
        <d v="2025-05-21T18:45:00" u="1"/>
        <d v="2025-05-23T10:21:00" u="1"/>
        <d v="2025-05-23T17:08:00" u="1"/>
        <d v="2025-05-23T14:13:00" u="1"/>
        <d v="2025-05-23T12:09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3:35:00" u="1"/>
        <d v="2025-05-26T13:38:00" u="1"/>
        <d v="2025-05-26T14:06:00" u="1"/>
        <d v="2025-05-26T15:15:00" u="1"/>
        <d v="2025-05-26T15:18:00" u="1"/>
        <d v="2025-05-26T12:45:00" u="1"/>
        <d v="2025-05-26T19:03:00" u="1"/>
        <d v="2025-05-26T16:08:00" u="1"/>
        <d v="2025-05-21T17:38:00" u="1"/>
        <d v="2025-05-26T15:02:00" u="1"/>
        <d v="2025-05-26T17:43:00" u="1"/>
        <d v="2025-05-26T15:20:00" u="1"/>
        <d v="2025-05-26T17:36:00" u="1"/>
        <d v="2025-05-26T15:16:00" u="1"/>
        <d v="2025-05-06T10:16:00" u="1"/>
        <d v="2025-05-26T06:03:00" u="1"/>
        <d v="2025-05-26T06:53:00" u="1"/>
        <d v="2025-05-26T14:51:00" u="1"/>
        <d v="2025-05-26T18:39:00" u="1"/>
        <d v="2025-05-26T16:52:00" u="1"/>
        <d v="2025-05-26T13:13:00" u="1"/>
        <d v="2025-05-26T05:53:00" u="1"/>
        <d v="2025-05-26T06:51:00" u="1"/>
        <d v="2025-05-26T05:07:00" u="1"/>
        <d v="2025-05-26T13:32:00" u="1"/>
        <d v="2025-05-26T08:05:00" u="1"/>
        <d v="2025-05-26T19:25:00" u="1"/>
        <d v="2025-05-26T14:30:00" u="1"/>
        <d v="2025-05-26T12:51:00" u="1"/>
        <d v="2025-05-12T15:55:00" u="1"/>
        <d v="2025-05-08T17:00:00" u="1"/>
        <d v="2025-05-12T17:08:00" u="1"/>
        <d v="2025-05-19T09:05:00" u="1"/>
        <d v="2025-05-14T14:56:00" u="1"/>
        <d v="2025-05-14T13:57:00" u="1"/>
        <d v="2025-05-16T17:32:00" u="1"/>
        <d v="2025-05-16T17:33:00" u="1"/>
        <d v="2025-05-15T14:16:00" u="1"/>
        <d v="2025-05-05T00:00:00" u="1"/>
        <d v="2025-05-19T18:45:00" u="1"/>
        <d v="2025-05-20T08:48:00" u="1"/>
        <d v="2025-05-19T14:50:00" u="1"/>
        <d v="2025-05-20T07:18:00" u="1"/>
        <d v="2025-05-20T17:06:00" u="1"/>
        <d v="2025-05-20T12:48:00" u="1"/>
        <d v="2025-05-20T17:07:00" u="1"/>
        <d v="2025-05-20T14:47:00" u="1"/>
        <d v="2025-05-20T09:00:00" u="1"/>
        <d v="2025-05-22T16:47:00" u="1"/>
        <d v="2025-05-21T13:07:00" u="1"/>
        <d v="2025-05-23T15:39:00" u="1"/>
        <d v="2025-05-23T11:46:00" u="1"/>
        <d v="2025-05-22T16:07:00" u="1"/>
        <d v="2025-05-22T14:17:00" u="1"/>
        <d v="2025-05-23T09:04:00" u="1"/>
        <d v="2025-05-22T17:46:00" u="1"/>
        <d v="2025-05-22T15:40:00" u="1"/>
        <d v="2025-05-23T13:45:00" u="1"/>
        <d v="2025-05-23T14:47:00" u="1"/>
        <d v="2025-05-22T16:28:00" u="1"/>
        <d v="2025-05-19T13:04:00" u="1"/>
        <d v="2025-05-23T14:50:00" u="1"/>
        <d v="2025-05-23T09:26:00" u="1"/>
        <d v="2025-05-22T12:33:00" u="1"/>
        <d v="2025-05-23T09:46:00" u="1"/>
        <d v="2025-05-23T13:26:00" u="1"/>
        <d v="2025-05-23T13:27:00" u="1"/>
        <d v="2025-05-22T18:17:00" u="1"/>
        <d v="2025-05-22T09:02:00" u="1"/>
        <d v="2025-05-23T13:21:00" u="1"/>
        <d v="2025-05-22T17:13:00" u="1"/>
        <d v="2025-05-22T13:06:00" u="1"/>
        <d v="2025-05-19T13:46:00" u="1"/>
        <d v="2025-05-22T09:01:00" u="1"/>
        <d v="2025-05-22T08:41:00" u="1"/>
        <d v="2025-05-22T07:41:00" u="1"/>
        <d v="2025-05-23T11:58:00" u="1"/>
        <d v="2025-05-23T12:03:00" u="1"/>
        <d v="2025-05-22T14:00:00" u="1"/>
        <d v="2025-05-23T11:21:00" u="1"/>
        <d v="2025-05-22T15:47:00" u="1"/>
        <d v="2025-05-21T19:17:00" u="1"/>
        <d v="2025-05-22T12:38:00" u="1"/>
        <d v="2025-05-21T14:17:00" u="1"/>
        <d v="2025-05-23T11:31:00" u="1"/>
        <d v="2025-05-22T13:59:00" u="1"/>
        <d v="2025-05-23T10:04:00" u="1"/>
        <d v="2025-05-21T16:54:00" u="1"/>
        <d v="2025-05-22T16:11:00" u="1"/>
        <d v="2025-05-21T17:43:00" u="1"/>
        <d v="2025-05-22T13:14:00" u="1"/>
        <d v="2025-05-23T18:03:00" u="1"/>
        <d v="2025-05-23T13:33:00" u="1"/>
        <d v="2025-05-23T19:00:00" u="1"/>
        <d v="2025-05-25T00:00:00" u="1"/>
        <d v="2025-05-23T19:28:00" u="1"/>
        <d v="2025-05-23T16:28:00" u="1"/>
        <d v="2025-05-23T16:19:00" u="1"/>
        <d v="2025-05-23T15:45:00" u="1"/>
        <d v="2025-05-23T18:04:00" u="1"/>
        <d v="2025-05-23T15:53:00" u="1"/>
        <d v="2025-05-23T11:41:00" u="1"/>
        <d v="2025-05-23T14:18:00" u="1"/>
        <d v="2025-05-23T20:01:00" u="1"/>
        <d v="2025-05-24T02:51:00" u="1"/>
        <d v="2025-05-23T05:57:00" u="1"/>
        <d v="2025-05-23T20:00:00" u="1"/>
        <d v="2025-05-23T18:02:00" u="1"/>
        <d v="2025-05-23T19:46:00" u="1"/>
        <d v="2025-04-16T09:05:00" u="1"/>
        <d v="2025-05-23T13:46:00" u="1"/>
        <d v="2025-05-23T17:44:00" u="1"/>
        <d v="2025-05-23T15:57:00" u="1"/>
        <d v="2025-05-23T15:58:00" u="1"/>
        <d v="2025-05-23T16:08:00" u="1"/>
        <d v="2025-05-22T14:28:00" u="1"/>
        <d v="2025-05-22T15:14:00" u="1"/>
        <d v="2025-05-13T16:01:00" u="1"/>
        <d v="2025-05-22T17:54:00" u="1"/>
        <d v="2025-05-22T17:42:00" u="1"/>
        <d v="2025-05-22T13:32:00" u="1"/>
        <d v="2025-05-21T07:06:00" u="1"/>
        <d v="2025-05-19T14:01:00" u="1"/>
        <d v="2025-05-19T08:28:00" u="1"/>
        <d v="2025-05-14T07:54:00" u="1"/>
        <d v="2025-05-18T07:15:00" u="1"/>
        <d v="2025-05-22T07:19:00" u="1"/>
        <d v="2025-05-22T09:11:00" u="1"/>
        <d v="2025-04-29T14:32:00" u="1"/>
        <d v="2025-05-19T06:33:00" u="1"/>
        <d v="2025-05-19T09:18:00" u="1"/>
        <d v="2025-05-22T14:55:00" u="1"/>
        <d v="2025-05-20T10:46:00" u="1"/>
        <d v="2025-05-21T12:26:00" u="1"/>
        <d v="2025-05-08T16:28:00" u="1"/>
        <d v="2025-05-22T15:46:00" u="1"/>
        <d v="2025-05-16T06:00:00" u="1"/>
        <d v="2025-05-16T06:03:00" u="1"/>
        <d v="2025-05-15T16:33:00" u="1"/>
        <d v="2025-05-14T10:45:00" u="1"/>
        <d v="2025-05-22T09:41:00" u="1"/>
        <d v="2025-05-20T09:20:00" u="1"/>
        <d v="2025-05-21T09:30:00" u="1"/>
        <d v="2025-05-22T18:07:00" u="1"/>
        <d v="2025-05-14T05:57:00" u="1"/>
        <d v="2025-05-19T12:07:00" u="1"/>
        <d v="2025-05-22T16:52:00" u="1"/>
        <d v="2025-05-22T17:23:00" u="1"/>
        <d v="2025-05-19T14:52:00" u="1"/>
        <d v="2025-05-21T06:49:00" u="1"/>
        <d v="2025-05-21T06:50:00" u="1"/>
        <d v="2025-05-21T10:45:00" u="1"/>
        <d v="2025-05-21T09:42:00" u="1"/>
        <d v="2025-05-20T18:22:00" u="1"/>
        <d v="2025-05-19T15:11:00" u="1"/>
        <d v="2025-05-21T12:37:00" u="1"/>
        <d v="2025-05-22T13:18:00" u="1"/>
        <d v="2025-04-16T16:08:00" u="1"/>
        <d v="2025-05-19T08:31:00" u="1"/>
        <d v="2025-05-16T20:14:00" u="1"/>
        <d v="2025-05-16T20:05:00" u="1"/>
        <d v="2025-05-19T08:37:00" u="1"/>
        <d v="2025-05-15T21:47:00" u="1"/>
        <d v="2025-05-15T21:11:00" u="1"/>
        <d v="2025-05-20T17:37:00" u="1"/>
        <d v="2025-05-20T09:49:00" u="1"/>
        <d v="2025-05-22T11:56:00" u="1"/>
        <d v="2025-05-22T11:47:00" u="1"/>
        <d v="2025-04-14T05:31:00" u="1"/>
        <d v="2025-05-05T08:41:00" u="1"/>
        <d v="2025-05-20T17:23:00" u="1"/>
        <d v="2025-05-22T11:41:00" u="1"/>
        <d v="2025-05-22T17:27:00" u="1"/>
        <d v="2025-05-21T21:51:00" u="1"/>
        <d v="2025-05-16T18:25:00" u="1"/>
        <d v="2025-05-22T09:53:00" u="1"/>
        <d v="2025-04-22T15:18:00" u="1"/>
        <d v="2025-05-20T15:56:00" u="1"/>
        <d v="2025-05-21T11:06:00" u="1"/>
        <d v="2025-05-22T11:27:00" u="1"/>
        <d v="2025-05-22T13:52:00" u="1"/>
        <d v="2025-05-22T14:37:00" u="1"/>
        <d v="2025-05-22T08:01:00" u="1"/>
        <d v="2025-05-20T06:56:00" u="1"/>
        <d v="2025-05-22T04:36:00" u="1"/>
        <d v="2025-05-22T05:44:00" u="1"/>
        <d v="2025-05-21T14:57:00" u="1"/>
        <d v="2025-05-22T16:14:00" u="1"/>
        <d v="2025-05-19T07:40:00" u="1"/>
        <d v="2025-05-14T19:51:00" u="1"/>
        <d v="2025-05-13T10:57:00" u="1"/>
        <d v="2025-05-20T10:09:00" u="1"/>
        <d v="2025-05-20T16:43:00" u="1"/>
        <d v="2025-05-21T17:18:00" u="1"/>
        <d v="2025-05-20T21:55:00" u="1"/>
        <d v="2025-05-20T17:27:00" u="1"/>
        <d v="2025-05-20T17:18:00" u="1"/>
        <d v="2025-05-16T09:00:00" u="1"/>
        <d v="2025-05-16T08:59:00" u="1"/>
        <d v="2025-05-20T12:07:00" u="1"/>
        <d v="2025-05-05T16:49:00" u="1"/>
        <d v="2025-05-20T12:01:00" u="1"/>
        <d v="2025-05-20T10:05:00" u="1"/>
        <d v="2025-05-19T13:24:00" u="1"/>
        <d v="2025-05-21T16:40:00" u="1"/>
        <d v="2025-05-21T18:11:00" u="1"/>
        <d v="2025-05-19T13:41:00" u="1"/>
        <d v="2025-05-19T13:53:00" u="1"/>
        <d v="2025-05-21T09:13:00" u="1"/>
        <d v="2025-05-20T16:01:00" u="1"/>
        <d v="2025-05-21T10:54:00" u="1"/>
        <d v="2025-05-20T14:45:00" u="1"/>
        <d v="2025-05-21T13:54:00" u="1"/>
        <d v="2025-05-20T08:43:00" u="1"/>
        <d v="2025-05-20T15:50:00" u="1"/>
        <d v="2025-05-20T17:44:00" u="1"/>
        <d v="2025-05-21T14:20:00" u="1"/>
        <d v="2025-05-21T09:40:00" u="1"/>
        <d v="2025-05-20T10:12:00" u="1"/>
        <d v="2025-05-20T17:31:00" u="1"/>
        <d v="2025-05-13T13:47:00" u="1"/>
        <d v="2025-05-09T16:54:00" u="1"/>
        <d v="2025-05-19T19:48:00" u="1"/>
        <d v="2025-05-19T13:07:00" u="1"/>
        <d v="2025-05-21T16:22:00" u="1"/>
        <d v="2025-05-21T16:42:00" u="1"/>
        <d v="2025-05-21T14:23:00" u="1"/>
        <d v="2025-05-21T00:16:00" u="1"/>
        <d v="2025-05-20T21:30:00" u="1"/>
        <d v="2025-05-21T11:32:00" u="1"/>
        <d v="2025-05-20T11:18:00" u="1"/>
        <d v="2025-05-20T12:44:00" u="1"/>
        <d v="2025-05-20T10:42:00" u="1"/>
        <d v="2025-05-19T19:30:00" u="1"/>
        <d v="2025-05-21T20:46:00" u="1"/>
        <d v="2025-05-21T16:07:00" u="1"/>
        <d v="2025-05-20T11:37:00" u="1"/>
        <d v="2025-05-19T08:26:00" u="1"/>
        <d v="2025-05-20T15:55:00" u="1"/>
        <d v="2025-05-21T12:19:00" u="1"/>
        <d v="2025-05-21T09:50:00" u="1"/>
        <d v="2025-05-20T12:57:00" u="1"/>
        <d v="2025-05-19T14:41:00" u="1"/>
        <d v="2025-05-20T15:29:00" u="1"/>
        <d v="2025-05-16T12:57:00" u="1"/>
        <d v="2025-05-21T08:59:00" u="1"/>
        <d v="2025-05-21T13:25:00" u="1"/>
        <d v="2025-05-21T14:42:00" u="1"/>
        <d v="2025-05-21T07:58:00" u="1"/>
        <d v="2025-05-21T10:03:00" u="1"/>
        <d v="2025-05-19T13:39:00" u="1"/>
        <d v="2025-05-19T15:34:00" u="1"/>
        <d v="2025-05-19T19:35:00" u="1"/>
        <d v="2025-05-19T18:43:00" u="1"/>
        <d v="2025-05-19T15:39:00" u="1"/>
        <d v="2025-05-21T14:07:00" u="1"/>
        <d v="2025-05-21T15:45:00" u="1"/>
        <d v="2025-05-21T08:27:00" u="1"/>
        <d v="2025-05-16T11:05:00" u="1"/>
        <d v="2025-05-14T14:59:00" u="1"/>
        <d v="2025-05-20T14:50:00" u="1"/>
        <d v="2025-05-21T13:28:00" u="1"/>
        <d v="2025-05-20T16:12:00" u="1"/>
        <d v="2025-05-20T15:36:00" u="1"/>
        <d v="2025-05-19T15:58:00" u="1"/>
        <d v="2025-05-12T17:12:00" u="1"/>
        <d v="2025-05-13T17:44:00" u="1"/>
        <d v="2025-05-20T14:31:00" u="1"/>
        <d v="2025-05-20T14:30:00" u="1"/>
        <d v="2025-04-30T15:33:00" u="1"/>
        <d v="2025-04-30T15:32:00" u="1"/>
        <d v="2025-05-06T14:25:00" u="1"/>
        <d v="2025-05-06T14:26:00" u="1"/>
        <d v="2025-05-13T08:15:00" u="1"/>
        <d v="2025-05-20T17:34:00" u="1"/>
        <d v="2025-05-19T18:28:00" u="1"/>
        <d v="2025-05-20T18:03:00" u="1"/>
        <d v="2025-05-20T18:15:00" u="1"/>
        <d v="2025-05-20T15:40:00" u="1"/>
        <d v="2025-05-19T15:49:00" u="1"/>
        <d v="2025-05-21T16:36:00" u="1"/>
        <d v="2025-05-21T11:55:00" u="1"/>
        <d v="2025-05-21T09:06:00" u="1"/>
        <d v="2025-05-21T19:35:00" u="1"/>
        <d v="2025-05-19T14:42:00" u="1"/>
        <d v="2025-05-20T11:49:00" u="1"/>
        <d v="2025-05-21T16:37:00" u="1"/>
        <d v="2025-05-16T17:51:00" u="1"/>
        <d v="2025-05-21T17:55:00" u="1"/>
        <d v="2025-05-19T17:16:00" u="1"/>
        <d v="2025-05-20T09:15:00" u="1"/>
        <d v="2025-05-21T15:22:00" u="1"/>
        <d v="2025-05-21T15:21:00" u="1"/>
        <d v="2025-05-21T18:09:00" u="1"/>
        <d v="2025-05-20T13:37:00" u="1"/>
        <d v="2025-05-20T07:32:00" u="1"/>
        <d v="2025-05-21T08:33:00" u="1"/>
        <d v="2025-05-21T08:10:00" u="1"/>
        <d v="2025-05-19T11:17:00" u="1"/>
        <d v="2025-05-19T11:24:00" u="1"/>
        <d v="2025-05-21T06:32:00" u="1"/>
        <d v="2025-05-20T08:26:00" u="1"/>
        <d v="2025-05-21T08:20:00" u="1"/>
        <d v="2025-05-21T11:42:00" u="1"/>
        <d v="2025-05-20T12:47:00" u="1"/>
        <d v="2025-05-19T16:27:00" u="1"/>
        <d v="2025-05-20T08:16:00" u="1"/>
        <d v="2025-05-21T13:52:00" u="1"/>
        <d v="2025-05-21T14:45:00" u="1"/>
        <d v="2025-03-10T00:00:00" u="1"/>
        <d v="2025-05-14T10:31:00" u="1"/>
        <d v="2025-05-21T14:43:00" u="1"/>
        <d v="2025-05-21T13:30:00" u="1"/>
        <d v="2025-05-21T15:32:00" u="1"/>
        <d v="2025-05-21T13:45:00" u="1"/>
        <d v="2025-05-19T09:00:00" u="1"/>
        <d v="2025-05-20T18:00:00" u="1"/>
        <d v="2025-05-21T16:00:00" u="1"/>
        <d v="2025-05-21T18:01:00" u="1"/>
        <d v="2025-05-21T17:59:00" u="1"/>
        <d v="2025-05-20T15:54:00" u="1"/>
        <d v="2025-05-21T17:03:00" u="1"/>
        <d v="2025-05-21T22:38:00" u="1"/>
        <d v="2025-05-21T22:39:00" u="1"/>
        <d v="2025-05-20T12:16:00" u="1"/>
        <d v="2025-04-16T17:11:00" u="1"/>
        <d v="2025-05-20T18:02:00" u="1"/>
        <d v="2025-05-15T16:44:00" u="1"/>
        <d v="2025-05-14T10:24:00" u="1"/>
        <d v="2025-05-20T13:38:00" u="1"/>
        <d v="2025-05-20T13:26:00" u="1"/>
        <d v="2025-05-20T06:04:00" u="1"/>
        <d v="2025-05-20T20:29:00" u="1"/>
        <d v="2025-05-19T11:53:00" u="1"/>
        <d v="2025-05-19T12:10:00" u="1"/>
        <d v="2025-05-20T12:17:00" u="1"/>
        <d v="2025-05-20T12:21:00" u="1"/>
        <d v="2025-05-15T15:39:00" u="1"/>
        <d v="2025-05-16T12:21:00" u="1"/>
        <d v="2025-05-20T16:54:00" u="1"/>
        <d v="2025-05-20T15:08:00" u="1"/>
        <d v="2025-05-19T19:12:00" u="1"/>
        <d v="2025-05-19T19:13:00" u="1"/>
        <d v="2025-05-19T18:47:00" u="1"/>
        <d v="2025-05-19T13:55:00" u="1"/>
        <d v="2025-05-19T14:03:00" u="1"/>
        <d v="2025-05-19T14:10:00" u="1"/>
        <d v="2025-05-19T14:06:00" u="1"/>
        <d v="2025-05-20T10:45:00" u="1"/>
        <d v="2025-05-20T17:57:00" u="1"/>
        <d v="2025-05-19T17:26:00" u="1"/>
        <d v="2025-05-19T17:05:00" u="1"/>
        <d v="2025-05-19T12:04:00" u="1"/>
        <d v="2025-05-20T11:55:00" u="1"/>
        <d v="2025-05-20T11:10:00" u="1"/>
        <d v="2025-05-19T17:03:00" u="1"/>
        <d v="2025-05-20T16:39:00" u="1"/>
        <d v="2025-05-19T10:09:00" u="1"/>
        <d v="2025-05-20T18:09:00" u="1"/>
        <d v="2025-05-19T10:23:00" u="1"/>
        <d v="2025-05-19T10:30:00" u="1"/>
        <d v="2025-05-20T15:32:00" u="1"/>
        <d v="2025-05-20T13:39:00" u="1"/>
        <d v="2025-05-16T15:37:00" u="1"/>
        <d v="2025-05-20T14:58:00" u="1"/>
        <d v="2025-05-20T10:22:00" u="1"/>
        <d v="2025-05-19T17:32:00" u="1"/>
        <d v="2025-05-20T18:40:00" u="1"/>
        <d v="2025-05-13T15:09:00" u="1"/>
        <d v="2025-05-20T10:10:00" u="1"/>
        <d v="2025-05-20T14:13:00" u="1"/>
        <d v="2025-05-20T10:47:00" u="1"/>
        <d v="2025-05-20T10:08:00" u="1"/>
        <d v="2025-05-19T18:34:00" u="1"/>
        <d v="2025-05-19T15:28:00" u="1"/>
        <d v="2025-05-20T18:50:00" u="1"/>
        <d v="2025-05-16T15:43:00" u="1"/>
        <d v="2025-05-19T11:14:00" u="1"/>
        <d v="2025-05-19T11:23:00" u="1"/>
        <d v="2025-05-20T14:26:00" u="1"/>
        <d v="2025-05-19T10:54:00" u="1"/>
        <d v="2025-05-20T16:46:00" u="1"/>
        <d v="2025-05-20T17:28:00" u="1"/>
        <d v="2025-05-20T16:51:00" u="1"/>
        <d v="2025-05-20T16:26:00" u="1"/>
        <d v="2025-05-14T14:11:00" u="1"/>
        <d v="2025-05-20T11:43:00" u="1"/>
        <d v="2025-05-08T16:59:00" u="1"/>
        <d v="2025-05-20T01:09:00" u="1"/>
        <d v="2025-05-20T05:13:00" u="1"/>
        <d v="2025-05-20T16:52:00" u="1"/>
        <d v="2025-05-20T07:49:00" u="1"/>
        <d v="2025-05-20T11:08:00" u="1"/>
        <d v="2025-05-20T09:44:00" u="1"/>
        <d v="2025-05-07T00:00:00" u="1"/>
        <d v="2025-05-20T21:20:00" u="1"/>
        <d v="2025-05-20T16:17:00" u="1"/>
        <d v="2025-05-20T07:07:00" u="1"/>
        <d v="2025-05-20T18:43:00" u="1"/>
        <d v="2025-05-20T11:45:00" u="1"/>
        <d v="2025-05-20T10:06:00" u="1"/>
        <d v="2025-05-20T01:53:00" u="1"/>
        <d v="2025-05-20T03:58:00" u="1"/>
        <d v="2025-05-20T06:16:00" u="1"/>
        <d v="2025-05-20T12:23:00" u="1"/>
        <d v="2025-05-20T17:17:00" u="1"/>
        <d v="2025-05-17T18:18:00" u="1"/>
        <d v="2025-02-21T15:54:00" u="1"/>
        <d v="2025-05-07T15:49:00" u="1"/>
        <d v="2025-05-15T11:46:00" u="1"/>
        <d v="2025-05-20T17:02:00" u="1"/>
        <d v="2025-05-16T14:08:00" u="1"/>
        <d v="2025-05-13T09:17:00" u="1"/>
        <d v="2025-05-20T13:54:00" u="1"/>
        <d v="2025-05-19T01:26:00" u="1"/>
        <d v="2025-05-20T05:06:00" u="1"/>
        <d v="2025-05-20T15:22:00" u="1"/>
        <d v="2025-05-08T21:56:00" u="1"/>
        <d v="2025-05-20T10:31:00" u="1"/>
        <d v="2025-05-20T12:30:00" u="1"/>
        <d v="2025-05-20T07:43:00" u="1"/>
        <d v="2025-05-19T18:46:00" u="1"/>
        <d v="2025-05-19T11:28:00" u="1"/>
        <d v="2025-05-16T11:59:00" u="1"/>
        <d v="2025-05-16T11:51:00" u="1"/>
        <d v="2025-05-19T16:00:00" u="1"/>
        <d v="2025-05-19T10:24:00" u="1"/>
        <d v="2025-05-19T10:16:00" u="1"/>
        <d v="2025-05-19T15:19:00" u="1"/>
        <d v="2025-05-19T06:05:00" u="1"/>
        <d v="2025-05-19T17:35:00" u="1"/>
        <d v="2025-05-19T17:44:00" u="1"/>
        <d v="2025-05-14T10:02:00" u="1"/>
        <d v="2025-05-19T07:17:00" u="1"/>
        <d v="2025-05-19T13:28:00" u="1"/>
        <d v="2025-05-19T09:45:00" u="1"/>
        <d v="2025-05-19T12:11:00" u="1"/>
        <d v="2025-05-17T15:43:00" u="1"/>
        <d v="2025-05-19T18:22:00" u="1"/>
        <d v="2025-05-15T15:08:00" u="1"/>
        <d v="2025-05-18T14:13:00" u="1"/>
        <d v="2025-05-19T17:47:00" u="1"/>
        <d v="2025-05-19T02:31:00" u="1"/>
        <d v="2025-05-19T04:15:00" u="1"/>
        <d v="2025-05-19T18:13:00" u="1"/>
        <d v="2025-04-09T12:27:00" u="1"/>
        <d v="2025-05-19T21:06:00" u="1"/>
        <d v="2025-05-19T07:53:00" u="1"/>
        <d v="2025-05-19T04:54:00" u="1"/>
        <d v="2025-05-19T14:08:00" u="1"/>
        <d v="2025-05-19T14:37:00" u="1"/>
        <d v="2025-05-19T12:46:00" u="1"/>
        <d v="2025-05-19T12:16:00" u="1"/>
        <d v="2025-05-16T13:56:00" u="1"/>
        <d v="2025-05-19T03:54:00" u="1"/>
        <d v="2025-05-19T16:25:00" u="1"/>
        <d v="2025-05-19T04:08:00" u="1"/>
        <d v="2025-05-19T04:01:00" u="1"/>
        <d v="2025-05-19T05:05:00" u="1"/>
        <d v="2025-05-19T10:05:00" u="1"/>
        <d v="2025-05-19T07:36:00" u="1"/>
        <d v="2025-05-19T07:43:00" u="1"/>
        <d v="2025-05-14T17:51:00" u="1"/>
        <d v="2025-05-15T13:14:00" u="1"/>
        <d v="2025-05-16T15:07:00" u="1"/>
        <d v="2025-05-15T16:05:00" u="1"/>
        <d v="2025-05-12T15:58:00" u="1"/>
        <d v="2025-05-14T09:06:00" u="1"/>
        <d v="2025-05-14T15:52:00" u="1"/>
        <d v="2025-05-15T15:48:00" u="1"/>
        <d v="2025-05-16T17:06:00" u="1"/>
        <d v="2025-05-16T15:20:00" u="1"/>
        <d v="2025-05-16T11:41:00" u="1"/>
        <d v="2025-05-16T16:01:00" u="1"/>
        <d v="2025-05-15T16:42:00" u="1"/>
        <d v="2025-05-15T17:18:00" u="1"/>
        <d v="2025-05-15T15:44:00" u="1"/>
        <d v="2025-05-16T11:34:00" u="1"/>
        <d v="2025-05-16T12:45:00" u="1"/>
        <d v="2025-05-16T15:22:00" u="1"/>
        <d v="2025-05-16T16:43:00" u="1"/>
        <d v="2025-05-14T14:31:00" u="1"/>
        <d v="2025-05-14T10:32:00" u="1"/>
        <d v="2025-05-15T06:42:00" u="1"/>
        <d v="2025-05-16T07:11:00" u="1"/>
        <d v="2025-05-16T18:14:00" u="1"/>
        <d v="2025-05-16T20:31:00" u="1"/>
        <d v="2025-05-16T10:40:00" u="1"/>
        <d v="2025-05-15T08:49:00" u="1"/>
        <d v="2025-05-15T13:59:00" u="1"/>
        <d v="2025-05-16T13:21:00" u="1"/>
        <d v="2025-05-16T18:09:00" u="1"/>
        <d v="2025-05-17T10:17:00" u="1"/>
        <d v="2025-05-16T16:03:00" u="1"/>
        <d v="2025-05-16T12:52:00" u="1"/>
        <d v="2025-05-16T15:42:00" u="1"/>
        <d v="2025-05-16T15:33:00" u="1"/>
        <d v="2025-05-16T09:26:00" u="1"/>
        <d v="2025-05-15T16:55:00" u="1"/>
        <d v="2025-05-16T14:06:00" u="1"/>
        <d v="2025-05-16T09:15:00" u="1"/>
        <d v="2025-05-15T17:22:00" u="1"/>
        <d v="2025-05-15T17:29:00" u="1"/>
        <d v="2025-05-15T18:04:00" u="1"/>
        <d v="2025-05-16T13:44:00" u="1"/>
        <d v="2025-05-16T11:06:00" u="1"/>
        <d v="2025-05-16T11:04:00" u="1"/>
        <d v="2025-05-09T08:29:00" u="1"/>
        <d v="2025-05-08T15:58:00" u="1"/>
        <d v="2025-05-12T00:00:00" u="1"/>
        <d v="2025-05-09T14:46:00" u="1"/>
        <d v="2025-05-09T09:36:00" u="1"/>
        <d v="2025-05-09T14:42:00" u="1"/>
        <d v="2025-05-16T18:53:00" u="1"/>
        <d v="2025-05-16T15:16:00" u="1"/>
        <d v="2025-05-15T00:54:00" u="1"/>
        <d v="2025-05-16T18:52:00" u="1"/>
        <d v="2025-05-16T10:41:00" u="1"/>
        <d v="2025-05-15T16:21:00" u="1"/>
        <d v="2025-05-16T19:03:00" u="1"/>
        <d v="2025-05-16T15:59:00" u="1"/>
        <d v="2025-05-16T14:10:00" u="1"/>
        <d v="2025-05-15T13:57:00" u="1"/>
        <d v="2025-05-15T17:27:00" u="1"/>
        <d v="2025-05-15T10:33:00" u="1"/>
        <d v="2025-05-16T15:57:00" u="1"/>
        <d v="2025-05-14T09:02:00" u="1"/>
        <d v="2025-05-16T09:53:00" u="1"/>
        <d v="2025-05-14T15:27:00" u="1"/>
        <d v="2025-05-13T12:42:00" u="1"/>
        <d v="2025-05-15T16:37:00" u="1"/>
        <d v="2025-05-16T11:20:00" u="1"/>
        <d v="2025-05-13T15:37:00" u="1"/>
        <d v="2025-05-15T17:25:00" u="1"/>
        <d v="2025-05-15T20:27:00" u="1"/>
        <d v="2025-05-17T00:00:00" u="1"/>
        <d v="2025-05-15T09:58:00" u="1"/>
        <d v="2025-05-13T10:54:00" u="1"/>
        <d v="2025-05-09T17:50:00" u="1"/>
        <d v="2025-05-09T18:04:00" u="1"/>
        <d v="2025-05-09T17:48:00" u="1"/>
        <d v="2025-05-12T17:48:00" u="1"/>
        <d v="2025-05-09T17:55:00" u="1"/>
        <d v="2025-05-12T09:25:00" u="1"/>
        <d v="2025-05-09T17:39:00" u="1"/>
        <d v="2025-03-31T09:21:00" u="1"/>
        <d v="2025-05-15T15:50:00" u="1"/>
        <d v="2025-05-16T09:40:00" u="1"/>
        <d v="2025-05-15T10:23:00" u="1"/>
        <d v="2025-05-15T10:22:00" u="1"/>
        <d v="2025-05-08T17:03:00" u="1"/>
        <d v="2025-05-17T16:30:00" u="1"/>
        <d v="2025-05-16T19:27:00" u="1"/>
        <d v="2025-05-18T10:52:00" u="1"/>
        <d v="2025-05-13T10:25:00" u="1"/>
        <d v="2025-05-03T15:30:00" u="1"/>
        <d v="2025-04-14T18:27:00" u="1"/>
        <d v="2025-05-16T18:23:00" u="1"/>
        <d v="2025-05-13T16:07:00" u="1"/>
        <d v="2025-05-15T19:07:00" u="1"/>
        <d v="2025-05-16T18:29:00" u="1"/>
        <d v="2025-05-16T07:18:00" u="1"/>
        <d v="2025-05-06T19:42:00" u="1"/>
        <d v="2025-05-13T12:14:00" u="1"/>
        <d v="2025-05-13T11:35:00" u="1"/>
        <d v="2025-05-13T08:19:00" u="1"/>
        <d v="2025-05-16T14:57:00" u="1"/>
        <d v="2025-05-15T12:00:00" u="1"/>
        <d v="2025-05-15T08:30:00" u="1"/>
        <d v="2025-05-16T16:06:00" u="1"/>
        <d v="2025-05-08T08:19:00" u="1"/>
        <d v="2025-05-16T16:14:00" u="1"/>
        <d v="2025-05-16T15:34:00" u="1"/>
        <d v="2025-05-16T12:41:00" u="1"/>
        <d v="2025-05-18T11:14:00" u="1"/>
        <d v="2025-05-18T11:10:00" u="1"/>
        <d v="2025-04-23T11:01:00" u="1"/>
        <d v="2025-05-16T02:54:00" u="1"/>
        <d v="2025-05-16T16:13:00" u="1"/>
        <d v="2025-05-14T18:32:00" u="1"/>
        <d v="2025-05-13T14:31:00" u="1"/>
        <d v="2025-05-16T18:31:00" u="1"/>
        <d v="2025-05-16T15:54:00" u="1"/>
        <d v="2025-04-24T18:16:00" u="1"/>
        <d v="2025-03-18T13:35:00" u="1"/>
        <d v="2025-05-13T06:22:00" u="1"/>
        <d v="2025-03-28T18:48:00" u="1"/>
        <d v="2025-05-15T12:10:00" u="1"/>
        <d v="2025-01-21T11:39:00" u="1"/>
        <d v="2025-04-30T17:41:00" u="1"/>
        <d v="2025-05-12T12:36:00" u="1"/>
        <d v="2025-05-12T13:33:00" u="1"/>
        <d v="2025-05-16T18:08:00" u="1"/>
        <d v="2025-02-13T21:58:00" u="1"/>
        <d v="2025-05-08T03:18:00" u="1"/>
        <d v="2025-05-19T05:06:00" u="1"/>
        <d v="2025-05-14T12:37:00" u="1"/>
        <d v="2025-05-05T15:29:00" u="1"/>
        <d v="2025-01-03T18:00:00" u="1"/>
        <d v="2025-05-06T09:42:00" u="1"/>
        <d v="2025-05-16T18:00:00" u="1"/>
        <d v="2025-05-09T13:15:00" u="1"/>
        <d v="2025-04-22T11:59:00" u="1"/>
        <d v="2025-04-29T10:27:00" u="1"/>
        <d v="2025-04-29T15:09:00" u="1"/>
        <d v="2025-05-06T00:00:00" u="1"/>
        <d v="2025-05-16T15:28:00" u="1"/>
        <d v="2025-04-30T06:55:00" u="1"/>
        <d v="2025-04-22T15:07:00" u="1"/>
        <d v="2025-05-15T10:47:00" u="1"/>
        <d v="2025-04-30T15:00:00" u="1"/>
        <d v="2025-05-12T13:41:00" u="1"/>
        <d v="2025-04-28T17:22:00" u="1"/>
        <d v="2025-05-05T11:47:00" u="1"/>
        <d v="2025-05-05T11:37:00" u="1"/>
        <d v="2025-05-05T11:11:00" u="1"/>
        <d v="2025-05-09T13:40:00" u="1"/>
        <d v="2025-05-02T00:00:00" u="1"/>
        <d v="2025-05-13T06:56:00" u="1"/>
        <d v="2025-04-29T13:29:00" u="1"/>
        <d v="2025-05-14T10:27:00" u="1"/>
        <d v="2025-05-15T05:01:00" u="1"/>
        <d v="2025-05-12T15:21:00" u="1"/>
        <d v="2025-05-16T13:14:00" u="1"/>
        <d v="2025-04-28T15:45:00" u="1"/>
        <d v="2025-04-29T06:50:00" u="1"/>
        <d v="2025-05-06T07:15:00" u="1"/>
        <d v="2025-05-05T06:42:00" u="1"/>
        <d v="2025-05-05T08:35:00" u="1"/>
        <d v="2025-05-14T18:00:00" u="1"/>
        <d v="2025-05-05T12:00:00" u="1"/>
        <d v="2025-04-29T06:33:00" u="1"/>
        <d v="2025-04-29T08:02:00" u="1"/>
        <d v="2025-04-29T12:54:00" u="1"/>
        <d v="2025-04-29T12:31:00" u="1"/>
        <d v="2025-05-15T11:28:00" u="1"/>
        <d v="2025-04-29T13:10:00" u="1"/>
        <d v="2025-05-06T15:57:00" u="1"/>
        <d v="2025-05-08T14:46:00" u="1"/>
        <d v="2025-04-29T13:03:00" u="1"/>
        <d v="2025-04-29T14:30:00" u="1"/>
        <d v="2025-05-06T07:38:00" u="1"/>
        <d v="2025-04-29T13:34:00" u="1"/>
        <d v="2025-05-15T17:01:00" u="1"/>
        <d v="2025-04-25T19:00:00" u="1"/>
        <d v="2025-04-23T14:25:00" u="1"/>
        <d v="2025-04-23T14:22:00" u="1"/>
        <d v="2025-05-14T18:27:00" u="1"/>
        <d v="2025-05-06T18:00:00" u="1"/>
        <d v="2025-05-07T18:00:00" u="1"/>
        <d v="2025-05-16T18:10:00" u="1"/>
        <d v="2025-05-16T12:58:00" u="1"/>
        <d v="2025-05-15T15:16:00" u="1"/>
        <d v="2025-05-14T19:02:00" u="1"/>
        <d v="2025-05-14T16:43:00" u="1"/>
        <d v="2025-05-14T17:36:00" u="1"/>
        <d v="2025-05-14T17:33:00" u="1"/>
        <d v="2025-03-20T04:21:00" u="1"/>
        <d v="2025-04-29T14:45:00" u="1"/>
        <d v="2025-05-05T13:01:00" u="1"/>
        <d v="2025-05-10T08:09:00" u="1"/>
        <d v="2025-05-08T08:11:00" u="1"/>
        <d v="2025-05-16T14:42:00" u="1"/>
        <d v="2025-05-12T19:13:00" u="1"/>
        <d v="2025-05-16T17:50:00" u="1"/>
        <d v="2025-05-09T13:20:00" u="1"/>
        <d v="2025-05-15T11:49:00" u="1"/>
        <d v="2025-02-05T17:56:00" u="1"/>
        <d v="2025-05-12T14:25:00" u="1"/>
        <d v="2025-05-12T16:26:00" u="1"/>
        <d v="2025-04-29T05:16:00" u="1"/>
        <d v="2025-05-06T15:47:00" u="1"/>
        <d v="2025-05-06T10:50:00" u="1"/>
        <d v="2025-05-06T14:50:00" u="1"/>
        <d v="2025-05-06T10:30:00" u="1"/>
        <d v="2025-05-06T07:39:00" u="1"/>
        <d v="2025-05-06T09:48:00" u="1"/>
        <d v="2025-05-14T15:16:00" u="1"/>
        <d v="2025-05-15T09:55:00" u="1"/>
        <d v="2025-05-05T06:08:00" u="1"/>
        <d v="2025-05-06T10:02:00" u="1"/>
        <d v="2025-05-05T06:26:00" u="1"/>
        <d v="2025-05-06T07:21:00" u="1"/>
        <d v="2025-05-06T10:00:00" u="1"/>
        <d v="2025-05-15T06:24:00" u="1"/>
        <d v="2025-05-05T10:54:00" u="1"/>
        <d v="2025-04-30T08:59:00" u="1"/>
        <d v="2025-05-05T09:53:00" u="1"/>
        <d v="2025-05-07T11:44:00" u="1"/>
        <d v="2025-05-14T12:58:00" u="1"/>
        <d v="2025-05-13T13:20:00" u="1"/>
        <d v="2025-05-05T14:05:00" u="1"/>
        <d v="2025-04-30T13:33:00" u="1"/>
        <d v="2025-05-12T17:56:00" u="1"/>
        <d v="2025-04-11T18:12:00" u="1"/>
        <d v="2025-05-15T10:11:00" u="1"/>
        <d v="2025-05-07T04:36:00" u="1"/>
        <d v="2025-05-07T04:31:00" u="1"/>
        <d v="2025-05-15T22:16:00" u="1"/>
        <d v="2025-04-29T17:00:00" u="1"/>
        <d v="2025-04-24T17:46:00" u="1"/>
        <d v="2025-04-24T17:38:00" u="1"/>
        <d v="2025-04-16T18:39:00" u="1"/>
        <d v="2025-05-12T16:52:00" u="1"/>
        <d v="2025-05-12T17:03:00" u="1"/>
        <d v="2025-05-16T16:11:00" u="1"/>
        <d v="2025-03-21T11:23:00" u="1"/>
        <d v="2025-05-16T17:09:00" u="1"/>
        <d v="2025-05-16T09:47:00" u="1"/>
        <d v="2025-05-13T10:53:00" u="1"/>
        <d v="2025-04-23T07:37:00" u="1"/>
        <d v="2025-05-07T12:30:00" u="1"/>
        <d v="2025-04-29T08:23:00" u="1"/>
        <d v="2025-05-14T09:22:00" u="1"/>
        <d v="2025-05-02T20:01:00" u="1"/>
        <d v="2025-05-02T20:02:00" u="1"/>
        <d v="2025-04-04T12:50:00" u="1"/>
        <d v="2025-04-01T11:20:00" u="1"/>
        <d v="2025-04-30T09:32:00" u="1"/>
        <d v="2025-04-24T16:17:00" u="1"/>
        <d v="2025-05-02T09:43:00" u="1"/>
        <d v="2025-04-24T09:17:00" u="1"/>
        <d v="2025-05-13T13:51:00" u="1"/>
        <d v="2025-05-12T13:56:00" u="1"/>
        <d v="2025-04-29T11:08:00" u="1"/>
        <d v="2025-04-23T14:39:00" u="1"/>
        <d v="2025-04-25T10:05:00" u="1"/>
        <d v="2025-05-13T16:37:00" u="1"/>
        <d v="2025-05-13T16:28:00" u="1"/>
        <d v="2025-05-07T13:46:00" u="1"/>
        <d v="2025-05-14T11:19:00" u="1"/>
        <d v="2025-05-13T17:48:00" u="1"/>
        <d v="2025-05-14T15:04:00" u="1"/>
        <d v="2025-05-09T18:30:00" u="1"/>
        <d v="2025-03-07T15:37:00" u="1"/>
        <d v="2025-05-16T11:38:00" u="1"/>
        <d v="2025-05-09T18:43:00" u="1"/>
        <d v="2025-05-14T18:18:00" u="1"/>
        <d v="2025-04-17T08:46:00" u="1"/>
        <d v="2025-04-20T08:24:00" u="1"/>
        <d v="2025-05-13T23:16:00" u="1"/>
        <d v="2025-05-16T17:30:00" u="1"/>
        <d v="2025-05-15T13:18:00" u="1"/>
        <d v="2025-05-17T05:55:00" u="1"/>
        <d v="2025-05-17T06:10:00" u="1"/>
        <d v="2025-05-16T09:19:00" u="1"/>
        <d v="2025-05-15T04:23:00" u="1"/>
        <d v="2025-05-10T23:56:00" u="1"/>
        <d v="2025-05-15T15:24:00" u="1"/>
        <d v="2025-05-12T20:32:00" u="1"/>
        <d v="2025-05-16T03:08:00" u="1"/>
        <d v="2025-05-08T07:47:00" u="1"/>
        <d v="2025-05-09T03:16:00" u="1"/>
        <d v="2025-05-09T04:59:00" u="1"/>
        <d v="2025-05-11T06:13:00" u="1"/>
        <d v="2025-05-12T00:59:00" u="1"/>
        <d v="2025-05-19T02:59:00" u="1"/>
        <d v="2025-05-16T09:36:00" u="1"/>
        <d v="2025-05-05T10:18:00" u="1"/>
        <d v="2025-04-28T11:03:00" u="1"/>
        <d v="2025-05-09T11:42:00" u="1"/>
        <d v="2025-04-07T00:00:00" u="1"/>
        <d v="2025-04-23T10:50:00" u="1"/>
        <d v="2025-05-16T21:00:00" u="1"/>
        <d v="2025-05-01T10:45:00" u="1"/>
        <d v="2025-05-15T12:05:00" u="1"/>
        <d v="2025-05-15T10:41:00" u="1"/>
        <d v="2025-05-05T18:00:00" u="1"/>
        <d v="2025-05-14T10:58:00" u="1"/>
        <d v="2025-05-12T15:32:00" u="1"/>
        <d v="2025-05-13T14:27:00" u="1"/>
        <d v="2025-05-13T23:12:00" u="1"/>
        <d v="2025-05-13T17:27:00" u="1"/>
        <d v="2025-05-13T10:12:00" u="1"/>
        <d v="2025-05-16T13:09:00" u="1"/>
        <d v="2025-05-09T18:55:00" u="1"/>
        <d v="2025-05-15T13:00:00" u="1"/>
        <d v="2025-05-15T14:42:00" u="1"/>
        <d v="2025-05-15T13:20:00" u="1"/>
        <d v="2025-05-13T09:01:00" u="1"/>
        <d v="2025-05-15T13:08:00" u="1"/>
        <d v="2025-05-14T09:41:00" u="1"/>
        <d v="2025-05-07T11:36:00" u="1"/>
        <d v="2025-05-13T08:20:00" u="1"/>
        <d v="2025-04-23T13:12:00" u="1"/>
        <d v="2025-04-17T13:06:00" u="1"/>
        <d v="2025-05-15T09:21:00" u="1"/>
        <d v="2025-05-09T13:17:00" u="1"/>
        <d v="2025-05-15T05:34:00" u="1"/>
        <d v="2025-05-15T01:24:00" u="1"/>
        <d v="2025-05-15T18:37:00" u="1"/>
        <d v="2025-05-14T13:20:00" u="1"/>
        <d v="2025-05-06T15:41:00" u="1"/>
        <d v="2025-05-07T20:11:00" u="1"/>
        <d v="2025-05-15T07:51:00" u="1"/>
        <d v="2025-05-15T12:50:00" u="1"/>
        <d v="2025-05-14T17:50:00" u="1"/>
        <d v="2025-05-08T14:40:00" u="1"/>
        <d v="2025-05-14T11:07:00" u="1"/>
        <d v="2025-05-15T18:33:00" u="1"/>
        <d v="2025-05-15T16:09:00" u="1"/>
        <d v="2025-05-15T17:05:00" u="1"/>
        <d v="2025-04-28T13:21:00" u="1"/>
        <d v="2025-05-06T10:21:00" u="1"/>
        <d v="2025-05-13T10:16:00" u="1"/>
        <d v="2025-05-13T15:11:00" u="1"/>
        <d v="2025-01-15T12:07:00" u="1"/>
        <d v="2024-11-27T10:46:00" u="1"/>
        <d v="2025-01-22T08:24:00" u="1"/>
        <d v="2025-05-15T11:24:00" u="1"/>
        <d v="2025-04-29T08:58:00" u="1"/>
        <d v="2025-05-06T17:19:00" u="1"/>
        <d v="2025-05-06T17:28:00" u="1"/>
        <d v="2025-04-04T18:17:00" u="1"/>
        <d v="2025-04-30T05:45:00" u="1"/>
        <d v="2025-05-13T08:38:00" u="1"/>
        <d v="2025-05-12T08:01:00" u="1"/>
        <d v="2025-05-14T07:43:00" u="1"/>
        <d v="2025-05-15T09:45:00" u="1"/>
        <d v="2025-05-15T14:09:00" u="1"/>
        <d v="2025-05-15T14:51:00" u="1"/>
        <d v="2025-05-15T14:59:00" u="1"/>
        <d v="2025-05-15T13:50:00" u="1"/>
        <d v="2025-05-15T18:15:00" u="1"/>
        <d v="2025-05-14T10:23:00" u="1"/>
        <d v="2025-05-14T09:45:00" u="1"/>
        <d v="2025-05-14T08:47:00" u="1"/>
        <d v="2025-05-02T19:11:00" u="1"/>
        <d v="2025-05-12T16:44:00" u="1"/>
        <d v="2025-05-10T17:30:00" u="1"/>
        <d v="2025-05-14T12:10:00" u="1"/>
        <d v="2025-05-14T14:16:00" u="1"/>
        <d v="2025-05-14T10:14:00" u="1"/>
        <d v="2025-05-14T14:58:00" u="1"/>
        <d v="2025-05-14T10:07:00" u="1"/>
        <d v="2025-05-14T16:56:00" u="1"/>
        <d v="2025-05-14T16:55:00" u="1"/>
        <d v="2025-05-12T17:43:00" u="1"/>
        <d v="2025-05-13T03:06:00" u="1"/>
        <d v="2025-05-14T01:53:00" u="1"/>
        <d v="2025-05-14T05:19:00" u="1"/>
        <d v="2025-05-12T16:24:00" u="1"/>
        <d v="2025-05-14T17:11:00" u="1"/>
        <d v="2025-05-13T08:39:00" u="1"/>
        <d v="2025-05-13T09:11:00" u="1"/>
        <d v="2025-05-12T09:04:00" u="1"/>
        <d v="2025-05-14T06:19:00" u="1"/>
        <d v="2025-05-14T08:07:00" u="1"/>
        <d v="2025-05-13T15:23:00" u="1"/>
        <d v="2025-05-14T16:15:00" u="1"/>
        <d v="2025-05-14T13:59:00" u="1"/>
        <d v="2025-05-14T13:46:00" u="1"/>
        <d v="2025-05-14T11:18:00" u="1"/>
        <d v="2025-05-08T13:31:00" u="1"/>
        <d v="2025-05-13T12:44:00" u="1"/>
        <d v="2025-05-14T12:45:00" u="1"/>
        <d v="2025-05-13T08:17:00" u="1"/>
        <d v="2025-05-13T17:41:00" u="1"/>
        <d v="2025-05-14T08:51:00" u="1"/>
        <d v="2025-05-13T19:00:00" u="1"/>
        <d v="2025-05-14T16:17:00" u="1"/>
        <d v="2025-05-14T16:16:00" u="1"/>
        <d v="2025-05-13T10:03:00" u="1"/>
        <d v="2025-05-13T13:50:00" u="1"/>
        <d v="2025-05-13T16:34:00" u="1"/>
        <d v="2025-05-14T10:40:00" u="1"/>
        <d v="2025-05-14T11:16:00" u="1"/>
        <d v="2025-05-14T15:19:00" u="1"/>
        <d v="2025-05-14T17:52:00" u="1"/>
        <d v="2025-05-14T08:39:00" u="1"/>
        <d v="2025-05-14T16:03:00" u="1"/>
        <d v="2025-05-14T14:32:00" u="1"/>
        <d v="2025-05-14T15:51:00" u="1"/>
        <d v="2025-05-13T10:24:00" u="1"/>
        <d v="2025-05-13T08:49:00" u="1"/>
        <d v="2025-05-13T09:41:00" u="1"/>
        <d v="2025-05-13T09:49:00" u="1"/>
        <d v="2025-05-13T09:54:00" u="1"/>
        <d v="2025-05-10T00:00:00" u="1"/>
        <d v="2025-05-12T15:35:00" u="1"/>
        <d v="2025-05-13T12:03:00" u="1"/>
        <d v="2025-05-12T15:56:00" u="1"/>
        <d v="2025-05-12T14:12:00" u="1"/>
        <d v="2025-05-13T16:18:00" u="1"/>
        <d v="2025-05-13T16:02:00" u="1"/>
        <d v="2025-05-14T18:06:00" u="1"/>
        <d v="2025-05-14T16:33:00" u="1"/>
        <d v="2025-05-13T14:43:00" u="1"/>
        <d v="2025-05-13T14:00:00" u="1"/>
        <d v="2025-05-13T12:30:00" u="1"/>
        <d v="2025-05-14T15:40:00" u="1"/>
        <d v="2025-05-13T13:10:00" u="1"/>
        <d v="2025-05-14T12:53:00" u="1"/>
        <d v="2025-05-14T15:01:00" u="1"/>
        <d v="2025-05-13T17:13:00" u="1"/>
        <d v="2025-05-13T10:50:00" u="1"/>
        <d v="2025-05-14T12:16:00" u="1"/>
        <d v="2025-05-08T18:32:00" u="1"/>
        <d v="2025-05-09T08:23:00" u="1"/>
        <d v="2025-05-14T18:53:00" u="1"/>
        <d v="2025-05-13T08:09:00" u="1"/>
        <d v="2025-05-14T07:31:00" u="1"/>
        <d v="2025-05-14T08:05:00" u="1"/>
        <d v="2025-05-13T12:19:00" u="1"/>
        <d v="2025-05-09T12:37:00" u="1"/>
        <d v="2025-05-12T13:28:00" u="1"/>
        <d v="2025-05-13T13:03:00" u="1"/>
        <d v="2025-05-14T10:34:00" u="1"/>
        <d v="2025-05-14T09:59:00" u="1"/>
        <d v="2025-05-14T11:57:00" u="1"/>
        <d v="2025-05-13T15:16:00" u="1"/>
        <d v="2025-05-14T17:40:00" u="1"/>
        <d v="2025-05-14T11:36:00" u="1"/>
        <d v="2025-05-13T15:04:00" u="1"/>
        <d v="2025-05-12T09:31:00" u="1"/>
        <d v="2025-05-13T12:26:00" u="1"/>
        <d v="2025-05-13T12:01:00" u="1"/>
        <d v="2025-05-13T20:15:00" u="1"/>
        <d v="2025-05-14T12:42:00" u="1"/>
        <d v="2025-05-14T12:06:00" u="1"/>
        <d v="2025-05-14T18:01:00" u="1"/>
        <d v="2025-05-14T18:02:00" u="1"/>
        <d v="2025-05-13T11:54:00" u="1"/>
        <d v="2025-04-28T12:33:00" u="1"/>
        <d v="2025-05-13T16:45:00" u="1"/>
        <d v="2025-05-14T15:00:00" u="1"/>
        <d v="2025-05-14T12:02:00" u="1"/>
        <d v="2025-05-13T21:36:00" u="1"/>
        <d v="2025-05-13T17:09:00" u="1"/>
        <d v="2025-05-14T23:38:00" u="1"/>
        <d v="2025-05-13T20:34:00" u="1"/>
        <d v="2025-05-13T17:04:00" u="1"/>
        <d v="2025-05-13T15:40:00" u="1"/>
        <d v="2025-05-13T14:53:00" u="1"/>
        <d v="2025-05-13T11:44:00" u="1"/>
        <d v="2025-05-13T11:47:00" u="1"/>
        <d v="2025-05-13T09:09:00" u="1"/>
        <d v="2025-05-13T16:29:00" u="1"/>
        <d v="2025-05-13T16:39:00" u="1"/>
        <d v="2025-05-13T11:42:00" u="1"/>
        <d v="2025-05-13T12:10:00" u="1"/>
        <d v="2025-05-06T13:31:00" u="1"/>
        <d v="2025-05-13T11:53:00" u="1"/>
        <d v="2025-05-13T14:25:00" u="1"/>
        <d v="2025-05-13T15:43:00" u="1"/>
        <d v="2025-05-11T17:43:00" u="1"/>
        <d v="2025-05-12T03:52:00" u="1"/>
        <d v="2025-05-12T16:14:00" u="1"/>
        <d v="2025-05-05T15:07:00" u="1"/>
        <d v="2025-05-05T08:30:00" u="1"/>
        <d v="2025-04-30T15:36:00" u="1"/>
        <d v="2025-04-30T15:38:00" u="1"/>
        <d v="2025-05-12T15:17:00" u="1"/>
        <d v="2025-05-13T13:45:00" u="1"/>
        <d v="2025-05-13T06:44:00" u="1"/>
        <d v="2025-05-13T12:56:00" u="1"/>
        <d v="2025-05-13T14:47:00" u="1"/>
        <d v="2025-05-13T16:21:00" u="1"/>
        <d v="2025-05-13T08:33:00" u="1"/>
        <d v="2025-05-13T08:51:00" u="1"/>
        <d v="2025-05-02T11:40:00" u="1"/>
        <d v="2025-05-13T10:41:00" u="1"/>
        <d v="2025-05-12T17:14:00" u="1"/>
        <d v="2025-05-12T20:58:00" u="1"/>
        <d v="2025-05-12T16:22:00" u="1"/>
        <d v="2025-05-12T14:43:00" u="1"/>
        <d v="2025-05-13T17:02:00" u="1"/>
        <d v="2025-05-13T17:10:00" u="1"/>
        <d v="2025-05-13T18:09:00" u="1"/>
        <d v="2025-05-12T12:27:00" u="1"/>
        <d v="2025-05-13T06:32:00" u="1"/>
        <d v="2025-05-13T13:27:00" u="1"/>
        <d v="2025-05-07T12:21:00" u="1"/>
        <d v="2025-05-08T09:46:00" u="1"/>
        <d v="2025-02-28T19:00:00" u="1"/>
        <d v="2025-05-08T08:16:00" u="1"/>
        <d v="2025-05-13T12:00:00" u="1"/>
        <d v="2025-05-13T10:01:00" u="1"/>
        <d v="2025-05-06T14:56:00" u="1"/>
        <d v="2025-05-06T04:55:00" u="1"/>
        <d v="2025-05-06T13:00:00" u="1"/>
        <d v="2025-05-06T12:34:00" u="1"/>
        <d v="2025-05-05T15:35:00" u="1"/>
        <d v="2025-04-22T00:00:00" u="1"/>
        <d v="2025-05-12T15:45:00" u="1"/>
        <d v="2025-04-15T10:58:00" u="1"/>
        <d v="2025-05-01T16:34:00" u="1"/>
        <d v="2025-05-13T18:27:00" u="1"/>
        <d v="2025-05-13T17:34:00" u="1"/>
        <d v="2025-05-07T11:01:00" u="1"/>
        <d v="2025-05-07T11:03:00" u="1"/>
        <d v="2025-05-06T18:53:00" u="1"/>
        <d v="2025-05-12T15:51:00" u="1"/>
        <d v="2025-05-12T14:24:00" u="1"/>
        <d v="2025-05-12T09:30:00" u="1"/>
        <d v="2025-05-12T09:41:00" u="1"/>
        <d v="2025-05-12T14:09:00" u="1"/>
        <d v="2025-05-12T15:44:00" u="1"/>
        <d v="2025-05-12T15:16:00" u="1"/>
        <d v="2025-05-10T07:38:00" u="1"/>
        <d v="2025-05-02T12:16:00" u="1"/>
        <d v="2025-05-08T08:46:00" u="1"/>
        <d v="2025-05-07T13:38:00" u="1"/>
        <d v="2025-05-02T20:37:00" u="1"/>
        <d v="2025-05-05T07:11:00" u="1"/>
        <d v="2025-05-02T06:46:00" u="1"/>
        <d v="2025-05-12T09:05:00" u="1"/>
        <d v="2025-05-12T09:18:00" u="1"/>
        <d v="2025-05-12T14:34:00" u="1"/>
        <d v="2025-05-12T14:47:00" u="1"/>
        <d v="2025-05-12T14:58:00" u="1"/>
        <d v="2025-05-08T15:30:00" u="1"/>
        <d v="2025-05-08T15:50:00" u="1"/>
        <d v="2025-05-09T15:15:00" u="1"/>
        <d v="2025-05-09T14:50:00" u="1"/>
        <d v="2025-05-09T14:57:00" u="1"/>
        <d v="2025-05-09T15:06:00" u="1"/>
        <d v="2025-05-02T14:23:00" u="1"/>
        <d v="2025-04-28T11:48:00" u="1"/>
        <d v="2025-04-28T11:36:00" u="1"/>
        <d v="2025-05-12T14:37:00" u="1"/>
        <d v="2025-05-09T12:43:00" u="1"/>
        <d v="2025-05-10T12:37:00" u="1"/>
        <d v="2025-05-08T12:14:00" u="1"/>
        <d v="2025-05-09T12:24:00" u="1"/>
        <d v="2025-05-10T12:32:00" u="1"/>
        <d v="2025-05-09T17:47:00" u="1"/>
        <d v="2025-05-06T08:49:00" u="1"/>
        <d v="2025-05-07T08:49:00" u="1"/>
        <d v="2025-04-30T16:40:00" u="1"/>
        <d v="2025-04-30T15:02:00" u="1"/>
        <d v="2025-05-02T11:05:00" u="1"/>
        <d v="2025-05-02T16:05:00" u="1"/>
        <d v="2025-05-06T08:21:00" u="1"/>
        <d v="2025-05-05T17:33:00" u="1"/>
        <d v="2025-04-29T11:32:00" u="1"/>
        <d v="2025-05-09T09:07:00" u="1"/>
        <d v="2025-05-12T10:20:00" u="1"/>
        <d v="2025-05-07T11:20:00" u="1"/>
        <d v="2025-05-08T00:00:00" u="1"/>
        <d v="2025-05-12T14:20:00" u="1"/>
        <d v="2025-05-08T11:57:00" u="1"/>
        <d v="2025-05-08T11:56:00" u="1"/>
        <d v="2025-05-09T13:55:00" u="1"/>
        <d v="2025-05-06T09:18:00" u="1"/>
        <d v="2025-05-06T16:06:00" u="1"/>
        <d v="2025-05-06T16:04:00" u="1"/>
        <d v="2025-05-05T14:45:00" u="1"/>
        <d v="2025-05-06T09:56:00" u="1"/>
        <d v="2025-05-12T11:11:00" u="1"/>
        <d v="2025-05-12T16:15:00" u="1"/>
        <d v="2025-05-12T15:19:00" u="1"/>
        <d v="2025-05-08T15:09:00" u="1"/>
        <d v="2025-05-12T16:50:00" u="1"/>
        <d v="2025-05-12T10:42:00" u="1"/>
        <d v="2025-05-12T10:43:00" u="1"/>
        <d v="2025-05-12T10:50:00" u="1"/>
        <d v="2025-05-12T10:54:00" u="1"/>
        <d v="2025-05-12T11:38:00" u="1"/>
        <d v="2025-05-12T14:38:00" u="1"/>
        <d v="2025-05-12T11:26:00" u="1"/>
        <d v="2025-05-12T11:57:00" u="1"/>
        <d v="2025-05-09T12:14:00" u="1"/>
        <d v="2025-05-09T12:16:00" u="1"/>
        <d v="2025-05-09T12:12:00" u="1"/>
        <d v="2025-05-12T06:50:00" u="1"/>
        <d v="2025-05-12T13:24:00" u="1"/>
        <d v="2025-05-12T10:13:00" u="1"/>
        <d v="2025-05-12T11:37:00" u="1"/>
        <d v="2025-05-10T07:26:00" u="1"/>
        <d v="2025-05-05T09:06:00" u="1"/>
        <d v="2025-05-09T16:07:00" u="1"/>
        <d v="2025-05-09T19:22:00" u="1"/>
        <d v="2025-05-12T13:25:00" u="1"/>
        <d v="2025-05-09T14:38:00" u="1"/>
        <d v="2025-04-29T21:18:00" u="1"/>
        <d v="2025-05-08T12:20:00" u="1"/>
        <d v="2025-05-12T15:34:00" u="1"/>
        <d v="2025-05-12T15:36:00" u="1"/>
        <d v="2025-05-05T11:23:00" u="1"/>
        <d v="2025-05-09T11:47:00" u="1"/>
        <d v="2025-05-12T10:30:00" u="1"/>
        <d v="2025-05-12T17:30:00" u="1"/>
        <d v="2025-04-30T16:00:00" u="1"/>
        <d v="2025-05-06T14:46:00" u="1"/>
        <d v="2025-05-01T08:02:00" u="1"/>
        <d v="2025-05-06T08:25:00" u="1"/>
        <d v="2025-05-06T07:03:00" u="1"/>
        <d v="2025-04-30T00:00:00" u="1"/>
        <d v="2025-05-07T08:34:00" u="1"/>
        <d v="2025-05-08T16:23:00" u="1"/>
        <d v="2025-05-08T16:19:00" u="1"/>
        <d v="2025-04-18T16:52:00" u="1"/>
        <d v="2025-05-06T17:20:00" u="1"/>
        <d v="2025-05-07T09:40:00" u="1"/>
        <d v="2025-05-12T11:21:00" u="1"/>
        <d v="2025-05-12T17:27:00" u="1"/>
        <d v="2025-05-12T17:24:00" u="1"/>
        <d v="2025-05-12T17:21:00" u="1"/>
        <d v="2025-05-12T16:19:00" u="1"/>
        <d v="2025-05-12T07:56:00" u="1"/>
        <d v="2025-05-12T10:57:00" u="1"/>
        <d v="2025-05-09T13:35:00" u="1"/>
        <d v="2025-05-08T09:50:00" u="1"/>
        <d v="2025-05-12T14:39:00" u="1"/>
        <d v="2025-05-12T13:53:00" u="1"/>
        <d v="2025-05-12T07:18:00" u="1"/>
        <d v="2025-05-08T12:11:00" u="1"/>
        <d v="2025-04-25T07:55:00" u="1"/>
        <d v="2025-03-27T11:48:00" u="1"/>
        <d v="2025-05-12T13:27:00" u="1"/>
        <d v="2025-05-12T15:07:00" u="1"/>
        <d v="2025-05-12T13:20:00" u="1"/>
        <d v="2025-05-08T17:32:00" u="1"/>
        <d v="2025-05-12T09:17:00" u="1"/>
        <d v="2025-05-12T17:13:00" u="1"/>
        <d v="2025-05-12T15:37:00" u="1"/>
        <d v="2025-05-12T16:00:00" u="1"/>
        <d v="2025-05-12T18:48:00" u="1"/>
        <d v="2025-05-12T10:59:00" u="1"/>
        <d v="2025-05-12T19:04:00" u="1"/>
        <d v="2025-05-12T22:09:00" u="1"/>
        <d v="2025-05-12T22:34:00" u="1"/>
        <d v="2025-05-06T19:03:00" u="1"/>
        <d v="2025-05-12T10:33:00" u="1"/>
        <d v="2025-05-12T08:40:00" u="1"/>
        <d v="2025-05-12T08:39:00" u="1"/>
        <d v="2025-05-12T11:16:00" u="1"/>
        <d v="2025-05-12T11:08:00" u="1"/>
        <d v="2025-04-30T18:14:00" u="1"/>
        <d v="2025-05-12T18:16:00" u="1"/>
        <d v="2025-05-12T19:54:00" u="1"/>
        <d v="2025-05-09T19:30:00" u="1"/>
        <d v="2025-05-12T13:47:00" u="1"/>
        <d v="2025-05-12T14:50:00" u="1"/>
        <d v="2025-05-12T15:00:00" u="1"/>
        <d v="2025-02-07T14:50:00" u="1"/>
        <d v="2025-04-28T17:21:00" u="1"/>
        <d v="2025-05-08T11:22:00" u="1"/>
        <d v="2025-05-08T11:16:00" u="1"/>
        <d v="2025-05-07T14:36:00" u="1"/>
        <d v="2025-05-07T14:24:00" u="1"/>
        <d v="2025-05-07T14:19:00" u="1"/>
        <d v="2025-05-07T14:14:00" u="1"/>
        <d v="2025-05-07T13:55:00" u="1"/>
        <d v="2025-03-26T17:35:00" u="1"/>
        <d v="2025-05-07T12:54:00" u="1"/>
        <d v="2025-05-07T16:44:00" u="1"/>
        <d v="2025-05-07T12:40:00" u="1"/>
        <d v="2025-05-07T18:57:00" u="1"/>
        <d v="2025-05-07T18:53:00" u="1"/>
        <d v="2025-05-07T19:06:00" u="1"/>
        <d v="2025-05-07T15:22:00" u="1"/>
        <d v="2025-05-06T17:26:00" u="1"/>
        <d v="2025-05-06T17:32:00" u="1"/>
        <d v="2025-05-06T18:38:00" u="1"/>
        <d v="2025-05-07T10:23:00" u="1"/>
        <d v="2025-05-07T11:22:00" u="1"/>
        <d v="2025-05-07T11:54:00" u="1"/>
        <d v="2025-05-07T11:40:00" u="1"/>
        <d v="2025-05-07T11:35:00" u="1"/>
        <d v="2025-05-09T14:32:00" u="1"/>
        <d v="2025-05-09T14:10:00" u="1"/>
        <d v="2025-05-08T08:05:00" u="1"/>
        <d v="2025-05-08T08:49:00" u="1"/>
        <d v="2025-05-07T14:44:00" u="1"/>
        <d v="2025-05-09T14:40:00" u="1"/>
        <d v="2025-05-07T14:07:00" u="1"/>
        <d v="2025-04-29T08:57:00" u="1"/>
        <d v="2025-05-08T13:54:00" u="1"/>
        <d v="2025-05-08T13:13:00" u="1"/>
        <d v="2025-05-05T11:56:00" u="1"/>
        <d v="2025-05-08T09:43:00" u="1"/>
        <d v="2025-05-09T12:00:00" u="1"/>
        <d v="2025-05-09T11:40:00" u="1"/>
        <d v="2025-05-07T17:55:00" u="1"/>
        <d v="2025-05-07T07:10:00" u="1"/>
        <d v="2025-05-09T13:25:00" u="1"/>
        <d v="2025-05-09T08:11:00" u="1"/>
        <d v="2025-05-09T10:12:00" u="1"/>
        <d v="2025-05-10T03:39:00" u="1"/>
        <d v="2025-05-09T12:47:00" u="1"/>
        <d v="2025-05-08T13:32:00" u="1"/>
        <d v="2025-05-06T15:51:00" u="1"/>
        <d v="2025-05-08T13:49:00" u="1"/>
        <d v="2025-05-08T13:59:00" u="1"/>
        <d v="2025-05-08T16:07:00" u="1"/>
        <d v="2025-05-08T15:59:00" u="1"/>
        <d v="2025-05-09T12:03:00" u="1"/>
        <d v="2025-05-09T10:01:00" u="1"/>
        <d v="2025-04-30T16:35:00" u="1"/>
        <d v="2025-04-29T10:45:00" u="1"/>
        <d v="2025-04-29T11:09:00" u="1"/>
        <d v="2025-04-29T10:19:00" u="1"/>
        <d v="2025-04-29T10:23:00" u="1"/>
        <d v="2025-05-02T13:27:00" u="1"/>
        <d v="2025-05-09T06:17:00" u="1"/>
        <d v="2025-05-05T13:13:00" u="1"/>
        <d v="2025-04-09T09:55:00" u="1"/>
        <d v="2025-05-09T09:51:00" u="1"/>
        <d v="2025-05-09T11:14:00" u="1"/>
        <d v="2025-05-09T14:09:00" u="1"/>
        <d v="2025-05-08T20:46:00" u="1"/>
        <d v="2025-04-28T18:00:00" u="1"/>
        <d v="2025-05-09T15:08:00" u="1"/>
        <d v="2025-05-06T13:48:00" u="1"/>
        <d v="2025-05-06T16:48:00" u="1"/>
        <d v="2025-05-08T12:41:00" u="1"/>
        <d v="2025-05-08T11:18:00" u="1"/>
        <d v="2025-05-05T13:49:00" u="1"/>
        <d v="2025-05-08T15:54:00" u="1"/>
        <d v="2025-05-07T11:32:00" u="1"/>
        <d v="2025-05-09T17:54:00" u="1"/>
        <d v="2025-05-06T17:48:00" u="1"/>
        <d v="2025-05-06T15:37:00" u="1"/>
        <d v="2025-05-08T16:45:00" u="1"/>
        <d v="2025-05-08T14:43:00" u="1"/>
        <d v="2025-05-02T16:19:00" u="1"/>
        <d v="2025-03-13T14:41:00" u="1"/>
        <d v="2025-05-09T14:19:00" u="1"/>
        <d v="2025-04-28T11:08:00" u="1"/>
        <d v="2025-04-28T11:28:00" u="1"/>
        <d v="2025-05-07T15:38:00" u="1"/>
        <d v="2025-05-07T14:49:00" u="1"/>
        <d v="2025-05-05T16:08:00" u="1"/>
        <d v="2025-05-05T16:07:00" u="1"/>
        <d v="2025-05-09T13:27:00" u="1"/>
        <d v="2025-05-09T14:23:00" u="1"/>
        <d v="2025-05-07T13:39:00" u="1"/>
        <d v="2025-05-09T14:53:00" u="1"/>
        <d v="2025-05-09T16:21:00" u="1"/>
        <d v="2025-04-29T14:12:00" u="1"/>
        <d v="2025-05-06T15:03:00" u="1"/>
        <d v="2025-05-09T20:57:00" u="1"/>
        <d v="2025-05-09T21:31:00" u="1"/>
        <d v="2025-05-09T20:21:00" u="1"/>
        <d v="2025-05-09T16:57:00" u="1"/>
        <d v="2025-05-09T17:04:00" u="1"/>
        <d v="2025-05-09T16:22:00" u="1"/>
        <d v="2025-05-05T14:47:00" u="1"/>
        <d v="2025-05-09T16:05:00" u="1"/>
        <d v="2025-05-08T17:50:00" u="1"/>
        <d v="2025-02-06T18:16:00" u="1"/>
        <d v="2025-03-25T12:00:00" u="1"/>
        <d v="2025-05-07T09:30:00" u="1"/>
        <d v="2025-05-09T07:11:00" u="1"/>
        <d v="2024-12-03T14:24:00" u="1"/>
        <d v="2025-05-05T15:09:00" u="1"/>
        <d v="2025-05-09T15:24:00" u="1"/>
        <d v="2025-05-09T15:38:00" u="1"/>
        <d v="2025-05-09T10:02:00" u="1"/>
        <d v="2025-05-07T19:11:00" u="1"/>
        <d v="2025-05-09T18:28:00" u="1"/>
        <d v="2025-05-09T10:23:00" u="1"/>
        <d v="2025-05-09T10:59:00" u="1"/>
        <d v="2025-05-09T19:05:00" u="1"/>
        <d v="2025-05-09T17:03:00" u="1"/>
        <d v="2025-05-09T17:58:00" u="1"/>
        <d v="2025-04-25T16:24:00" u="1"/>
        <d v="2025-05-06T13:56:00" u="1"/>
        <d v="2025-05-09T15:48:00" u="1"/>
        <d v="2025-05-05T15:01:00" u="1"/>
        <d v="2025-05-09T19:16:00" u="1"/>
        <d v="2025-05-09T11:25:00" u="1"/>
        <d v="2025-05-09T11:09:00" u="1"/>
        <d v="2025-05-08T14:37:00" u="1"/>
        <d v="2025-05-11T20:21:00" u="1"/>
        <d v="2025-05-09T17:01:00" u="1"/>
        <d v="2025-05-09T15:28:00" u="1"/>
        <d v="2025-04-30T18:20:00" u="1"/>
        <d v="2025-04-30T15:48:00" u="1"/>
        <d v="2025-05-09T08:57:00" u="1"/>
        <d v="2025-05-09T21:19:00" u="1"/>
        <d v="2025-05-05T12:38:00" u="1"/>
        <d v="2025-05-02T09:45:00" u="1"/>
        <d v="2025-05-08T14:53:00" u="1"/>
        <d v="2025-05-08T10:52:00" u="1"/>
        <d v="2025-05-08T15:29:00" u="1"/>
        <d v="2025-05-09T16:16:00" u="1"/>
        <d v="2025-05-10T11:28:00" u="1"/>
        <d v="2025-05-02T12:50:00" u="1"/>
        <d v="2025-05-10T11:10:00" u="1"/>
        <d v="2025-05-10T08:31:00" u="1"/>
        <d v="2025-04-24T19:23:00" u="1"/>
        <d v="2025-05-09T09:06:00" u="1"/>
        <d v="2025-05-09T09:18:00" u="1"/>
        <d v="2025-05-09T14:11:00" u="1"/>
        <d v="2025-04-29T11:46:00" u="1"/>
        <d v="2025-05-02T18:06:00" u="1"/>
        <d v="2025-05-09T12:41:00" u="1"/>
        <d v="2025-05-07T10:49:00" u="1"/>
        <d v="2025-05-08T17:35:00" u="1"/>
        <d v="2025-05-08T10:17:00" u="1"/>
        <d v="2025-05-08T15:31:00" u="1"/>
        <d v="2025-04-17T09:11:00" u="1"/>
        <d v="2025-05-09T16:04:00" u="1"/>
        <d v="2025-04-03T18:40:00" u="1"/>
        <d v="2025-05-09T09:21:00" u="1"/>
        <d v="2025-04-28T18:37:00" u="1"/>
        <d v="2025-04-28T18:44:00" u="1"/>
        <d v="2025-04-28T17:51:00" u="1"/>
        <d v="2025-05-05T18:07:00" u="1"/>
        <d v="2025-05-05T18:14:00" u="1"/>
        <d v="2025-05-02T17:49:00" u="1"/>
        <d v="2025-04-28T08:26:00" u="1"/>
        <d v="2025-04-25T10:27:00" u="1"/>
        <d v="2025-04-25T12:00:00" u="1"/>
        <d v="2025-03-28T15:11:00" u="1"/>
        <d v="2025-03-28T15:09:00" u="1"/>
        <d v="2025-04-07T15:16:00" u="1"/>
        <d v="2025-04-07T15:18:00" u="1"/>
        <d v="2025-05-09T15:46:00" u="1"/>
        <d v="2025-05-08T15:37:00" u="1"/>
        <d v="2025-03-14T00:00:00" u="1"/>
        <d v="2025-05-07T15:58:00" u="1"/>
        <d v="2025-05-09T15:47:00" u="1"/>
        <d v="2025-03-27T07:59:00" u="1"/>
        <d v="2025-05-09T10:00:00" u="1"/>
        <d v="2025-05-09T14:21:00" u="1"/>
        <d v="2025-04-25T11:40:00" u="1"/>
        <d v="2025-05-09T11:43:00" u="1"/>
        <d v="2025-05-09T16:09:00" u="1"/>
        <d v="2025-05-09T14:01:00" u="1"/>
        <d v="2025-05-08T11:52:00" u="1"/>
        <d v="2025-05-08T11:51:00" u="1"/>
        <d v="2025-05-08T12:37:00" u="1"/>
        <d v="2025-05-09T10:54:00" u="1"/>
        <d v="2025-05-08T14:58:00" u="1"/>
        <d v="2025-05-08T08:50:00" u="1"/>
        <d v="2025-04-25T18:50:00" u="1"/>
        <d v="2025-04-25T18:43:00" u="1"/>
        <d v="2025-04-25T18:10:00" u="1"/>
        <d v="2025-04-14T10:21:00" u="1"/>
        <d v="2025-05-05T16:52:00" u="1"/>
        <d v="2025-05-09T19:07:00" u="1"/>
        <d v="2025-04-25T12:41:00" u="1"/>
        <d v="2025-05-07T17:47:00" u="1"/>
        <d v="2025-05-09T14:48:00" u="1"/>
        <d v="2025-05-02T10:44:00" u="1"/>
        <d v="2025-04-30T13:48:00" u="1"/>
        <d v="2025-05-06T09:45:00" u="1"/>
        <d v="2025-05-06T13:52:00" u="1"/>
        <d v="2025-05-06T11:32:00" u="1"/>
        <d v="2025-05-09T10:50:00" u="1"/>
        <d v="2025-05-09T10:43:00" u="1"/>
        <d v="2025-05-06T17:23:00" u="1"/>
        <d v="2025-05-06T16:09:00" u="1"/>
        <d v="2025-05-09T19:10:00" u="1"/>
        <d v="2025-05-09T15:50:00" u="1"/>
        <d v="2025-05-08T17:58:00" u="1"/>
        <d v="2025-05-08T17:36:00" u="1"/>
        <d v="2025-05-09T17:07:00" u="1"/>
        <d v="2025-05-09T16:55:00" u="1"/>
        <d v="2025-05-09T15:31:00" u="1"/>
        <d v="2025-05-11T18:33:00" u="1"/>
        <d v="2025-05-09T11:41:00" u="1"/>
        <d v="2025-05-09T14:55:00" u="1"/>
        <d v="2025-05-09T15:09:00" u="1"/>
        <d v="2025-05-09T14:36:00" u="1"/>
        <d v="2025-04-29T09:53:00" u="1"/>
        <d v="2025-04-28T11:33:00" u="1"/>
        <d v="2025-05-07T16:34:00" u="1"/>
        <d v="2025-05-07T14:32:00" u="1"/>
        <d v="2025-05-09T10:03:00" u="1"/>
        <d v="2025-05-09T19:00:00" u="1"/>
        <d v="2025-04-23T15:37:00" u="1"/>
        <d v="2025-04-25T20:25:00" u="1"/>
        <d v="2025-04-25T20:16:00" u="1"/>
        <d v="2025-04-29T12:33:00" u="1"/>
        <d v="2025-04-29T11:52:00" u="1"/>
        <d v="2025-05-03T12:00:00" u="1"/>
        <d v="2025-05-03T11:09:00" u="1"/>
        <d v="2025-04-29T17:58:00" u="1"/>
        <d v="2025-05-11T11:03:00" u="1"/>
        <d v="2025-05-03T22:14:00" u="1"/>
        <d v="2025-05-06T17:02:00" u="1"/>
        <d v="2025-05-09T16:50:00" u="1"/>
        <d v="2025-05-08T18:34:00" u="1"/>
        <d v="2025-04-24T15:06:00" u="1"/>
        <d v="2025-05-07T14:52:00" u="1"/>
        <d v="2025-05-07T15:47:00" u="1"/>
        <d v="2025-05-08T15:21:00" u="1"/>
        <d v="2025-05-08T12:21:00" u="1"/>
        <d v="2025-05-08T12:25:00" u="1"/>
        <d v="2025-05-08T17:28:00" u="1"/>
        <d v="2025-05-06T19:49:00" u="1"/>
        <d v="2025-05-08T17:04:00" u="1"/>
        <d v="2025-05-08T08:26:00" u="1"/>
        <d v="2025-05-07T06:26:00" u="1"/>
        <d v="2025-05-07T09:23:00" u="1"/>
        <d v="2025-05-07T11:31:00" u="1"/>
        <d v="2025-05-07T06:47:00" u="1"/>
        <d v="2025-05-07T11:43:00" u="1"/>
        <d v="2025-05-08T06:55:00" u="1"/>
        <d v="2025-05-08T08:25:00" u="1"/>
        <d v="2025-03-18T08:10:00" u="1"/>
        <d v="2025-05-08T16:02:00" u="1"/>
        <d v="2025-05-08T13:08:00" u="1"/>
        <d v="2025-05-06T12:12:00" u="1"/>
        <d v="2025-05-06T12:06:00" u="1"/>
        <d v="2025-05-08T04:26:00" u="1"/>
        <d v="2025-05-08T04:17:00" u="1"/>
        <d v="2025-05-08T18:20:00" u="1"/>
        <d v="2025-04-28T14:42:00" u="1"/>
        <d v="2025-04-28T14:46:00" u="1"/>
        <d v="2025-03-12T18:32:00" u="1"/>
        <d v="2025-05-08T09:23:00" u="1"/>
        <d v="2025-05-08T14:59:00" u="1"/>
        <d v="2025-05-05T13:22:00" u="1"/>
        <d v="2025-05-05T13:19:00" u="1"/>
        <d v="2025-05-08T13:47:00" u="1"/>
        <d v="2025-05-08T10:44:00" u="1"/>
        <d v="2025-05-08T21:01:00" u="1"/>
        <d v="2025-05-08T21:03:00" u="1"/>
        <d v="2025-05-06T12:19:00" u="1"/>
        <d v="2025-05-08T08:07:00" u="1"/>
        <d v="2025-05-08T14:44:00" u="1"/>
        <d v="2025-05-08T14:47:00" u="1"/>
        <d v="2025-05-08T06:17:00" u="1"/>
        <d v="2025-05-08T14:00:00" u="1"/>
        <d v="2025-05-02T11:44:00" u="1"/>
        <d v="2025-05-02T19:39:00" u="1"/>
        <d v="2025-05-02T10:22:00" u="1"/>
        <d v="2025-05-08T15:49:00" u="1"/>
        <d v="2025-05-08T13:04:00" u="1"/>
        <d v="2025-04-29T14:57:00" u="1"/>
        <d v="2025-04-13T15:37:00" u="1"/>
        <d v="2025-05-06T14:47:00" u="1"/>
        <d v="2025-05-06T15:18:00" u="1"/>
        <d v="2025-05-08T15:39:00" u="1"/>
        <d v="2025-04-28T17:00:00" u="1"/>
        <d v="2025-04-25T10:22:00" u="1"/>
        <d v="2025-05-02T16:31:00" u="1"/>
        <d v="2025-05-05T12:01:00" u="1"/>
        <d v="2025-05-06T09:28:00" u="1"/>
        <d v="2025-05-07T17:03:00" u="1"/>
        <d v="2025-05-07T16:57:00" u="1"/>
        <d v="2025-05-07T10:29:00" u="1"/>
        <d v="2025-05-06T17:44:00" u="1"/>
        <d v="2025-05-06T15:27:00" u="1"/>
        <d v="2025-05-08T14:07:00" u="1"/>
        <d v="2025-04-25T18:15:00" u="1"/>
        <d v="2025-04-25T16:06:00" u="1"/>
        <d v="2025-04-02T10:28:00" u="1"/>
        <d v="2025-04-29T17:27:00" u="1"/>
        <d v="2025-04-29T14:41:00" u="1"/>
        <d v="2025-04-29T13:45:00" u="1"/>
        <d v="2025-03-21T11:14:00" u="1"/>
        <d v="2025-04-27T23:36:00" u="1"/>
        <d v="2025-05-07T17:41:00" u="1"/>
        <d v="2025-05-08T14:51:00" u="1"/>
        <d v="2024-12-16T12:04:00" u="1"/>
        <d v="2025-04-28T00:00:00" u="1"/>
        <d v="2025-04-29T09:59:00" u="1"/>
        <d v="2025-05-07T15:55:00" u="1"/>
        <d v="2025-05-08T13:09:00" u="1"/>
        <d v="2025-05-08T15:57:00" u="1"/>
        <d v="2025-05-07T08:40:00" u="1"/>
        <d v="2025-05-07T08:35:00" u="1"/>
        <d v="2025-05-08T13:20:00" u="1"/>
        <d v="2025-05-08T13:45:00" u="1"/>
        <d v="2025-04-02T16:42:00" u="1"/>
        <d v="2025-04-30T13:38:00" u="1"/>
        <d v="2025-05-07T16:01:00" u="1"/>
        <d v="2025-05-08T07:51:00" u="1"/>
        <d v="2025-05-08T07:58:00" u="1"/>
        <d v="2025-05-08T15:38:00" u="1"/>
        <d v="2025-05-08T15:48:00" u="1"/>
        <d v="2025-05-08T14:10:00" u="1"/>
        <d v="2025-05-08T06:36:00" u="1"/>
        <d v="2025-05-05T14:59:00" u="1"/>
        <d v="2025-04-23T16:00:00" u="1"/>
        <d v="2025-05-08T16:27:00" u="1"/>
        <d v="2025-05-08T15:17:00" u="1"/>
        <d v="2025-05-08T09:01:00" u="1"/>
        <d v="2025-05-08T12:53:00" u="1"/>
        <d v="2025-04-17T16:35:00" u="1"/>
        <d v="2025-05-08T12:02:00" u="1"/>
        <d v="2025-05-08T14:33:00" u="1"/>
        <d v="2025-05-08T11:54:00" u="1"/>
        <d v="2025-05-07T16:28:00" u="1"/>
        <d v="2025-05-08T11:49:00" u="1"/>
        <d v="2025-05-06T11:50:00" u="1"/>
        <d v="2025-05-06T11:52:00" u="1"/>
        <d v="2025-05-08T19:00:00" u="1"/>
        <d v="2025-04-29T15:31:00" u="1"/>
        <d v="2025-04-29T15:39:00" u="1"/>
        <d v="2025-04-29T15:53:00" u="1"/>
        <d v="2025-04-29T16:31:00" u="1"/>
        <d v="2025-04-22T09:47:00" u="1"/>
        <d v="2025-04-22T09:50:00" u="1"/>
        <d v="2025-04-23T08:39:00" u="1"/>
        <d v="2025-04-30T08:38:00" u="1"/>
        <d v="2025-05-06T16:29:00" u="1"/>
        <d v="2025-05-06T16:21:00" u="1"/>
        <d v="2025-05-06T16:15:00" u="1"/>
        <d v="2025-05-06T15:40:00" u="1"/>
        <d v="2025-05-05T16:42:00" u="1"/>
        <d v="2025-05-05T16:27:00" u="1"/>
        <d v="2025-05-05T16:20:00" u="1"/>
        <d v="2025-05-02T16:42:00" u="1"/>
        <d v="2025-05-06T09:54:00" u="1"/>
        <d v="2025-05-06T10:22:00" u="1"/>
        <d v="2025-05-06T09:50:00" u="1"/>
        <d v="2025-04-29T11:06:00" u="1"/>
        <d v="2025-05-08T01:09:00" u="1"/>
        <d v="2025-05-08T05:27:00" u="1"/>
        <d v="2025-05-06T11:28:00" u="1"/>
        <d v="2025-05-05T10:32:00" u="1"/>
        <d v="2025-05-06T01:00:00" u="1"/>
        <d v="2025-05-07T13:42:00" u="1"/>
        <d v="2025-05-06T07:50:00" u="1"/>
        <d v="2025-05-05T08:47:00" u="1"/>
        <d v="2025-05-05T10:29:00" u="1"/>
        <d v="2025-05-04T13:15:00" u="1"/>
        <d v="2025-05-05T06:19:00" u="1"/>
        <d v="2025-05-05T06:50:00" u="1"/>
        <d v="2025-05-05T11:27:00" u="1"/>
        <d v="2025-05-07T15:36:00" u="1"/>
        <d v="2025-05-07T15:02:00" u="1"/>
        <d v="2025-05-07T15:59:00" u="1"/>
        <d v="2025-05-07T14:45:00" u="1"/>
        <d v="2025-05-07T12:52:00" u="1"/>
        <d v="2025-05-07T06:40:00" u="1"/>
        <d v="2025-05-07T06:20:00" u="1"/>
        <d v="2025-05-07T01:48:00" u="1"/>
        <d v="2025-05-07T03:05:00" u="1"/>
        <d v="2025-05-06T01:40:00" u="1"/>
        <d v="2025-04-29T17:13:00" u="1"/>
        <d v="2025-05-06T17:31:00" u="1"/>
        <d v="2025-04-10T09:44:00" u="1"/>
        <d v="2025-05-06T10:59:00" u="1"/>
        <d v="2025-05-06T10:46:00" u="1"/>
        <d v="2025-05-07T11:47:00" u="1"/>
        <d v="2025-05-07T11:05:00" u="1"/>
        <d v="2025-05-07T10:37:00" u="1"/>
        <d v="2025-05-05T14:42:00" u="1"/>
        <d v="2025-05-07T13:54:00" u="1"/>
        <d v="2025-05-07T16:53:00" u="1"/>
        <d v="2025-05-07T16:59:00" u="1"/>
        <d v="2025-05-07T23:01:00" u="1"/>
        <d v="2025-05-07T17:14:00" u="1"/>
        <d v="2025-04-30T15:18:00" u="1"/>
        <d v="2025-04-25T09:37:00" u="1"/>
        <d v="2025-05-06T15:36:00" u="1"/>
        <d v="2025-05-06T17:07:00" u="1"/>
        <d v="2025-05-06T21:18:00" u="1"/>
        <d v="2025-05-06T17:39:00" u="1"/>
        <d v="2025-05-05T16:56:00" u="1"/>
        <d v="2025-05-05T16:40:00" u="1"/>
        <d v="2025-04-28T17:05:00" u="1"/>
        <d v="2025-04-30T18:19:00" u="1"/>
        <d v="2025-04-30T11:33:00" u="1"/>
        <d v="2025-04-28T13:12:00" u="1"/>
        <d v="2025-05-02T18:56:00" u="1"/>
        <d v="2025-05-06T15:16:00" u="1"/>
        <d v="2025-05-06T15:17:00" u="1"/>
        <d v="2025-05-06T15:31:00" u="1"/>
        <d v="2025-05-06T15:30:00" u="1"/>
        <d v="2025-05-06T15:29:00" u="1"/>
        <d v="2025-05-06T15:28:00" u="1"/>
        <d v="2025-05-06T11:07:00" u="1"/>
        <d v="2025-05-05T15:24:00" u="1"/>
        <d v="2025-05-05T10:47:00" u="1"/>
        <d v="2025-04-30T11:18:00" u="1"/>
        <d v="2025-04-29T11:15:00" u="1"/>
        <d v="2025-04-30T15:17:00" u="1"/>
        <d v="2025-04-30T14:59:00" u="1"/>
        <d v="2025-04-24T13:57:00" u="1"/>
        <d v="2025-05-02T10:47:00" u="1"/>
        <d v="2025-04-25T15:17:00" u="1"/>
        <d v="2025-05-07T14:08:00" u="1"/>
        <d v="2025-05-06T11:15:00" u="1"/>
        <d v="2025-04-28T11:35:00" u="1"/>
        <d v="2025-04-25T16:41:00" u="1"/>
        <d v="2025-04-25T15:54:00" u="1"/>
        <d v="2025-04-25T15:59:00" u="1"/>
        <d v="2025-04-25T15:58:00" u="1"/>
        <d v="2025-04-25T14:39:00" u="1"/>
        <d v="2025-04-25T13:40:00" u="1"/>
        <d v="2025-04-25T13:52:00" u="1"/>
        <d v="2025-04-25T16:56:00" u="1"/>
        <d v="2025-04-25T15:57:00" u="1"/>
        <d v="2025-04-28T19:13:00" u="1"/>
        <d v="2025-05-06T05:28:00" u="1"/>
        <d v="2025-05-05T14:02:00" u="1"/>
        <d v="2025-05-05T21:37:00" u="1"/>
        <d v="2025-05-05T17:47:00" u="1"/>
        <d v="2025-05-05T15:59:00" u="1"/>
        <d v="2025-05-02T09:51:00" u="1"/>
        <d v="2025-05-06T14:59:00" u="1"/>
        <d v="2025-04-24T16:00:00" u="1"/>
        <d v="2025-04-30T20:41:00" u="1"/>
        <d v="2025-05-01T10:46:00" u="1"/>
        <d v="2025-05-01T05:57:00" u="1"/>
        <d v="2025-04-30T10:26:00" u="1"/>
        <d v="2025-05-01T21:19:00" u="1"/>
        <d v="2025-02-10T10:35:00" u="1"/>
        <d v="2025-05-07T16:30:00" u="1"/>
        <d v="2025-05-06T16:55:00" u="1"/>
        <d v="2025-05-07T08:01:00" u="1"/>
        <d v="2025-05-07T08:55:00" u="1"/>
        <d v="2025-05-07T15:40:00" u="1"/>
        <d v="2025-05-07T15:24:00" u="1"/>
        <d v="2025-04-27T14:47:00" u="1"/>
        <d v="2025-05-07T16:17:00" u="1"/>
        <d v="2025-05-07T09:47:00" u="1"/>
        <d v="2025-05-02T11:09:00" u="1"/>
        <d v="2025-04-30T17:24:00" u="1"/>
        <d v="2025-05-06T15:52:00" u="1"/>
        <d v="2025-05-07T15:32:00" u="1"/>
        <d v="2025-05-06T14:40:00" u="1"/>
        <d v="2025-04-23T10:16:00" u="1"/>
        <d v="2025-05-07T10:33:00" u="1"/>
        <d v="2025-05-07T10:21:00" u="1"/>
        <d v="2025-04-03T13:47:00" u="1"/>
        <d v="2025-04-06T15:14:00" u="1"/>
        <d v="2025-04-07T16:24:00" u="1"/>
        <d v="2025-01-23T08:27:00" u="1"/>
        <d v="2025-05-05T15:28:00" u="1"/>
        <d v="2025-05-05T15:36:00" u="1"/>
        <d v="2025-05-05T15:14:00" u="1"/>
        <d v="2025-05-05T15:41:00" u="1"/>
        <d v="2025-05-05T15:49:00" u="1"/>
        <d v="2025-05-05T14:29:00" u="1"/>
        <d v="2025-03-25T00:00:00" u="1"/>
        <d v="2025-04-30T08:04:00" u="1"/>
        <d v="2025-02-12T05:42:00" u="1"/>
        <d v="2025-02-12T09:02:00" u="1"/>
        <d v="2025-02-12T05:43:00" u="1"/>
        <d v="2025-04-29T13:50:00" u="1"/>
        <d v="2025-03-20T07:25:00" u="1"/>
        <d v="2025-04-29T09:00:00" u="1"/>
        <d v="2025-04-29T09:03:00" u="1"/>
        <d v="2025-04-29T09:07:00" u="1"/>
        <d v="2025-05-06T15:12:00" u="1"/>
        <d v="2025-04-08T00:00:00" u="1"/>
        <d v="2025-05-02T11:59:00" u="1"/>
        <d v="2025-02-28T19:47:00" u="1"/>
        <d v="2025-05-06T22:40:00" u="1"/>
        <d v="2025-05-06T20:28:00" u="1"/>
        <d v="2025-05-07T20:28:00" u="1"/>
        <d v="2025-04-28T14:43:00" u="1"/>
        <d v="2025-04-26T11:46:00" u="1"/>
        <d v="2025-04-28T13:53:00" u="1"/>
        <d v="2025-04-28T10:03:00" u="1"/>
        <d v="2025-04-25T15:20:00" u="1"/>
        <d v="2025-04-30T19:37:00" u="1"/>
        <d v="2025-04-30T15:27:00" u="1"/>
        <d v="2025-04-30T12:07:00" u="1"/>
        <d v="2025-05-01T11:46:00" u="1"/>
        <d v="2025-04-29T16:20:00" u="1"/>
        <d v="2025-04-29T16:28:00" u="1"/>
        <d v="2025-04-29T13:32:00" u="1"/>
        <d v="2025-04-29T10:33:00" u="1"/>
        <d v="2025-04-28T18:21:00" u="1"/>
        <d v="2025-04-28T17:20:00" u="1"/>
        <d v="2025-05-05T16:30:00" u="1"/>
        <d v="2025-05-05T14:03:00" u="1"/>
        <d v="2025-05-05T13:40:00" u="1"/>
        <d v="2025-05-05T12:18:00" u="1"/>
        <d v="2025-05-05T11:42:00" u="1"/>
        <d v="2025-05-06T19:34:00" u="1"/>
        <d v="2025-04-22T15:42:00" u="1"/>
        <d v="2025-05-07T20:44:00" u="1"/>
        <d v="2025-05-07T14:18:00" u="1"/>
        <d v="2025-05-02T16:58:00" u="1"/>
        <d v="2025-05-05T17:32:00" u="1"/>
        <d v="2025-04-02T17:08:00" u="1"/>
        <d v="2025-05-07T11:49:00" u="1"/>
        <d v="2025-04-02T18:34:00" u="1"/>
        <d v="2025-04-24T16:47:00" u="1"/>
        <d v="2025-05-06T15:38:00" u="1"/>
        <d v="2025-05-04T09:56:00" u="1"/>
        <d v="2025-04-29T17:40:00" u="1"/>
        <d v="2025-04-24T15:20:00" u="1"/>
        <d v="2025-04-24T15:00:00" u="1"/>
        <d v="2025-04-24T14:59:00" u="1"/>
        <d v="2025-04-24T15:21:00" u="1"/>
        <d v="2025-04-24T16:37:00" u="1"/>
        <d v="2025-04-25T11:25:00" u="1"/>
        <d v="2025-05-02T11:28:00" u="1"/>
        <d v="2025-04-30T21:53:00" u="1"/>
        <d v="2025-04-30T12:33:00" u="1"/>
        <d v="2025-04-30T10:22:00" u="1"/>
        <d v="2025-04-30T10:10:00" u="1"/>
        <d v="2025-04-30T10:04:00" u="1"/>
        <d v="2025-04-30T10:00:00" u="1"/>
        <d v="2025-04-30T14:23:00" u="1"/>
        <d v="2025-04-30T17:08:00" u="1"/>
        <d v="2025-04-25T15:04:00" u="1"/>
        <d v="2025-04-25T13:57:00" u="1"/>
        <d v="2025-04-25T13:46:00" u="1"/>
        <d v="2025-04-25T13:04:00" u="1"/>
        <d v="2025-04-28T12:51:00" u="1"/>
        <d v="2025-04-28T22:18:00" u="1"/>
        <d v="2025-05-07T08:54:00" u="1"/>
        <d v="2025-05-07T09:10:00" u="1"/>
        <d v="2025-04-28T10:41:00" u="1"/>
        <d v="2025-04-24T15:13:00" u="1"/>
        <d v="2025-04-24T18:10:00" u="1"/>
        <d v="2025-05-05T12:51:00" u="1"/>
        <d v="2025-05-02T17:20:00" u="1"/>
        <d v="2025-05-05T13:00:00" u="1"/>
        <d v="2025-04-29T11:41:00" u="1"/>
        <d v="2025-05-02T11:08:00" u="1"/>
        <d v="2025-04-28T17:04:00" u="1"/>
        <d v="2025-04-28T09:40:00" u="1"/>
        <d v="2025-04-25T15:46:00" u="1"/>
        <d v="2025-04-25T13:34:00" u="1"/>
        <d v="2025-04-30T18:17:00" u="1"/>
        <d v="2025-04-30T14:54:00" u="1"/>
        <d v="2025-04-25T18:40:00" u="1"/>
        <d v="2025-04-24T11:16:00" u="1"/>
        <d v="2025-04-30T08:58:00" u="1"/>
        <d v="2025-04-29T13:43:00" u="1"/>
        <d v="2025-05-06T11:59:00" u="1"/>
        <d v="2025-05-06T12:00:00" u="1"/>
        <d v="2025-05-02T19:47:00" u="1"/>
        <d v="2025-05-07T18:42:00" u="1"/>
        <d v="2025-05-07T10:46:00" u="1"/>
        <d v="2025-05-07T10:48:00" u="1"/>
        <d v="2025-05-07T13:49:00" u="1"/>
        <d v="2025-04-30T16:41:00" u="1"/>
        <d v="2025-05-01T15:40:00" u="1"/>
        <d v="2025-04-29T16:47:00" u="1"/>
        <d v="2025-05-07T08:06:00" u="1"/>
        <d v="2025-05-07T15:25:00" u="1"/>
        <d v="2025-05-07T15:35:00" u="1"/>
        <d v="2025-05-07T15:39:00" u="1"/>
        <d v="2025-05-05T14:13:00" u="1"/>
        <d v="2025-04-30T15:34:00" u="1"/>
        <d v="2025-04-29T08:15:00" u="1"/>
        <d v="2025-05-07T08:15:00" u="1"/>
        <d v="2025-05-02T08:57:00" u="1"/>
        <d v="2025-05-02T16:48:00" u="1"/>
        <d v="2025-04-29T18:45:00" u="1"/>
        <d v="2025-04-29T16:18:00" u="1"/>
        <d v="2025-05-06T09:59:00" u="1"/>
        <d v="2025-04-30T18:23:00" u="1"/>
        <d v="2025-04-30T16:39:00" u="1"/>
        <d v="2025-04-30T12:23:00" u="1"/>
        <d v="2025-05-01T10:07:00" u="1"/>
        <d v="2025-04-24T11:58:00" u="1"/>
        <d v="2025-04-28T12:53:00" u="1"/>
        <d v="2025-04-25T16:50:00" u="1"/>
        <d v="2025-05-02T10:49:00" u="1"/>
        <d v="2025-05-06T15:20:00" u="1"/>
        <d v="2025-05-06T15:25:00" u="1"/>
        <d v="2025-05-07T19:12:00" u="1"/>
        <d v="2025-05-06T11:12:00" u="1"/>
        <d v="2025-05-05T09:55:00" u="1"/>
        <d v="2025-05-06T11:48:00" u="1"/>
        <d v="2025-04-25T19:56:00" u="1"/>
        <d v="2025-04-25T19:57:00" u="1"/>
        <d v="2025-04-30T14:27:00" u="1"/>
        <d v="2025-04-30T15:08:00" u="1"/>
        <d v="2025-04-28T14:33:00" u="1"/>
        <d v="2025-04-29T12:24:00" u="1"/>
        <d v="2025-05-02T14:30:00" u="1"/>
        <d v="2025-05-07T17:23:00" u="1"/>
        <d v="2025-05-07T18:13:00" u="1"/>
        <d v="2025-05-07T15:33:00" u="1"/>
        <d v="2025-05-07T16:12:00" u="1"/>
        <d v="2025-03-11T15:54:00" u="1"/>
        <d v="2025-05-02T14:47:00" u="1"/>
        <d v="2025-04-24T13:58:00" u="1"/>
        <d v="2025-04-30T17:53:00" u="1"/>
        <d v="2025-05-02T16:56:00" u="1"/>
        <d v="2025-05-05T13:56:00" u="1"/>
        <d v="2025-05-07T10:43:00" u="1"/>
        <d v="2025-05-07T10:26:00" u="1"/>
        <d v="2025-05-07T10:42:00" u="1"/>
        <d v="2025-05-02T10:57:00" u="1"/>
        <d v="2025-05-06T19:01:00" u="1"/>
        <d v="2025-05-07T18:24:00" u="1"/>
        <d v="2025-05-07T14:46:00" u="1"/>
        <d v="2025-05-07T14:48:00" u="1"/>
        <d v="2025-05-07T12:44:00" u="1"/>
        <d v="2025-05-07T12:46:00" u="1"/>
        <d v="2025-05-07T12:48:00" u="1"/>
        <d v="2025-05-03T18:24:00" u="1"/>
        <d v="2025-01-30T00:00:00" u="1"/>
        <d v="2025-05-02T13:49:00" u="1"/>
        <d v="2025-05-02T13:47:00" u="1"/>
        <d v="2025-05-02T15:22:00" u="1"/>
        <d v="2025-04-25T15:40:00" u="1"/>
        <d v="2025-04-24T18:24:00" u="1"/>
        <d v="2025-05-06T11:51:00" u="1"/>
        <d v="2025-05-06T06:14:00" u="1"/>
        <d v="2025-01-08T15:05:00" u="1"/>
        <d v="2025-05-04T15:32:00" u="1"/>
        <d v="2025-05-06T19:13:00" u="1"/>
        <d v="2025-05-05T08:39:00" u="1"/>
        <d v="2025-05-02T15:18:00" u="1"/>
        <d v="2025-05-06T11:27:00" u="1"/>
        <d v="2025-05-06T07:58:00" u="1"/>
        <d v="2025-05-06T09:38:00" u="1"/>
        <d v="2025-05-05T14:24:00" u="1"/>
        <d v="2025-05-05T14:27:00" u="1"/>
        <d v="2025-05-06T15:42:00" u="1"/>
        <d v="2025-05-06T09:24:00" u="1"/>
        <d v="2025-05-06T09:27:00" u="1"/>
        <d v="2025-05-05T11:46:00" u="1"/>
        <d v="2025-05-05T18:06:00" u="1"/>
        <d v="2025-05-06T14:20:00" u="1"/>
        <d v="2025-05-02T08:51:00" u="1"/>
        <d v="2025-05-02T08:54:00" u="1"/>
        <d v="2025-05-06T10:23:00" u="1"/>
        <d v="2025-05-06T02:12:00" u="1"/>
        <d v="2025-04-10T05:51:00" u="1"/>
        <d v="2025-04-14T08:44:00" u="1"/>
        <d v="2025-05-06T06:05:00" u="1"/>
        <d v="2025-05-01T00:00:00" u="1"/>
        <d v="2025-05-06T12:44:00" u="1"/>
        <d v="2025-05-05T10:21:00" u="1"/>
        <d v="2025-04-29T08:39:00" u="1"/>
        <d v="2025-04-30T15:54:00" u="1"/>
        <d v="2025-04-30T14:57:00" u="1"/>
        <d v="2025-05-02T17:07:00" u="1"/>
        <d v="2025-05-05T19:06:00" u="1"/>
        <d v="2025-04-04T11:43:00" u="1"/>
        <d v="2025-05-05T18:25:00" u="1"/>
        <d v="2025-05-05T17:05:00" u="1"/>
        <d v="2025-05-05T16:15:00" u="1"/>
        <d v="2025-05-05T16:50:00" u="1"/>
        <d v="2025-05-05T14:07:00" u="1"/>
        <d v="2025-05-02T21:51:00" u="1"/>
        <d v="2025-05-02T18:42:00" u="1"/>
        <d v="2025-05-02T20:13:00" u="1"/>
        <d v="2025-05-02T17:27:00" u="1"/>
        <d v="2025-05-02T20:29:00" u="1"/>
        <d v="2025-05-02T20:46:00" u="1"/>
        <d v="2025-05-02T20:16:00" u="1"/>
        <d v="2025-05-02T20:36:00" u="1"/>
        <d v="2025-05-02T20:39:00" u="1"/>
        <d v="2025-05-02T20:43:00" u="1"/>
        <d v="2025-05-02T20:59:00" u="1"/>
        <d v="2025-05-02T21:01:00" u="1"/>
        <d v="2025-05-02T13:54:00" u="1"/>
        <d v="2025-04-30T22:53:00" u="1"/>
        <d v="2025-05-06T18:54:00" u="1"/>
        <d v="2025-05-05T18:34:00" u="1"/>
        <d v="2025-04-30T12:40:00" u="1"/>
        <d v="2025-04-10T15:56:00" u="1"/>
        <d v="2025-01-16T15:22:00" u="1"/>
        <d v="2025-05-05T21:11:00" u="1"/>
        <d v="2025-05-05T09:12:00" u="1"/>
        <d v="2025-05-05T07:32:00" u="1"/>
        <d v="2025-04-28T17:44:00" u="1"/>
        <d v="2025-05-06T21:59:00" u="1"/>
        <d v="2025-04-17T15:57:00" u="1"/>
        <d v="2025-04-04T21:00:00" u="1"/>
        <d v="2025-05-06T13:19:00" u="1"/>
        <d v="2025-05-06T08:24:00" u="1"/>
        <d v="2025-05-05T14:08:00" u="1"/>
        <d v="2025-05-05T14:10:00" u="1"/>
        <d v="2025-05-05T14:18:00" u="1"/>
        <d v="2025-05-06T10:55:00" u="1"/>
        <d v="2025-05-06T09:15:00" u="1"/>
        <d v="2025-04-30T15:09:00" u="1"/>
        <d v="2025-04-28T14:56:00" u="1"/>
        <d v="2025-05-06T13:15:00" u="1"/>
        <d v="2025-05-05T15:26:00" u="1"/>
        <d v="2025-05-05T10:17:00" u="1"/>
        <d v="2025-05-06T13:17:00" u="1"/>
        <d v="2025-05-05T08:46:00" u="1"/>
        <d v="2025-04-30T09:01:00" u="1"/>
        <d v="2025-05-03T20:58:00" u="1"/>
        <d v="2025-03-01T18:52:00" u="1"/>
        <d v="2025-04-28T12:11:00" u="1"/>
        <d v="2025-04-28T09:06:00" u="1"/>
        <d v="2025-04-28T09:50:00" u="1"/>
        <d v="2025-04-25T22:54:00" u="1"/>
        <d v="2025-04-25T17:27:00" u="1"/>
        <d v="2025-04-25T11:54:00" u="1"/>
        <d v="2025-04-28T15:39:00" u="1"/>
        <d v="2025-05-04T18:53:00" u="1"/>
        <d v="2025-05-02T16:55:00" u="1"/>
        <d v="2025-05-06T13:58:00" u="1"/>
        <d v="2025-05-05T14:41:00" u="1"/>
        <d v="2025-05-05T14:15:00" u="1"/>
        <d v="2025-05-05T11:03:00" u="1"/>
        <d v="2025-05-05T10:04:00" u="1"/>
        <d v="2025-04-24T15:47:00" u="1"/>
        <d v="2025-04-24T08:51:00" u="1"/>
        <d v="2025-04-24T20:39:00" u="1"/>
        <d v="2025-04-29T13:33:00" u="1"/>
        <d v="2025-04-29T14:43:00" u="1"/>
        <d v="2025-04-30T18:26:00" u="1"/>
        <d v="2025-04-30T17:04:00" u="1"/>
        <d v="2025-04-30T19:10:00" u="1"/>
        <d v="2025-04-30T14:51:00" u="1"/>
        <d v="2025-05-05T17:56:00" u="1"/>
        <d v="2025-04-28T10:29:00" u="1"/>
        <d v="2025-04-29T14:48:00" u="1"/>
        <d v="2025-05-06T18:24:00" u="1"/>
        <d v="2025-05-06T11:54:00" u="1"/>
        <d v="2025-05-06T15:26:00" u="1"/>
        <d v="2025-04-30T15:44:00" u="1"/>
        <d v="2025-05-05T14:58:00" u="1"/>
        <d v="2025-04-29T10:05:00" u="1"/>
        <d v="2025-05-06T08:55:00" u="1"/>
        <d v="2025-05-06T14:54:00" u="1"/>
        <d v="2025-05-06T14:43:00" u="1"/>
        <d v="2025-05-06T15:19:00" u="1"/>
        <d v="2025-05-06T12:33:00" u="1"/>
        <d v="2025-05-06T10:37:00" u="1"/>
        <d v="2025-04-07T14:51:00" u="1"/>
        <d v="2025-05-06T16:42:00" u="1"/>
        <d v="2025-05-01T14:26:00" u="1"/>
        <d v="2025-05-05T14:39:00" u="1"/>
        <d v="2025-05-02T13:52:00" u="1"/>
        <d v="2025-05-05T15:17:00" u="1"/>
        <d v="2025-05-05T12:03:00" u="1"/>
        <d v="2025-04-30T15:23:00" u="1"/>
        <d v="2025-04-17T11:35:00" u="1"/>
        <d v="2025-04-29T17:21:00" u="1"/>
        <d v="2025-04-30T12:30:00" u="1"/>
        <d v="2025-04-30T11:11:00" u="1"/>
        <d v="2025-04-30T11:16:00" u="1"/>
        <d v="2025-04-30T11:03:00" u="1"/>
        <d v="2025-04-30T09:06:00" u="1"/>
        <d v="2025-05-05T09:35:00" u="1"/>
        <d v="2025-05-05T11:20:00" u="1"/>
        <d v="2025-05-05T06:57:00" u="1"/>
        <d v="2025-05-05T12:36:00" u="1"/>
        <d v="2025-05-05T14:32:00" u="1"/>
        <d v="2025-02-14T09:09:00" u="1"/>
        <d v="2025-04-30T18:30:00" u="1"/>
        <d v="2025-04-24T11:27:00" u="1"/>
        <d v="2025-04-24T11:09:00" u="1"/>
        <d v="2025-04-22T15:10:00" u="1"/>
        <d v="2025-04-25T09:48:00" u="1"/>
        <d v="2025-04-25T08:48:00" u="1"/>
        <d v="2025-04-24T15:53:00" u="1"/>
        <d v="2025-04-24T17:43:00" u="1"/>
        <d v="2025-04-26T08:56:00" u="1"/>
        <d v="2025-05-05T18:02:00" u="1"/>
        <d v="2025-05-05T17:54:00" u="1"/>
        <d v="2025-05-05T16:29:00" u="1"/>
        <d v="2025-05-05T15:46:00" u="1"/>
        <d v="2025-05-05T13:51:00" u="1"/>
        <d v="2025-05-04T18:31:00" u="1"/>
        <d v="2025-05-02T17:37:00" u="1"/>
        <d v="2025-05-05T11:36:00" u="1"/>
        <d v="2025-02-19T13:51:00" u="1"/>
        <d v="2025-05-05T17:55:00" u="1"/>
        <d v="2025-05-05T11:35:00" u="1"/>
        <d v="2025-04-16T14:20:00" u="1"/>
        <d v="2025-04-25T18:03:00" u="1"/>
        <d v="2025-05-05T11:38:00" u="1"/>
        <d v="2025-05-05T10:33:00" u="1"/>
        <d v="2025-05-05T10:52:00" u="1"/>
        <d v="2025-04-30T12:11:00" u="1"/>
        <d v="2025-04-30T12:06:00" u="1"/>
        <d v="2025-05-05T13:32:00" u="1"/>
        <d v="2025-05-05T13:39:00" u="1"/>
        <d v="2025-04-30T10:46:00" u="1"/>
        <d v="2025-05-02T08:48:00" u="1"/>
        <d v="2025-05-05T14:56:00" u="1"/>
        <d v="2025-05-05T08:52:00" u="1"/>
        <d v="2025-05-05T09:04:00" u="1"/>
        <d v="2025-04-23T13:09:00" u="1"/>
        <d v="2025-04-30T13:18:00" u="1"/>
        <d v="2025-05-05T14:17:00" u="1"/>
        <d v="2025-05-02T11:16:00" u="1"/>
        <d v="2025-04-30T14:55:00" u="1"/>
        <d v="2025-04-30T17:56:00" u="1"/>
        <d v="2025-05-02T19:48:00" u="1"/>
        <d v="2025-05-02T16:51:00" u="1"/>
        <d v="2025-05-02T09:55:00" u="1"/>
        <d v="2025-04-29T20:11:00" u="1"/>
        <d v="2025-04-30T14:01:00" u="1"/>
        <d v="2025-04-30T10:39:00" u="1"/>
        <d v="2025-05-02T09:54:00" u="1"/>
        <d v="2025-05-05T15:47:00" u="1"/>
        <d v="2025-05-05T10:26:00" u="1"/>
        <d v="2025-04-28T17:24:00" u="1"/>
        <d v="2025-04-24T10:26:00" u="1"/>
        <d v="2025-04-24T10:13:00" u="1"/>
        <d v="2025-05-02T09:42:00" u="1"/>
        <d v="2025-04-14T09:56:00" u="1"/>
        <d v="2025-01-13T09:15:00" u="1"/>
        <d v="2025-01-23T16:15:00" u="1"/>
        <d v="2025-05-02T09:58:00" u="1"/>
        <d v="2025-05-01T12:14:00" u="1"/>
        <d v="2025-05-04T13:51:00" u="1"/>
        <d v="2025-05-04T13:52:00" u="1"/>
        <d v="2025-05-02T07:10:00" u="1"/>
        <d v="2025-05-02T13:23:00" u="1"/>
        <d v="2025-02-26T11:16:00" u="1"/>
        <d v="2025-04-30T13:59:00" u="1"/>
        <d v="2025-04-15T07:43:00" u="1"/>
        <d v="2025-04-25T07:18:00" u="1"/>
        <d v="2025-04-01T00:00:00" u="1"/>
        <d v="2025-05-02T10:20:00" u="1"/>
        <d v="2025-05-02T05:46:00" u="1"/>
        <d v="2025-05-02T12:04:00" u="1"/>
        <d v="2025-05-03T11:16:00" u="1"/>
        <d v="2025-04-28T14:08:00" u="1"/>
        <d v="2025-04-27T13:01:00" u="1"/>
        <d v="2025-04-28T13:48:00" u="1"/>
        <d v="2025-04-30T13:56:00" u="1"/>
        <d v="2025-04-29T16:21:00" u="1"/>
        <d v="2025-04-29T16:32:00" u="1"/>
        <d v="2025-04-30T09:05:00" u="1"/>
        <d v="2025-04-30T10:14:00" u="1"/>
        <d v="2025-05-02T14:02:00" u="1"/>
        <d v="2025-04-28T10:10:00" u="1"/>
        <d v="2025-05-02T20:00:00" u="1"/>
        <d v="2025-05-02T16:40:00" u="1"/>
        <d v="2025-04-30T15:50:00" u="1"/>
        <d v="2025-05-02T19:03:00" u="1"/>
        <d v="2025-05-02T19:13:00" u="1"/>
        <d v="2025-05-02T19:21:00" u="1"/>
        <d v="2025-02-27T12:22:00" u="1"/>
        <d v="2025-04-30T11:34:00" u="1"/>
        <d v="2025-04-28T13:46:00" u="1"/>
        <d v="2025-05-02T13:01:00" u="1"/>
        <d v="2025-05-02T15:33:00" u="1"/>
        <d v="2025-05-02T13:02:00" u="1"/>
        <d v="2025-05-02T17:45:00" u="1"/>
        <d v="2025-05-02T15:34:00" u="1"/>
        <d v="2025-04-28T09:47:00" u="1"/>
        <d v="2025-04-29T17:30:00" u="1"/>
        <d v="2025-04-24T08:57:00" u="1"/>
        <d v="2025-02-18T16:22:00" u="1"/>
        <d v="2025-04-29T17:46:00" u="1"/>
        <d v="2024-12-18T08:31:00" u="1"/>
        <d v="2025-01-13T14:32:00" u="1"/>
        <d v="2025-01-14T08:21:00" u="1"/>
        <d v="2025-01-15T09:21:00" u="1"/>
        <d v="2025-01-14T08:39:00" u="1"/>
        <d v="2025-04-22T07:51:00" u="1"/>
        <d v="2025-04-16T18:40:00" u="1"/>
        <d v="2025-04-16T18:44:00" u="1"/>
        <d v="2025-04-23T13:04:00" u="1"/>
        <d v="2025-04-09T17:09:00" u="1"/>
        <d v="2025-04-10T08:46:00" u="1"/>
        <d v="2025-04-22T11:57:00" u="1"/>
        <d v="2025-04-22T19:51:00" u="1"/>
        <d v="2025-02-25T18:11:00" u="1"/>
        <d v="2025-04-25T15:34:00" u="1"/>
        <d v="2025-04-26T07:03:00" u="1"/>
        <d v="2025-04-28T14:25:00" u="1"/>
        <d v="2025-04-28T15:49:00" u="1"/>
        <d v="2025-04-25T19:30:00" u="1"/>
        <d v="2025-04-28T19:39:00" u="1"/>
        <d v="2025-04-29T09:32:00" u="1"/>
        <d v="2025-04-23T18:26:00" u="1"/>
        <d v="2025-04-22T10:52:00" u="1"/>
        <d v="2025-04-28T19:00:00" u="1"/>
        <d v="2025-04-28T17:52:00" u="1"/>
        <d v="2025-04-25T17:50:00" u="1"/>
        <d v="2025-04-30T19:00:00" u="1"/>
        <d v="2025-04-29T11:10:00" u="1"/>
        <d v="2025-04-30T13:51:00" u="1"/>
        <d v="2025-04-30T14:13:00" u="1"/>
        <d v="2025-04-29T09:10:00" u="1"/>
        <d v="2025-04-29T15:45:00" u="1"/>
        <d v="2025-04-29T16:27:00" u="1"/>
        <d v="2025-04-29T17:25:00" u="1"/>
        <d v="2025-04-30T15:05:00" u="1"/>
        <d v="2025-04-30T14:31:00" u="1"/>
        <d v="2025-04-28T15:27:00" u="1"/>
        <d v="2025-04-30T08:12:00" u="1"/>
        <d v="2025-04-30T12:47:00" u="1"/>
        <d v="2025-04-30T13:04:00" u="1"/>
        <d v="2025-04-30T15:49:00" u="1"/>
        <d v="2025-04-30T17:19:00" u="1"/>
        <d v="2025-04-30T14:39:00" u="1"/>
        <d v="2025-04-29T11:30:00" u="1"/>
        <d v="2025-04-30T16:48:00" u="1"/>
        <d v="2025-04-30T10:38:00" u="1"/>
        <d v="2025-04-30T10:51:00" u="1"/>
        <d v="2025-04-28T09:31:00" u="1"/>
        <d v="2025-04-25T13:47:00" u="1"/>
        <d v="2025-04-30T13:53:00" u="1"/>
        <d v="2025-04-30T20:52:00" u="1"/>
        <d v="2025-04-30T19:26:00" u="1"/>
        <d v="2025-04-30T19:39:00" u="1"/>
        <d v="2025-04-30T14:25:00" u="1"/>
        <d v="2025-04-29T09:28:00" u="1"/>
        <d v="2025-04-30T16:04:00" u="1"/>
        <d v="2025-04-29T16:04:00" u="1"/>
        <d v="2025-04-29T18:48:00" u="1"/>
        <d v="2025-04-29T18:30:00" u="1"/>
        <d v="2025-04-29T18:14:00" u="1"/>
        <d v="2025-04-25T13:56:00" u="1"/>
        <d v="2025-04-30T09:24:00" u="1"/>
        <d v="2025-04-30T16:15:00" u="1"/>
        <d v="2025-04-30T09:36:00" u="1"/>
        <d v="2025-04-30T19:54:00" u="1"/>
        <d v="2025-04-30T20:07:00" u="1"/>
        <d v="2025-04-30T20:17:00" u="1"/>
        <d v="2025-04-30T20:39:00" u="1"/>
        <d v="2025-04-30T21:00:00" u="1"/>
        <d v="2025-04-30T21:19:00" u="1"/>
        <d v="2025-04-30T21:25:00" u="1"/>
        <d v="2025-04-30T21:33:00" u="1"/>
        <d v="2025-04-30T21:42:00" u="1"/>
        <d v="2025-04-29T21:24:00" u="1"/>
        <d v="2025-04-30T07:01:00" u="1"/>
        <d v="2025-04-30T21:45:00" u="1"/>
        <d v="2025-04-30T19:59:00" u="1"/>
        <d v="2025-04-15T12:13:00" u="1"/>
        <d v="2025-01-03T10:15:00" u="1"/>
        <d v="2025-01-07T11:23:00" u="1"/>
        <d v="2025-01-07T14:40:00" u="1"/>
        <d v="2025-01-27T11:23:00" u="1"/>
        <d v="2025-01-27T08:25:00" u="1"/>
        <d v="2025-01-27T11:42:00" u="1"/>
        <d v="2025-01-27T11:47:00" u="1"/>
        <d v="2025-01-27T13:05:00" u="1"/>
        <d v="2025-01-29T12:47:00" u="1"/>
        <d v="2025-01-29T00:00:00" u="1"/>
        <d v="2025-01-27T11:51:00" u="1"/>
        <d v="2025-01-29T14:12:00" u="1"/>
        <d v="2025-02-04T05:24:00" u="1"/>
        <d v="2025-01-27T12:44:00" u="1"/>
        <d v="2025-02-05T11:05:00" u="1"/>
        <d v="2025-02-05T06:33:00" u="1"/>
        <d v="2025-02-05T10:51:00" u="1"/>
        <d v="2025-02-05T11:07:00" u="1"/>
        <d v="2025-02-04T10:49:00" u="1"/>
        <d v="2025-02-04T13:39:00" u="1"/>
        <d v="2025-02-04T00:00:00" u="1"/>
        <d v="2025-02-04T08:44:00" u="1"/>
        <d v="2025-02-04T09:10:00" u="1"/>
        <d v="2025-02-04T12:10:00" u="1"/>
        <d v="2025-02-04T12:43:00" u="1"/>
        <d v="2025-02-04T07:31:00" u="1"/>
        <d v="2025-02-04T08:20:00" u="1"/>
        <d v="2025-02-05T05:28:00" u="1"/>
        <d v="2025-02-04T12:58:00" u="1"/>
        <d v="2025-02-05T13:04:00" u="1"/>
        <d v="2025-02-05T14:41:00" u="1"/>
        <d v="2025-02-05T06:21:00" u="1"/>
        <d v="2025-02-04T05:12:00" u="1"/>
        <d v="2025-02-04T11:05:00" u="1"/>
        <d v="2025-02-04T11:28:00" u="1"/>
        <d v="2025-02-05T14:08:00" u="1"/>
        <d v="2025-04-22T08:18:00" u="1"/>
        <d v="2025-02-19T00:00:00" u="1"/>
        <d v="2025-04-22T15:24:00" u="1"/>
        <d v="2025-04-04T08:23:00" u="1"/>
        <d v="2025-04-04T16:13:00" u="1"/>
        <d v="2025-04-22T09:52:00" u="1"/>
        <d v="2025-03-25T07:59:00" u="1"/>
        <d v="2025-03-25T07:12:00" u="1"/>
        <d v="2025-04-15T12:51:00" u="1"/>
        <d v="2025-03-26T10:03:00" u="1"/>
        <d v="2025-04-15T14:23:00" u="1"/>
        <d v="2025-04-22T09:04:00" u="1"/>
        <d v="2025-03-26T10:07:00" u="1"/>
        <d v="2025-04-22T12:16:00" u="1"/>
        <d v="2025-03-06T00:00:00" u="1"/>
        <d v="2025-03-25T09:04:00" u="1"/>
        <d v="2025-04-22T12:48:00" u="1"/>
        <d v="2025-04-11T00:00:00" u="1"/>
        <d v="2025-03-25T16:46:00" u="1"/>
        <d v="2025-04-17T00:00:00" u="1"/>
        <d v="2025-04-25T16:31:00" u="1"/>
        <d v="2025-04-24T12:45:00" u="1"/>
        <d v="2025-04-17T13:23:00" u="1"/>
        <d v="2025-04-25T16:08:00" u="1"/>
        <d v="2025-04-25T17:25:00" u="1"/>
        <d v="2025-04-09T08:55:00" u="1"/>
        <d v="2025-04-24T15:24:00" u="1"/>
        <d v="2025-04-23T15:27:00" u="1"/>
        <d v="2025-04-23T14:54:00" u="1"/>
        <d v="2025-04-11T09:52:00" u="1"/>
        <d v="2025-04-28T13:23:00" u="1"/>
        <d v="2025-04-28T07:49:00" u="1"/>
        <d v="2025-04-28T07:51:00" u="1"/>
        <d v="2025-04-29T09:41:00" u="1"/>
        <d v="2025-04-28T17:12:00" u="1"/>
        <d v="2025-04-29T08:54:00" u="1"/>
        <d v="2025-04-29T09:29:00" u="1"/>
        <d v="2025-04-29T10:37:00" u="1"/>
        <d v="2025-04-29T14:15:00" u="1"/>
        <d v="2025-04-28T14:44:00" u="1"/>
        <d v="2025-04-15T14:46:00" u="1"/>
        <d v="2025-04-29T15:28:00" u="1"/>
        <d v="2025-04-29T11:11:00" u="1"/>
        <d v="2025-04-11T11:10:00" u="1"/>
        <d v="2025-04-28T13:32:00" u="1"/>
        <d v="2025-04-28T10:39:00" u="1"/>
        <d v="2025-04-28T11:59:00" u="1"/>
        <d v="2025-04-28T11:21:00" u="1"/>
        <d v="2025-04-24T00:00:00" u="1"/>
        <d v="2025-04-25T15:36:00" u="1"/>
        <d v="2025-04-25T11:09:00" u="1"/>
        <d v="2025-04-24T15:08:00" u="1"/>
        <d v="2025-04-28T15:47:00" u="1"/>
        <d v="2025-04-29T10:18:00" u="1"/>
        <d v="2025-04-23T13:56:00" u="1"/>
        <d v="2025-04-29T13:05:00" u="1"/>
        <d v="2025-04-29T13:12:00" u="1"/>
        <d v="2025-04-29T15:00:00" u="1"/>
        <d v="2025-04-29T15:35:00" u="1"/>
        <d v="2025-04-29T15:24:00" u="1"/>
        <d v="2025-04-29T09:44:00" u="1"/>
        <d v="2025-04-29T07:40:00" u="1"/>
        <d v="2025-04-29T15:10:00" u="1"/>
        <d v="2025-04-27T19:00:00" u="1"/>
        <d v="2025-04-25T13:31:00" u="1"/>
        <d v="2025-04-27T20:13:00" u="1"/>
        <d v="2025-04-23T14:10:00" u="1"/>
        <d v="2025-04-25T14:20:00" u="1"/>
        <d v="2025-04-28T17:19:00" u="1"/>
        <d v="2025-04-29T11:01:00" u="1"/>
        <d v="2025-04-29T16:06:00" u="1"/>
        <d v="2025-04-29T01:08:00" u="1"/>
        <d v="2025-04-22T10:12:00" u="1"/>
        <d v="2025-04-28T01:53:00" u="1"/>
        <d v="2025-04-28T17:16:00" u="1"/>
        <d v="2025-04-29T10:10:00" u="1"/>
        <d v="2025-04-29T09:55:00" u="1"/>
        <d v="2025-04-25T06:50:00" u="1"/>
        <d v="2025-04-22T14:22:00" u="1"/>
        <d v="2025-04-29T03:20:00" u="1"/>
        <d v="2025-04-29T03:37:00" u="1"/>
        <d v="2025-04-25T14:59:00" u="1"/>
        <d v="2025-04-28T18:47:00" u="1"/>
        <d v="2025-04-29T08:32:00" u="1"/>
        <d v="2025-04-29T09:02:00" u="1"/>
        <d v="2025-04-29T18:19:00" u="1"/>
        <d v="2025-04-29T15:36:00" u="1"/>
        <d v="2025-04-29T16:44:00" u="1"/>
        <d v="2025-04-29T17:05:00" u="1"/>
        <d v="2025-04-29T15:17:00" u="1"/>
        <d v="2025-04-29T16:50:00" u="1"/>
        <d v="2025-04-29T20:35:00" u="1"/>
        <d v="2025-04-29T23:59:00" u="1"/>
        <d v="2025-04-29T17:22:00" u="1"/>
        <d v="2025-04-29T16:17:00" u="1"/>
        <d v="2025-04-29T16:29:00" u="1"/>
        <d v="2025-04-29T17:34:00" u="1"/>
        <d v="2025-04-29T18:12:00" u="1"/>
        <d v="2025-04-29T09:47:00" u="1"/>
        <d v="2025-04-29T09:48:00" u="1"/>
        <d v="2025-03-28T07:28:00" u="1"/>
        <d v="2025-04-16T10:39:00" u="1"/>
        <d v="2025-04-29T14:03:00" u="1"/>
        <d v="2025-04-29T18:16:00" u="1"/>
        <d v="2025-02-12T10:08:00" u="1"/>
        <d v="2025-04-04T19:08:00" u="1"/>
        <d v="2025-04-16T12:47:00" u="1"/>
        <d v="2025-04-14T16:12:00" u="1"/>
        <d v="2025-04-15T17:52:00" u="1"/>
        <d v="2025-04-17T10:21:00" u="1"/>
        <d v="2025-04-22T13:27:00" u="1"/>
        <d v="2025-04-22T01:11:00" u="1"/>
        <d v="2025-04-02T16:50:00" u="1"/>
        <d v="2025-04-17T10:16:00" u="1"/>
        <d v="2025-04-22T13:28:00" u="1"/>
        <d v="2025-04-25T13:15:00" u="1"/>
        <d v="2025-04-25T09:34:00" u="1"/>
        <d v="2025-04-25T13:45:00" u="1"/>
        <d v="2025-04-23T12:00:00" u="1"/>
        <d v="2025-04-25T13:33:00" u="1"/>
        <d v="2025-04-22T13:24:00" u="1"/>
        <d v="2025-04-25T13:09:00" u="1"/>
        <d v="2025-04-24T15:32:00" u="1"/>
        <d v="2025-04-25T08:22:00" u="1"/>
        <d v="2025-04-24T12:16:00" u="1"/>
        <d v="2025-04-25T11:59:00" u="1"/>
        <d v="2025-04-25T13:58:00" u="1"/>
        <d v="2025-04-25T16:25:00" u="1"/>
        <d v="2025-04-25T16:57:00" u="1"/>
        <d v="2025-04-28T17:02:00" u="1"/>
        <d v="2025-04-28T16:38:00" u="1"/>
        <d v="2025-04-28T17:34:00" u="1"/>
        <d v="2025-04-28T17:23:00" u="1"/>
        <d v="2025-04-28T11:58:00" u="1"/>
        <d v="2025-04-28T14:47:00" u="1"/>
        <d v="2025-04-28T10:13:00" u="1"/>
        <d v="2025-04-28T12:21:00" u="1"/>
        <d v="2025-04-28T12:27:00" u="1"/>
        <d v="2025-04-28T09:25:00" u="1"/>
        <d v="2025-04-24T15:09:00" u="1"/>
        <d v="2025-04-16T00:00:00" u="1"/>
        <d v="2025-04-28T08:10:00" u="1"/>
        <d v="2025-04-28T08:28:00" u="1"/>
        <d v="2025-04-28T10:49:00" u="1"/>
        <d v="2025-04-28T17:30:00" u="1"/>
        <d v="2025-04-24T12:33:00" u="1"/>
        <d v="2025-04-28T15:15:00" u="1"/>
        <d v="2025-04-28T14:54:00" u="1"/>
        <d v="2025-04-28T11:29:00" u="1"/>
        <d v="2025-04-28T09:32:00" u="1"/>
        <d v="2025-03-27T14:05:00" u="1"/>
        <d v="2025-04-25T10:44:00" u="1"/>
        <d v="2025-04-28T07:55:00" u="1"/>
        <d v="2025-04-28T06:38:00" u="1"/>
        <d v="2025-04-28T07:22:00" u="1"/>
        <d v="2025-04-28T15:33:00" u="1"/>
        <d v="2025-04-25T18:49:00" u="1"/>
        <d v="2025-04-25T18:57:00" u="1"/>
        <d v="2025-04-27T08:50:00" u="1"/>
        <d v="2025-04-27T22:53:00" u="1"/>
        <d v="2025-04-28T14:39:00" u="1"/>
        <d v="2025-04-28T12:13:00" u="1"/>
        <d v="2025-04-28T08:53:00" u="1"/>
        <d v="2025-04-25T17:01:00" u="1"/>
        <d v="2025-04-28T16:09:00" u="1"/>
        <d v="2025-04-28T12:12:00" u="1"/>
        <d v="2025-04-28T08:33:00" u="1"/>
        <d v="2025-03-18T08:58:00" u="1"/>
        <d v="2025-03-18T08:53:00" u="1"/>
        <d v="2025-04-28T14:55:00" u="1"/>
        <d v="2025-04-26T05:47:00" u="1"/>
        <d v="2025-04-25T09:52:00" u="1"/>
        <d v="2025-04-25T14:46:00" u="1"/>
        <d v="2025-04-28T09:10:00" u="1"/>
        <d v="2025-04-23T08:14:00" u="1"/>
        <d v="2025-04-28T12:04:00" u="1"/>
        <d v="2025-04-28T09:55:00" u="1"/>
        <d v="2025-04-26T06:40:00" u="1"/>
        <d v="2025-03-03T15:47:00" u="1"/>
        <d v="2025-04-25T18:12:00" u="1"/>
        <d v="2025-04-25T09:09:00" u="1"/>
        <d v="2025-04-25T13:23:00" u="1"/>
        <d v="2025-04-28T13:01:00" u="1"/>
        <d v="2025-04-23T15:04:00" u="1"/>
        <d v="2025-04-28T13:09:00" u="1"/>
        <d v="2025-04-28T13:24:00" u="1"/>
        <d v="2025-04-25T08:52:00" u="1"/>
        <d v="2025-04-28T08:36:00" u="1"/>
        <d v="2025-04-28T09:17:00" u="1"/>
        <d v="2025-04-28T14:23:00" u="1"/>
        <d v="2025-04-24T12:05:00" u="1"/>
        <d v="2025-04-28T11:14:00" u="1"/>
        <d v="2025-04-28T11:20:00" u="1"/>
        <d v="2025-03-12T16:59:00" u="1"/>
        <d v="2025-04-26T16:04:00" u="1"/>
        <d v="2025-04-26T13:47:00" u="1"/>
        <d v="2025-03-31T18:03:00" u="1"/>
        <d v="2025-04-27T18:09:00" u="1"/>
        <d v="2025-04-25T14:56:00" u="1"/>
        <d v="2025-04-23T15:26:00" u="1"/>
        <d v="2025-04-25T16:00:00" u="1"/>
        <d v="2025-04-28T14:35:00" u="1"/>
        <d v="2025-04-28T15:34:00" u="1"/>
        <d v="2025-04-28T12:32:00" u="1"/>
        <d v="2025-04-28T13:45:00" u="1"/>
        <d v="2025-04-28T17:15:00" u="1"/>
        <d v="2025-01-12T16:35:00" u="1"/>
        <d v="2025-02-05T05:53:00" u="1"/>
        <d v="2025-04-06T20:08:00" u="1"/>
        <d v="2025-04-08T14:51:00" u="1"/>
        <d v="2025-04-15T06:29:00" u="1"/>
        <d v="2025-04-15T16:01:00" u="1"/>
        <d v="2024-12-19T12:48:00" u="1"/>
        <d v="2025-04-16T16:02:00" u="1"/>
        <d v="2025-04-17T09:35:00" u="1"/>
        <d v="2025-04-17T13:48:00" u="1"/>
        <d v="2025-04-18T17:19:00" u="1"/>
        <d v="2025-04-21T21:25:00" u="1"/>
        <d v="2025-04-23T09:15:00" u="1"/>
        <d v="2025-04-23T15:07:00" u="1"/>
        <d v="2025-04-23T12:52:00" u="1"/>
        <d v="2025-04-23T15:38:00" u="1"/>
        <d v="2025-04-23T18:20:00" u="1"/>
        <d v="2025-04-23T20:51:00" u="1"/>
        <d v="2025-04-23T21:03:00" u="1"/>
        <d v="2025-04-23T20:56:00" u="1"/>
        <d v="2025-04-23T20:53:00" u="1"/>
        <d v="2025-04-23T20:49:00" u="1"/>
        <d v="2025-04-10T06:20:00" u="1"/>
        <d v="2025-04-24T09:19:00" u="1"/>
        <d v="2025-04-24T09:57:00" u="1"/>
        <d v="2025-04-24T07:01:00" u="1"/>
        <d v="2025-04-24T11:41:00" u="1"/>
        <d v="2025-04-24T11:52:00" u="1"/>
        <d v="2025-04-14T06:46:00" u="1"/>
        <d v="2025-04-24T16:43:00" u="1"/>
        <d v="2025-04-24T17:44:00" u="1"/>
        <d v="2025-04-24T06:51:00" u="1"/>
        <d v="2025-04-24T07:09:00" u="1"/>
        <d v="2025-04-24T07:04:00" u="1"/>
        <d v="2025-04-24T06:59:00" u="1"/>
        <d v="2025-04-24T22:05:00" u="1"/>
        <d v="2025-04-24T22:07:00" u="1"/>
        <d v="2025-04-24T22:08:00" u="1"/>
        <d v="2025-04-24T22:09:00" u="1"/>
        <d v="2025-04-24T22:02:00" u="1"/>
        <d v="2025-04-24T22:04:00" u="1"/>
        <d v="2025-04-25T06:57:00" u="1"/>
        <d v="2025-04-25T08:40:00" u="1"/>
        <d v="2025-04-25T08:37:00" u="1"/>
        <d v="2025-04-25T07:13:00" u="1"/>
        <d v="2025-04-25T07:20:00" u="1"/>
        <d v="2025-04-25T07:49:00" u="1"/>
        <d v="2025-04-25T07:24:00" u="1"/>
        <d v="2025-04-24T08:16:00" u="1"/>
        <d v="2025-04-25T07:08:00" u="1"/>
        <d v="2025-02-21T12:54:00" u="1"/>
        <d v="2025-04-25T07:11:00" u="1"/>
        <d v="2025-04-25T12:25:00" u="1"/>
        <d v="2025-04-25T09:01:00" u="1"/>
        <d v="2025-04-25T08:07:00" u="1"/>
        <d v="2025-04-25T09:59:00" u="1"/>
        <d v="2025-04-25T13:36:00" u="1"/>
        <d v="2025-04-25T11:18:00" u="1"/>
        <d v="2025-04-25T11:13:00" u="1"/>
        <d v="2025-04-25T11:32:00" u="1"/>
        <d v="2025-04-25T02:10:00" u="1"/>
        <d v="2025-04-25T12:12:00" u="1"/>
        <d v="2025-04-25T02:58:00" u="1"/>
        <d v="2025-04-25T15:12:00" u="1"/>
        <d v="2025-04-25T15:07:00" u="1"/>
        <d v="2025-01-16T07:47:00" u="1"/>
        <d v="2025-01-15T12:18:00" u="1"/>
        <d v="2025-04-25T12:53:00" u="1"/>
        <d v="2025-04-25T10:54:00" u="1"/>
        <d v="2025-04-25T14:06:00" u="1"/>
        <d v="2025-04-25T08:58:00" u="1"/>
        <d v="2025-04-23T15:21:00" u="1"/>
        <d v="2025-04-23T15:39:00" u="1"/>
        <d v="2025-04-25T12:38:00" u="1"/>
        <d v="2025-04-25T13:26:00" u="1"/>
        <d v="2025-03-26T11:49:00" u="1"/>
        <d v="2025-04-25T06:32:00" u="1"/>
        <d v="2025-04-25T18:24:00" u="1"/>
        <d v="2025-04-25T17:31:00" u="1"/>
        <d v="2025-04-25T16:51:00" u="1"/>
        <d v="2025-04-25T16:53:00" u="1"/>
        <d v="2025-04-25T17:06:00" u="1"/>
        <d v="2025-04-25T18:36:00" u="1"/>
        <d v="2025-04-25T15:49:00" u="1"/>
        <d v="2025-04-25T10:51:00" u="1"/>
        <d v="2025-04-25T17:19:00" u="1"/>
        <d v="2025-04-25T07:31:00" u="1"/>
        <d v="2025-04-16T09:11:00" u="1"/>
        <d v="2025-04-25T13:08:00" u="1"/>
        <d v="2025-04-25T09:47:00" u="1"/>
        <d v="2025-04-23T09:09:00" u="1"/>
        <d v="2025-04-24T13:23:00" u="1"/>
        <d v="2025-04-24T13:18:00" u="1"/>
        <d v="2025-04-25T13:43:00" u="1"/>
        <d v="2025-04-25T13:55:00" u="1"/>
        <d v="2025-04-25T13:38:00" u="1"/>
        <d v="2025-04-25T17:16:00" u="1"/>
        <d v="2025-04-25T17:12:00" u="1"/>
        <d v="2025-04-25T15:41:00" u="1"/>
        <d v="2025-04-25T13:02:00" u="1"/>
        <d v="2025-04-25T17:38:00" u="1"/>
        <d v="2025-04-25T21:54:00" u="1"/>
        <d v="2025-04-25T21:56:00" u="1"/>
        <d v="2025-04-25T21:58:00" u="1"/>
        <d v="2025-04-25T22:15:00" u="1"/>
        <d v="2025-04-25T22:24:00" u="1"/>
        <d v="2025-04-25T22:34:00" u="1"/>
        <d v="2025-04-26T02:54:00" u="1"/>
        <d v="2025-04-26T03:26:00" u="1"/>
        <d v="2025-04-27T00:00:00" u="1"/>
        <d v="2025-04-27T10:07:00" u="1"/>
        <d v="2025-04-24T07:02:00" u="1"/>
        <d v="2025-03-17T15:18:00" u="1"/>
        <d v="2025-04-24T14:13:00" u="1"/>
        <d v="2025-04-24T14:08:00" u="1"/>
        <d v="2025-04-24T09:18:00" u="1"/>
        <d v="2025-04-24T09:10:00" u="1"/>
        <d v="2025-04-24T09:02:00" u="1"/>
        <d v="2025-04-22T13:42:00" u="1"/>
        <d v="2025-04-02T12:09:00" u="1"/>
        <d v="2025-04-24T08:19:00" u="1"/>
        <d v="2025-04-23T10:53:00" u="1"/>
        <d v="2025-04-23T11:04:00" u="1"/>
        <d v="2025-04-23T15:17:00" u="1"/>
        <d v="2025-04-24T07:08:00" u="1"/>
        <d v="2025-04-24T07:19:00" u="1"/>
        <d v="2025-04-24T01:58:00" u="1"/>
        <d v="2025-04-17T11:41:00" u="1"/>
        <d v="2025-04-24T12:41:00" u="1"/>
        <d v="2025-04-23T15:02:00" u="1"/>
        <d v="2025-04-23T15:11:00" u="1"/>
        <d v="2025-04-24T09:46:00" u="1"/>
        <d v="2025-04-24T14:52:00" u="1"/>
        <d v="2025-04-24T09:22:00" u="1"/>
        <d v="2025-04-24T18:17:00" u="1"/>
        <d v="2025-04-24T18:19:00" u="1"/>
        <d v="2025-01-30T08:00:00" u="1"/>
        <d v="2024-12-13T07:17:00" u="1"/>
        <d v="2025-04-16T16:00:00" u="1"/>
        <d v="2025-04-23T07:30:00" u="1"/>
        <d v="2025-04-23T16:35:00" u="1"/>
        <d v="2025-04-23T16:03:00" u="1"/>
        <d v="2025-04-24T15:05:00" u="1"/>
        <d v="2025-04-22T11:44:00" u="1"/>
        <d v="2025-04-22T10:27:00" u="1"/>
        <d v="2025-04-22T10:05:00" u="1"/>
        <d v="2025-04-15T16:00:00" u="1"/>
        <d v="2025-04-17T17:55:00" u="1"/>
        <d v="2025-04-22T13:38:00" u="1"/>
        <d v="2025-04-22T17:27:00" u="1"/>
        <d v="2025-04-24T17:15:00" u="1"/>
        <d v="2025-04-24T17:57:00" u="1"/>
        <d v="2025-04-23T17:35:00" u="1"/>
        <d v="2025-04-22T21:22:00" u="1"/>
        <d v="2025-02-18T08:45:00" u="1"/>
        <d v="2025-02-24T18:08:00" u="1"/>
        <d v="2025-04-24T15:01:00" u="1"/>
        <d v="2025-04-24T13:08:00" u="1"/>
        <d v="2025-04-24T10:57:00" u="1"/>
        <d v="2025-04-23T17:28:00" u="1"/>
        <d v="2025-04-24T14:58:00" u="1"/>
        <d v="2025-04-24T10:33:00" u="1"/>
        <d v="2025-04-24T10:53:00" u="1"/>
        <d v="2025-04-24T14:49:00" u="1"/>
        <d v="2025-04-22T09:11:00" u="1"/>
        <d v="2025-04-17T17:24:00" u="1"/>
        <d v="2025-04-22T12:47:00" u="1"/>
        <d v="2025-04-22T14:57:00" u="1"/>
        <d v="2025-04-22T13:45:00" u="1"/>
        <d v="2025-04-24T13:49:00" u="1"/>
        <d v="2025-04-24T13:56:00" u="1"/>
        <d v="2025-04-24T14:19:00" u="1"/>
        <d v="2025-04-24T17:59:00" u="1"/>
        <d v="2025-04-24T15:43:00" u="1"/>
        <d v="2025-04-23T12:17:00" u="1"/>
        <d v="2025-04-24T16:08:00" u="1"/>
        <d v="2025-04-22T14:09:00" u="1"/>
        <d v="2025-04-18T08:40:00" u="1"/>
        <d v="2025-04-09T10:21:00" u="1"/>
        <d v="2025-04-24T15:44:00" u="1"/>
        <d v="2025-04-24T19:36:00" u="1"/>
        <d v="2025-04-18T13:21:00" u="1"/>
        <d v="2025-04-23T07:20:00" u="1"/>
        <d v="2025-04-23T12:40:00" u="1"/>
        <d v="2025-04-23T07:38:00" u="1"/>
        <d v="2025-04-23T11:54:00" u="1"/>
        <d v="2025-04-23T14:21:00" u="1"/>
        <d v="2025-04-23T14:01:00" u="1"/>
        <d v="2025-04-23T09:55:00" u="1"/>
        <d v="2025-04-23T07:46:00" u="1"/>
        <d v="2025-04-23T16:45:00" u="1"/>
        <d v="2025-04-23T08:29:00" u="1"/>
        <d v="2025-04-23T14:06:00" u="1"/>
        <d v="2025-04-23T13:01:00" u="1"/>
        <d v="2025-04-23T11:23:00" u="1"/>
        <d v="2025-04-23T07:59:00" u="1"/>
        <d v="2025-04-18T13:23:00" u="1"/>
        <d v="2025-04-01T10:06:00" u="1"/>
        <d v="2025-04-17T08:14:00" u="1"/>
        <d v="2025-04-22T12:54:00" u="1"/>
        <d v="2025-04-23T09:58:00" u="1"/>
        <d v="2025-04-23T12:05:00" u="1"/>
        <d v="2025-04-23T10:52:00" u="1"/>
        <d v="2025-04-14T12:39:00" u="1"/>
        <d v="2025-04-22T13:04:00" u="1"/>
        <d v="2025-04-22T13:23:00" u="1"/>
        <d v="2025-04-22T13:37:00" u="1"/>
        <d v="2025-04-22T13:53:00" u="1"/>
        <d v="2025-04-20T11:37:00" u="1"/>
        <d v="2025-04-17T11:17:00" u="1"/>
        <d v="2025-04-14T16:13:00" u="1"/>
        <d v="2025-04-15T11:12:00" u="1"/>
        <d v="2025-04-17T18:30:00" u="1"/>
        <d v="2025-04-23T18:15:00" u="1"/>
        <d v="2025-04-23T12:45:00" u="1"/>
        <d v="2025-04-23T14:00:00" u="1"/>
        <d v="2025-04-22T13:02:00" u="1"/>
        <d v="2025-04-22T11:19:00" u="1"/>
        <d v="2025-04-22T12:30:00" u="1"/>
        <d v="2025-04-22T12:31:00" u="1"/>
        <d v="2025-04-22T12:32:00" u="1"/>
        <d v="2025-04-23T11:55:00" u="1"/>
        <d v="2025-04-23T10:36:00" u="1"/>
        <d v="2025-04-23T10:20:00" u="1"/>
        <d v="2025-04-23T09:13:00" u="1"/>
        <d v="2025-04-09T10:56:00" u="1"/>
        <d v="2025-04-22T18:34:00" u="1"/>
        <d v="2025-04-23T22:33:00" u="1"/>
        <d v="2025-04-23T19:33:00" u="1"/>
        <d v="2025-04-23T15:08:00" u="1"/>
        <d v="2025-04-23T02:48:00" u="1"/>
        <d v="2025-03-21T19:01:00" u="1"/>
        <d v="2025-03-21T19:02:00" u="1"/>
        <d v="2025-04-22T17:14:00" u="1"/>
        <d v="2025-04-23T10:56:00" u="1"/>
        <d v="2025-04-23T18:07:00" u="1"/>
        <d v="2025-04-23T17:10:00" u="1"/>
        <d v="2025-04-23T06:15:00" u="1"/>
        <d v="2025-04-10T07:33:00" u="1"/>
        <d v="2025-04-23T11:42:00" u="1"/>
        <d v="2025-04-10T11:54:00" u="1"/>
        <d v="2025-04-10T00:00:00" u="1"/>
        <d v="2025-04-23T14:07:00" u="1"/>
        <d v="2025-04-23T10:47:00" u="1"/>
        <d v="2025-04-22T18:41:00" u="1"/>
        <d v="2025-04-22T09:24:00" u="1"/>
        <d v="2025-04-23T15:54:00" u="1"/>
        <d v="2025-04-23T10:00:00" u="1"/>
        <d v="2025-04-07T23:30:00" u="1"/>
        <d v="2025-04-08T09:47:00" u="1"/>
        <d v="2025-04-23T11:31:00" u="1"/>
        <d v="2025-03-21T15:16:00" u="1"/>
        <d v="2025-03-07T08:22:00" u="1"/>
        <d v="2025-04-22T16:20:00" u="1"/>
        <d v="2025-04-23T18:59:00" u="1"/>
        <d v="2025-04-23T14:31:00" u="1"/>
        <d v="2025-04-09T09:52:00" u="1"/>
        <d v="2025-04-23T11:39:00" u="1"/>
        <d v="2025-04-21T13:09:00" u="1"/>
        <d v="2025-03-26T14:54:00" u="1"/>
        <d v="2025-04-16T18:56:00" u="1"/>
        <d v="2025-04-23T13:10:00" u="1"/>
        <d v="2025-03-26T14:12:00" u="1"/>
        <d v="2025-03-24T14:09:00" u="1"/>
        <d v="2025-03-24T14:10:00" u="1"/>
        <d v="2025-03-24T14:12:00" u="1"/>
        <d v="2025-03-24T14:15:00" u="1"/>
        <d v="2025-04-03T00:00:00" u="1"/>
        <d v="2025-04-07T10:30:00" u="1"/>
        <d v="2025-04-22T16:44:00" u="1"/>
        <d v="2025-04-23T12:38:00" u="1"/>
        <d v="2025-04-11T11:29:00" u="1"/>
        <d v="2025-04-11T11:26:00" u="1"/>
        <d v="2025-04-23T13:02:00" u="1"/>
        <d v="2025-04-23T07:10:00" u="1"/>
        <d v="2025-03-20T08:22:00" u="1"/>
        <d v="2025-04-23T10:46:00" u="1"/>
        <d v="2025-04-23T12:59:00" u="1"/>
        <d v="2025-04-23T19:07:00" u="1"/>
        <d v="2025-04-11T15:27:00" u="1"/>
        <d v="2025-04-23T15:59:00" u="1"/>
        <d v="2025-04-23T17:02:00" u="1"/>
        <d v="2025-04-22T15:39:00" u="1"/>
        <d v="2025-04-22T18:48:00" u="1"/>
        <d v="2025-04-23T11:56:00" u="1"/>
        <d v="2025-04-23T17:37:00" u="1"/>
        <d v="2025-04-23T17:27:00" u="1"/>
        <d v="2025-04-23T16:38:00" u="1"/>
        <d v="2025-04-17T17:02:00" u="1"/>
        <d v="2025-04-22T12:21:00" u="1"/>
        <d v="2025-04-22T11:56:00" u="1"/>
        <d v="2025-03-18T18:20:00" u="1"/>
        <d v="2025-03-12T16:19:00" u="1"/>
        <d v="2025-04-22T11:13:00" u="1"/>
        <d v="2025-01-30T16:56:00" u="1"/>
        <d v="2025-03-28T10:12:00" u="1"/>
        <d v="2025-04-19T23:00:00" u="1"/>
        <d v="2025-04-19T17:59:00" u="1"/>
        <d v="2026-04-18T17:00:00" u="1"/>
        <d v="2025-04-18T21:59:00" u="1"/>
        <d v="2025-04-18T17:59:00" u="1"/>
        <d v="2025-04-08T19:45:00" u="1"/>
        <d v="2025-04-03T17:43:00" u="1"/>
        <d v="2025-04-23T16:07:00" u="1"/>
        <d v="2025-04-23T19:48:00" u="1"/>
        <d v="2025-04-22T18:54:00" u="1"/>
        <d v="2025-04-22T09:56:00" u="1"/>
        <d v="2025-04-22T11:10:00" u="1"/>
        <d v="2025-04-22T11:26:00" u="1"/>
        <d v="2025-04-23T10:11:00" u="1"/>
        <d v="2025-04-22T15:25:00" u="1"/>
        <d v="2025-04-22T14:51:00" u="1"/>
        <d v="2025-04-23T08:50:00" u="1"/>
        <d v="2025-04-23T09:01:00" u="1"/>
        <d v="2025-04-11T18:16:00" u="1"/>
        <d v="2025-04-22T14:50:00" u="1"/>
        <d v="2025-04-16T19:00:00" u="1"/>
        <d v="2025-04-19T12:41:00" u="1"/>
        <d v="2025-04-21T20:01:00" u="1"/>
        <d v="2025-04-21T19:33:00" u="1"/>
        <d v="2025-03-30T00:55:00" u="1"/>
        <d v="2025-03-12T00:31:00" u="1"/>
        <d v="2025-04-11T16:33:00" u="1"/>
        <d v="2025-03-10T11:16:00" u="1"/>
        <d v="2025-04-22T08:32:00" u="1"/>
        <d v="2025-04-22T09:18:00" u="1"/>
        <d v="2025-04-22T09:28:00" u="1"/>
        <d v="2025-04-22T06:45:00" u="1"/>
        <d v="2025-04-17T11:46:00" u="1"/>
        <d v="2025-04-19T14:16:00" u="1"/>
        <d v="2025-04-22T14:28:00" u="1"/>
        <d v="2025-03-25T19:57:00" u="1"/>
        <d v="2025-04-14T10:29:00" u="1"/>
        <d v="2025-02-07T00:00:00" u="1"/>
        <d v="2025-04-15T09:53:00" u="1"/>
        <d v="2025-04-22T07:37:00" u="1"/>
        <d v="2025-04-22T10:16:00" u="1"/>
        <d v="2025-04-22T02:48:00" u="1"/>
        <d v="2025-04-22T05:12:00" u="1"/>
        <d v="2025-04-22T12:46:00" u="1"/>
        <d v="2025-04-17T11:56:00" u="1"/>
        <d v="2025-04-18T17:51:00" u="1"/>
        <d v="2025-04-18T10:08:00" u="1"/>
        <d v="2025-03-28T11:34:00" u="1"/>
        <d v="2025-04-22T17:35:00" u="1"/>
        <d v="2025-04-22T11:30:00" u="1"/>
        <d v="2025-04-16T19:23:00" u="1"/>
        <d v="2025-04-22T11:06:00" u="1"/>
        <d v="2025-04-15T10:01:00" u="1"/>
        <d v="2025-04-16T16:31:00" u="1"/>
        <d v="2025-04-16T16:34:00" u="1"/>
        <d v="2025-04-16T15:22:00" u="1"/>
        <d v="2025-04-16T11:41:00" u="1"/>
        <d v="2025-04-22T13:34:00" u="1"/>
        <d v="2025-04-11T14:53:00" u="1"/>
        <d v="2025-04-11T14:17:00" u="1"/>
        <d v="2025-04-14T10:05:00" u="1"/>
        <d v="2025-04-22T16:23:00" u="1"/>
        <d v="2025-04-08T11:47:00" u="1"/>
        <d v="2025-04-10T11:42:00" u="1"/>
        <d v="2025-04-11T15:01:00" u="1"/>
        <d v="2025-04-09T07:29:00" u="1"/>
        <d v="2025-03-24T08:58:00" u="1"/>
        <d v="2025-03-31T08:58:00" u="1"/>
        <d v="2025-04-17T16:53:00" u="1"/>
        <d v="2024-11-29T00:00:00" u="1"/>
        <d v="2024-11-29T04:37:00" u="1"/>
        <d v="2025-03-28T12:28:00" u="1"/>
        <d v="2025-04-22T13:44:00" u="1"/>
        <d v="2025-03-31T10:17:00" u="1"/>
        <d v="2025-04-17T18:37:00" u="1"/>
        <d v="2025-04-22T16:27:00" u="1"/>
        <d v="2025-04-22T15:32:00" u="1"/>
        <d v="2025-04-22T14:53:00" u="1"/>
        <d v="2025-04-07T13:06:00" u="1"/>
        <d v="2025-04-22T15:49:00" u="1"/>
        <d v="2025-04-01T11:13:00" u="1"/>
        <d v="2025-04-02T13:49:00" u="1"/>
        <d v="2025-04-16T17:36:00" u="1"/>
        <d v="2025-04-15T12:47:00" u="1"/>
        <d v="2025-04-15T12:49:00" u="1"/>
        <d v="2025-03-31T17:21:00" u="1"/>
        <d v="2025-04-11T09:37:00" u="1"/>
        <d v="2025-03-24T14:11:00" u="1"/>
        <d v="2025-03-24T14:14:00" u="1"/>
        <d v="2025-04-15T11:37:00" u="1"/>
        <d v="2025-04-04T17:07:00" u="1"/>
        <d v="2025-04-08T13:35:00" u="1"/>
        <d v="2025-04-10T12:42:00" u="1"/>
        <d v="2025-04-22T15:28:00" u="1"/>
        <d v="2025-04-22T11:09:00" u="1"/>
        <d v="2025-04-17T06:22:00" u="1"/>
        <d v="2025-04-17T06:28:00" u="1"/>
        <d v="2025-04-17T06:33:00" u="1"/>
        <d v="2025-04-17T06:38:00" u="1"/>
        <d v="2025-04-22T09:35:00" u="1"/>
        <d v="2025-04-22T13:54:00" u="1"/>
        <d v="2025-04-22T07:54:00" u="1"/>
        <d v="2025-04-22T06:58:00" u="1"/>
        <d v="2025-04-22T08:22:00" u="1"/>
        <d v="2025-04-22T07:33:00" u="1"/>
        <d v="2025-04-17T17:12:00" u="1"/>
        <d v="2025-04-16T14:13:00" u="1"/>
        <d v="2025-04-22T16:30:00" u="1"/>
        <d v="2025-04-17T09:57:00" u="1"/>
        <d v="2025-03-25T15:40:00" u="1"/>
        <d v="2025-04-22T12:14:00" u="1"/>
        <d v="2025-04-17T20:49:00" u="1"/>
        <d v="2025-04-22T13:35:00" u="1"/>
        <d v="2025-04-22T08:44:00" u="1"/>
        <d v="2025-04-22T08:52:00" u="1"/>
        <d v="2025-04-22T14:44:00" u="1"/>
        <d v="2025-04-14T13:03:00" u="1"/>
        <d v="2025-04-10T09:00:00" u="1"/>
        <d v="2025-04-17T17:26:00" u="1"/>
        <d v="2025-04-17T19:27:00" u="1"/>
        <d v="2025-03-25T15:36:00" u="1"/>
        <d v="2025-04-11T10:03:00" u="1"/>
        <d v="2025-03-26T13:51:00" u="1"/>
        <d v="2025-04-04T14:12:00" u="1"/>
        <d v="2025-02-14T15:55:00" u="1"/>
        <d v="2025-03-31T13:40:00" u="1"/>
        <d v="2025-04-22T18:47:00" u="1"/>
        <d v="2025-04-22T18:35:00" u="1"/>
        <d v="2025-04-15T13:25:00" u="1"/>
        <d v="2025-04-15T15:57:00" u="1"/>
        <d v="2025-02-28T23:59:00" u="1"/>
        <d v="2025-04-16T15:54:00" u="1"/>
        <d v="2025-04-18T13:56:00" u="1"/>
        <d v="2025-04-18T13:57:00" u="1"/>
        <d v="2025-04-18T21:58:00" u="1"/>
        <d v="2025-04-17T11:40:00" u="1"/>
        <d v="2025-04-17T11:51:00" u="1"/>
        <d v="2025-04-17T12:01:00" u="1"/>
        <d v="2025-04-17T12:05:00" u="1"/>
        <d v="2025-04-17T10:05:00" u="1"/>
        <d v="2025-04-17T11:28:00" u="1"/>
        <d v="2025-04-03T14:22:00" u="1"/>
        <d v="2025-04-17T10:19:00" u="1"/>
        <d v="2025-04-19T02:10:00" u="1"/>
        <d v="2025-04-17T18:59:00" u="1"/>
        <d v="2025-04-16T12:29:00" u="1"/>
        <d v="2025-04-17T18:42:00" u="1"/>
        <d v="2025-03-31T11:25:00" u="1"/>
        <d v="2025-04-03T16:25:00" u="1"/>
        <d v="2025-04-11T14:27:00" u="1"/>
        <d v="2025-04-11T19:26:00" u="1"/>
        <d v="2025-04-15T14:35:00" u="1"/>
        <d v="2025-04-15T12:30:00" u="1"/>
        <d v="2025-04-15T11:00:00" u="1"/>
        <d v="2025-04-15T09:33:00" u="1"/>
        <d v="2025-04-16T17:31:00" u="1"/>
        <d v="2025-04-17T13:04:00" u="1"/>
        <d v="2025-04-17T15:45:00" u="1"/>
        <d v="2025-04-17T17:56:00" u="1"/>
        <d v="2025-04-18T14:29:00" u="1"/>
        <d v="2025-04-16T15:30:00" u="1"/>
        <d v="2025-04-17T10:51:00" u="1"/>
        <d v="2025-04-17T10:52:00" u="1"/>
        <d v="2025-04-16T16:48:00" u="1"/>
        <d v="2025-04-16T16:46:00" u="1"/>
        <d v="2025-04-17T15:20:00" u="1"/>
        <d v="2025-04-17T15:16:00" u="1"/>
        <d v="2025-04-15T16:14:00" u="1"/>
        <d v="2025-04-17T16:37:00" u="1"/>
        <d v="2025-04-17T14:57:00" u="1"/>
        <d v="2025-04-17T06:31:00" u="1"/>
        <d v="2025-04-15T14:53:00" u="1"/>
        <d v="2025-04-17T10:15:00" u="1"/>
        <d v="2025-04-16T09:15:00" u="1"/>
        <d v="2025-04-15T11:55:00" u="1"/>
        <d v="2025-04-17T18:41:00" u="1"/>
        <d v="2025-04-16T18:59:00" u="1"/>
        <d v="2025-04-17T16:46:00" u="1"/>
        <d v="2025-04-17T16:27:00" u="1"/>
        <d v="2025-04-17T18:48:00" u="1"/>
        <d v="2025-04-17T16:15:00" u="1"/>
        <d v="2025-04-17T12:26:00" u="1"/>
        <d v="2025-04-17T19:06:00" u="1"/>
        <d v="2025-04-17T19:35:00" u="1"/>
        <d v="2025-04-17T19:40:00" u="1"/>
        <d v="2025-04-17T19:43:00" u="1"/>
        <d v="2025-04-17T19:52:00" u="1"/>
        <d v="2025-04-17T19:57:00" u="1"/>
        <d v="2025-04-17T19:49:00" u="1"/>
        <d v="2025-04-17T19:54:00" u="1"/>
        <d v="2025-04-17T19:41:00" u="1"/>
        <d v="2025-04-17T13:30:00" u="1"/>
        <d v="2025-04-17T13:26:00" u="1"/>
        <d v="2025-04-16T15:19:00" u="1"/>
        <d v="2025-04-16T14:17:00" u="1"/>
        <d v="2025-04-16T19:22:00" u="1"/>
        <d v="2025-04-16T19:34:00" u="1"/>
        <d v="2025-04-16T20:31:00" u="1"/>
        <d v="2025-04-16T20:39:00" u="1"/>
        <d v="2025-04-16T20:40:00" u="1"/>
        <d v="2025-04-16T20:37:00" u="1"/>
        <d v="2025-04-16T20:35:00" u="1"/>
        <d v="2025-04-16T20:34:00" u="1"/>
        <d v="2025-04-16T20:32:00" u="1"/>
        <d v="2025-04-16T20:28:00" u="1"/>
        <d v="2025-04-16T19:59:00" u="1"/>
        <d v="2025-04-16T20:00:00" u="1"/>
        <d v="2025-04-16T20:02:00" u="1"/>
        <d v="2025-04-16T20:06:00" u="1"/>
        <d v="2025-04-16T20:13:00" u="1"/>
        <d v="2025-04-16T20:18:00" u="1"/>
        <d v="2025-04-16T20:20:00" u="1"/>
        <d v="2025-04-16T20:22:00" u="1"/>
        <d v="2025-04-16T20:24:00" u="1"/>
        <d v="2025-04-16T20:26:00" u="1"/>
        <d v="2025-04-16T19:53:00" u="1"/>
        <d v="2025-04-04T16:48:00" u="1"/>
        <d v="2025-04-15T15:20:00" u="1"/>
        <d v="2025-04-16T16:40:00" u="1"/>
        <d v="2025-04-17T16:49:00" u="1"/>
        <d v="2025-04-16T08:11:00" u="1"/>
        <d v="2025-04-16T08:06:00" u="1"/>
        <d v="2025-04-14T14:49:00" u="1"/>
        <d v="2025-04-17T16:08:00" u="1"/>
        <d v="2025-04-17T15:53:00" u="1"/>
        <d v="2025-04-15T12:21:00" u="1"/>
        <d v="2025-04-08T17:02:00" u="1"/>
        <d v="2025-04-15T16:52:00" u="1"/>
        <d v="2025-02-12T13:02:00" u="1"/>
        <d v="2025-04-17T16:40:00" u="1"/>
        <d v="2025-04-11T18:14:00" u="1"/>
        <d v="2025-04-11T17:07:00" u="1"/>
        <d v="2025-04-15T15:44:00" u="1"/>
        <d v="2025-04-16T16:44:00" u="1"/>
        <d v="2025-04-18T14:51:00" u="1"/>
        <d v="2025-04-21T23:04:00" u="1"/>
        <d v="2025-03-18T09:28:00" u="1"/>
        <d v="2025-04-16T14:00:00" u="1"/>
        <d v="2025-04-15T14:15:00" u="1"/>
        <d v="2025-04-15T11:29:00" u="1"/>
        <d v="2025-04-15T08:15:00" u="1"/>
        <d v="2025-04-16T14:14:00" u="1"/>
        <d v="2025-04-16T11:19:00" u="1"/>
        <d v="2025-04-15T21:37:00" u="1"/>
        <d v="2025-04-16T14:15:00" u="1"/>
        <d v="2025-04-10T11:26:00" u="1"/>
        <d v="2025-04-14T09:58:00" u="1"/>
        <d v="2025-04-14T13:19:00" u="1"/>
        <d v="2025-04-15T13:35:00" u="1"/>
        <d v="2025-04-04T08:29:00" u="1"/>
        <d v="2025-04-04T09:17:00" u="1"/>
        <d v="2025-04-10T06:42:00" u="1"/>
        <d v="2025-04-10T08:14:00" u="1"/>
        <d v="2025-04-04T16:00:00" u="1"/>
        <d v="2025-04-16T13:04:00" u="1"/>
        <d v="2025-04-16T15:17:00" u="1"/>
        <d v="2025-04-17T12:33:00" u="1"/>
        <d v="2025-04-17T13:36:00" u="1"/>
        <d v="2025-04-17T07:50:00" u="1"/>
        <d v="2025-04-16T10:03:00" u="1"/>
        <d v="2025-04-17T06:50:00" u="1"/>
        <d v="2025-04-16T20:17:00" u="1"/>
        <d v="2025-04-17T15:18:00" u="1"/>
        <d v="2025-04-17T13:59:00" u="1"/>
        <d v="2025-04-17T06:40:00" u="1"/>
        <d v="2025-04-16T17:33:00" u="1"/>
        <d v="2025-04-16T09:04:00" u="1"/>
        <d v="2025-04-16T09:00:00" u="1"/>
        <d v="2025-04-08T18:41:00" u="1"/>
        <d v="2025-04-04T17:06:00" u="1"/>
        <d v="2025-04-02T18:57:00" u="1"/>
        <d v="2025-04-01T14:49:00" u="1"/>
        <d v="2025-04-03T18:56:00" u="1"/>
        <d v="2025-04-03T18:57:00" u="1"/>
        <d v="2025-04-17T16:33:00" u="1"/>
        <d v="2025-04-17T15:55:00" u="1"/>
        <d v="2025-04-17T15:59:00" u="1"/>
        <d v="2025-04-17T16:07:00" u="1"/>
        <d v="2025-04-16T13:11:00" u="1"/>
        <d v="2025-04-16T15:18:00" u="1"/>
        <d v="2025-04-17T15:24:00" u="1"/>
        <d v="2025-04-11T10:44:00" u="1"/>
        <d v="2025-04-15T06:48:00" u="1"/>
        <d v="2025-04-16T08:27:00" u="1"/>
        <d v="2025-04-17T11:49:00" u="1"/>
        <d v="2025-04-17T13:13:00" u="1"/>
        <d v="2025-04-17T12:10:00" u="1"/>
        <d v="2025-04-16T14:29:00" u="1"/>
        <d v="2025-04-18T11:07:00" u="1"/>
        <d v="2025-04-17T17:35:00" u="1"/>
        <d v="2025-04-17T14:17:00" u="1"/>
        <d v="2025-04-17T13:18:00" u="1"/>
        <d v="2025-04-15T13:37:00" u="1"/>
        <d v="2025-04-17T18:53:00" u="1"/>
        <d v="2025-04-07T18:37:00" u="1"/>
        <d v="2025-04-03T09:52:00" u="1"/>
        <d v="2025-04-14T11:07:00" u="1"/>
        <d v="2025-04-14T10:00:00" u="1"/>
        <d v="2025-04-17T17:47:00" u="1"/>
        <d v="2025-04-17T17:13:00" u="1"/>
        <d v="2025-04-17T21:34:00" u="1"/>
        <d v="2025-04-17T14:54:00" u="1"/>
        <d v="2025-04-15T13:14:00" u="1"/>
        <d v="2025-04-17T13:27:00" u="1"/>
        <d v="2025-04-17T14:13:00" u="1"/>
        <d v="2025-04-17T14:14:00" u="1"/>
        <d v="2025-04-15T17:15:00" u="1"/>
        <d v="2025-04-16T13:23:00" u="1"/>
        <d v="2025-04-16T15:00:00" u="1"/>
        <d v="2025-04-17T16:50:00" u="1"/>
        <d v="2025-04-17T18:43:00" u="1"/>
        <d v="2025-03-25T16:21:00" u="1"/>
        <d v="2025-03-05T10:24:00" u="1"/>
        <d v="2025-03-20T09:54:00" u="1"/>
        <d v="2025-04-17T14:55:00" u="1"/>
        <d v="2025-04-17T10:10:00" u="1"/>
        <d v="2025-04-16T16:16:00" u="1"/>
        <d v="2025-04-17T17:30:00" u="1"/>
        <d v="2025-04-15T18:05:00" u="1"/>
        <d v="2025-04-15T19:45:00" u="1"/>
        <d v="2025-04-15T18:23:00" u="1"/>
        <d v="2025-04-16T15:11:00" u="1"/>
        <d v="2025-04-16T15:10:00" u="1"/>
        <d v="2025-04-16T15:09:00" u="1"/>
        <d v="2025-04-15T14:33:00" u="1"/>
        <d v="2025-04-09T13:47:00" u="1"/>
        <d v="2025-04-16T10:15:00" u="1"/>
        <d v="2025-03-21T00:00:00" u="1"/>
        <d v="2025-02-13T11:35:00" u="1"/>
        <d v="2025-03-21T14:50:00" u="1"/>
        <d v="2025-03-21T14:49:00" u="1"/>
        <d v="2025-03-21T07:29:00" u="1"/>
        <d v="2025-02-23T20:41:00" u="1"/>
        <d v="2025-03-24T14:27:00" u="1"/>
        <d v="2025-03-18T15:17:00" u="1"/>
        <d v="2025-03-14T15:19:00" u="1"/>
        <d v="2025-03-14T13:45:00" u="1"/>
        <d v="2025-03-14T10:06:00" u="1"/>
        <d v="2025-03-10T12:23:00" u="1"/>
        <d v="2025-03-10T13:06:00" u="1"/>
        <d v="2025-02-27T10:32:00" u="1"/>
        <d v="2025-02-20T12:32:00" u="1"/>
        <d v="2025-03-24T10:01:00" u="1"/>
        <d v="2025-03-05T13:20:00" u="1"/>
        <d v="2025-03-20T09:29:00" u="1"/>
        <d v="2025-03-24T14:36:00" u="1"/>
        <d v="2025-03-25T01:16:00" u="1"/>
        <d v="2025-02-28T13:58:00" u="1"/>
        <d v="2025-03-25T09:01:00" u="1"/>
        <d v="2025-03-24T15:53:00" u="1"/>
        <d v="2025-03-24T15:54:00" u="1"/>
        <d v="2025-03-12T22:38:00" u="1"/>
        <d v="2025-03-28T00:00:00" u="1"/>
        <d v="2025-03-31T09:00:00" u="1"/>
        <d v="2025-03-25T16:51:00" u="1"/>
        <d v="2025-03-19T11:09:00" u="1"/>
        <d v="2025-03-26T08:33:00" u="1"/>
        <d v="2025-03-26T12:31:00" u="1"/>
        <d v="2025-04-01T12:31:00" u="1"/>
        <d v="2025-03-26T15:46:00" u="1"/>
        <d v="2025-03-26T11:22:00" u="1"/>
        <d v="2025-04-02T06:48:00" u="1"/>
        <d v="2025-03-25T14:50:00" u="1"/>
        <d v="2025-03-26T13:59:00" u="1"/>
        <d v="2025-04-02T00:00:00" u="1"/>
        <d v="2025-04-02T12:33:00" u="1"/>
        <d v="2025-02-21T13:40:00" u="1"/>
        <d v="2025-04-01T15:12:00" u="1"/>
        <d v="2025-03-25T07:22:00" u="1"/>
        <d v="2025-03-25T07:37:00" u="1"/>
        <d v="2025-03-28T07:58:00" u="1"/>
        <d v="2025-02-26T12:21:00" u="1"/>
        <d v="2025-03-31T19:00:00" u="1"/>
        <d v="2025-03-27T11:16:00" u="1"/>
        <d v="2025-03-29T14:49:00" u="1"/>
        <d v="2025-03-28T06:08:00" u="1"/>
        <d v="2025-04-03T19:04:00" u="1"/>
        <d v="2025-03-17T09:18:00" u="1"/>
        <d v="2025-03-26T11:28:00" u="1"/>
        <d v="2025-04-02T06:42:00" u="1"/>
        <d v="2025-04-02T08:33:00" u="1"/>
        <d v="2025-03-28T16:32:00" u="1"/>
        <d v="2025-04-02T19:00:00" u="1"/>
        <d v="2025-04-02T18:16:00" u="1"/>
        <d v="2025-02-24T06:34:00" u="1"/>
        <d v="2025-04-07T12:16:00" u="1"/>
        <d v="2025-04-02T18:27:00" u="1"/>
        <d v="2025-04-02T09:56:00" u="1"/>
        <d v="2025-04-03T06:37:00" u="1"/>
        <d v="2025-04-03T06:41:00" u="1"/>
        <d v="2025-03-20T17:00:00" u="1"/>
        <d v="2025-04-02T13:10:00" u="1"/>
        <d v="2025-04-03T06:33:00" u="1"/>
        <d v="2025-04-08T18:48:00" u="1"/>
        <d v="2025-04-03T15:49:00" u="1"/>
        <d v="2025-04-03T12:54:00" u="1"/>
        <d v="2025-04-04T10:00:00" u="1"/>
        <d v="2025-04-04T19:00:00" u="1"/>
        <d v="2025-04-02T07:30:00" u="1"/>
        <d v="2025-03-25T16:33:00" u="1"/>
        <d v="2025-04-09T09:53:00" u="1"/>
        <d v="2025-04-09T09:27:00" u="1"/>
        <d v="2025-04-07T12:26:00" u="1"/>
        <d v="2025-04-07T15:42:00" u="1"/>
        <d v="2025-03-26T16:40:00" u="1"/>
        <d v="2025-04-07T15:06:00" u="1"/>
        <d v="2025-04-08T05:00:00" u="1"/>
        <d v="2025-03-17T23:32:00" u="1"/>
        <d v="2025-04-09T09:22:00" u="1"/>
        <d v="2025-04-09T17:42:00" u="1"/>
        <d v="2025-04-04T00:00:00" u="1"/>
        <d v="2025-04-08T14:04:00" u="1"/>
        <d v="2025-04-09T15:09:00" u="1"/>
        <d v="2025-03-17T09:37:00" u="1"/>
        <d v="2025-04-09T07:37:00" u="1"/>
        <d v="2025-04-09T22:48:00" u="1"/>
        <d v="2025-04-09T06:33:00" u="1"/>
        <d v="2025-03-13T08:46:00" u="1"/>
        <d v="2025-04-07T13:23:00" u="1"/>
        <d v="2025-02-19T06:36:00" u="1"/>
        <d v="2025-02-11T00:00:00" u="1"/>
        <d v="2025-04-10T13:29:00" u="1"/>
        <d v="2025-04-09T11:30:00" u="1"/>
        <d v="2025-04-08T09:23:00" u="1"/>
        <d v="2025-04-10T17:20:00" u="1"/>
        <d v="2025-01-29T17:15:00" u="1"/>
        <d v="2025-04-08T13:58:00" u="1"/>
        <d v="2025-04-09T06:04:00" u="1"/>
        <d v="2025-04-07T15:58:00" u="1"/>
        <d v="2025-04-10T13:01:00" u="1"/>
        <d v="2025-04-10T09:41:00" u="1"/>
        <d v="2025-04-10T05:43:00" u="1"/>
        <d v="2025-03-06T13:09:00" u="1"/>
        <d v="2025-04-10T15:32:00" u="1"/>
        <d v="2025-03-28T12:41:00" u="1"/>
        <d v="2025-04-10T16:09:00" u="1"/>
        <d v="2025-02-19T07:46:00" u="1"/>
        <d v="2025-04-10T10:31:00" u="1"/>
        <d v="2025-04-10T19:20:00" u="1"/>
        <d v="2025-04-10T16:30:00" u="1"/>
        <d v="2025-04-11T09:57:00" u="1"/>
        <d v="2025-04-10T11:06:00" u="1"/>
        <d v="2025-04-11T10:52:00" u="1"/>
        <d v="2025-04-11T11:08:00" u="1"/>
        <d v="2025-04-11T11:59:00" u="1"/>
        <d v="2025-04-11T11:14:00" u="1"/>
        <d v="2025-04-11T13:12:00" u="1"/>
        <d v="2025-04-10T15:23:00" u="1"/>
        <d v="2025-03-01T21:36:00" u="1"/>
        <d v="2025-04-10T12:25:00" u="1"/>
        <d v="2025-04-11T12:48:00" u="1"/>
        <d v="2025-04-11T10:00:00" u="1"/>
        <d v="2025-04-11T13:14:00" u="1"/>
        <d v="2025-04-11T13:57:00" u="1"/>
        <d v="2025-04-11T15:12:00" u="1"/>
        <d v="2025-04-11T13:08:00" u="1"/>
        <d v="2025-04-08T14:37:00" u="1"/>
        <d v="2025-04-14T12:01:00" u="1"/>
        <d v="2025-04-14T13:46:00" u="1"/>
        <d v="2025-04-08T14:35:00" u="1"/>
        <d v="2025-02-03T09:58:00" u="1"/>
        <d v="2025-04-14T14:10:00" u="1"/>
        <d v="2025-04-11T08:15:00" u="1"/>
        <d v="2025-04-11T09:38:00" u="1"/>
        <d v="2025-04-14T19:05:00" u="1"/>
        <d v="2025-04-14T19:28:00" u="1"/>
        <d v="2025-04-14T19:00:00" u="1"/>
        <d v="2025-04-11T18:43:00" u="1"/>
        <d v="2025-04-11T18:45:00" u="1"/>
        <d v="2025-04-14T06:02:00" u="1"/>
        <d v="2025-04-14T17:50:00" u="1"/>
        <d v="2025-04-14T07:55:00" u="1"/>
        <d v="2025-04-11T15:23:00" u="1"/>
        <d v="2025-04-15T07:17:00" u="1"/>
        <d v="2025-04-14T08:28:00" u="1"/>
        <d v="2025-04-14T11:57:00" u="1"/>
        <d v="2025-04-14T14:13:00" u="1"/>
        <d v="2025-04-14T14:29:00" u="1"/>
        <d v="2025-04-15T00:00:00" u="1"/>
        <d v="2025-04-15T11:05:00" u="1"/>
        <d v="2025-04-11T15:19:00" u="1"/>
        <d v="2025-04-13T15:49:00" u="1"/>
        <d v="2025-04-15T12:15:00" u="1"/>
        <d v="2025-04-14T12:20:00" u="1"/>
        <d v="2025-04-15T15:10:00" u="1"/>
        <d v="2025-04-14T15:30:00" u="1"/>
        <d v="2025-03-07T09:48:00" u="1"/>
        <d v="2025-03-05T16:23:00" u="1"/>
        <d v="2025-03-05T13:25:00" u="1"/>
        <d v="2025-04-15T11:32:00" u="1"/>
        <d v="2025-03-20T10:21:00" u="1"/>
        <d v="2025-03-12T16:23:00" u="1"/>
        <d v="2025-04-15T13:04:00" u="1"/>
        <d v="2025-04-03T08:57:00" u="1"/>
        <d v="2025-04-15T13:41:00" u="1"/>
        <d v="2025-04-15T11:44:00" u="1"/>
        <d v="2025-04-15T16:57:00" u="1"/>
        <d v="2025-04-15T17:37:00" u="1"/>
        <d v="2025-03-24T13:59:00" u="1"/>
        <d v="2025-04-03T10:12:00" u="1"/>
        <d v="2025-04-14T00:00:00" u="1"/>
        <d v="2025-04-15T13:30:00" u="1"/>
        <d v="2025-04-15T12:17:00" u="1"/>
        <d v="2025-04-15T09:50:00" u="1"/>
        <d v="2025-04-15T13:47:00" u="1"/>
        <d v="2025-04-15T13:17:00" u="1"/>
        <d v="2025-04-15T16:51:00" u="1"/>
        <d v="2025-04-15T09:19:00" u="1"/>
        <d v="2025-04-15T17:58:00" u="1"/>
        <d v="2025-04-15T17:20:00" u="1"/>
        <d v="2025-04-15T18:13:00" u="1"/>
        <d v="2025-04-15T17:07:00" u="1"/>
        <d v="2025-04-15T20:56:00" u="1"/>
        <d v="2025-02-24T10:33:00" u="1"/>
        <d v="2025-04-16T06:56:00" u="1"/>
        <d v="2025-04-16T06:32:00" u="1"/>
        <d v="2025-04-16T07:17:00" u="1"/>
        <d v="2025-04-16T07:22:00" u="1"/>
        <d v="2025-04-16T09:39:00" u="1"/>
        <d v="2025-04-16T09:10:00" u="1"/>
        <d v="2025-04-16T11:25:00" u="1"/>
        <d v="2025-04-16T09:20:00" u="1"/>
        <d v="2025-04-16T09:24:00" u="1"/>
        <d v="2025-04-16T10:36:00" u="1"/>
        <d v="2024-11-22T14:12:00" u="1"/>
        <d v="2025-04-16T11:00:00" u="1"/>
        <d v="2025-04-11T07:55:00" u="1"/>
        <d v="2025-04-15T08:17:00" u="1"/>
        <d v="2025-04-15T08:40:00" u="1"/>
        <d v="2025-03-19T06:46:00" u="1"/>
        <d v="2025-04-16T10:22:00" u="1"/>
        <d v="2025-04-16T06:25:00" u="1"/>
        <d v="2025-04-16T08:52:00" u="1"/>
        <d v="2025-04-14T16:07:00" u="1"/>
        <d v="2025-04-16T01:54:00" u="1"/>
        <d v="2025-04-16T12:08:00" u="1"/>
        <d v="2025-04-14T15:09:00" u="1"/>
        <d v="2025-04-16T11:16:00" u="1"/>
        <d v="2025-04-16T13:59:00" u="1"/>
        <d v="2025-04-16T13:33:00" u="1"/>
        <d v="2025-04-16T13:31:00" u="1"/>
        <d v="2025-04-16T12:59:00" u="1"/>
        <d v="2025-04-16T16:13:00" u="1"/>
        <d v="2025-04-16T16:23:00" u="1"/>
        <d v="2025-04-16T13:57:00" u="1"/>
        <d v="2025-04-16T10:05:00" u="1"/>
        <d v="2025-04-16T15:01:00" u="1"/>
        <d v="2025-04-16T13:42:00" u="1"/>
        <d v="2025-04-16T14:06:00" u="1"/>
        <d v="2025-04-16T14:08:00" u="1"/>
        <d v="2025-04-15T12:09:00" u="1"/>
        <d v="2025-04-16T09:35:00" u="1"/>
        <d v="2025-04-16T15:46:00" u="1"/>
        <d v="2025-04-16T06:02:00" u="1"/>
        <d v="2025-04-16T15:59:00" u="1"/>
        <d v="2025-04-16T15:48:00" u="1"/>
        <d v="2025-04-16T15:21:00" u="1"/>
        <d v="2025-04-16T15:56:00" u="1"/>
        <d v="2025-04-16T16:22:00" u="1"/>
        <d v="2025-04-16T18:58:00" u="1"/>
        <d v="2025-04-16T11:51:00" u="1"/>
        <d v="2025-04-16T13:10:00" u="1"/>
        <d v="2025-04-16T13:14:00" u="1"/>
        <d v="2025-04-16T13:12:00" u="1"/>
        <d v="2025-04-16T13:52:00" u="1"/>
        <d v="2025-04-16T16:45:00" u="1"/>
        <d v="2025-03-28T12:10:00" u="1"/>
        <d v="2025-04-16T14:37:00" u="1"/>
        <d v="2025-04-16T18:34:00" u="1"/>
        <d v="2025-04-16T17:13:00" u="1"/>
        <d v="2025-04-16T16:35:00" u="1"/>
        <d v="2025-03-25T15:15:00" u="1"/>
        <d v="2025-03-30T04:18:00" u="1"/>
        <d v="2025-03-26T17:05:00" u="1"/>
        <d v="2025-03-31T11:27:00" u="1"/>
        <d v="2025-03-17T11:29:00" u="1"/>
        <d v="2025-03-31T13:26:00" u="1"/>
        <d v="2025-04-01T17:49:00" u="1"/>
        <d v="2025-04-03T12:04:00" u="1"/>
        <d v="2025-04-03T13:44:00" u="1"/>
        <d v="2025-04-03T15:42:00" u="1"/>
        <d v="2025-04-07T16:23:00" u="1"/>
        <d v="2025-04-08T15:10:00" u="1"/>
        <d v="2025-04-08T09:52:00" u="1"/>
        <d v="2025-04-08T12:04:00" u="1"/>
        <d v="2025-04-08T17:44:00" u="1"/>
        <d v="2025-04-04T11:40:00" u="1"/>
        <d v="2025-04-03T11:33:00" u="1"/>
        <d v="2025-04-07T07:37:00" u="1"/>
        <d v="2025-04-07T07:39:00" u="1"/>
        <d v="2025-04-07T12:53:00" u="1"/>
        <d v="2025-04-07T12:23:00" u="1"/>
        <d v="2025-04-08T15:03:00" u="1"/>
        <d v="2025-04-06T20:14:00" u="1"/>
        <d v="2025-04-10T06:23:00" u="1"/>
        <d v="2025-04-10T14:41:00" u="1"/>
        <d v="2025-04-10T14:50:00" u="1"/>
        <d v="2025-04-11T14:43:00" u="1"/>
        <d v="2025-04-10T19:32:00" u="1"/>
        <d v="2025-04-11T10:41:00" u="1"/>
        <d v="2025-04-11T13:17:00" u="1"/>
        <d v="2025-04-11T16:37:00" u="1"/>
        <d v="2025-04-11T08:26:00" u="1"/>
        <d v="2025-04-11T13:44:00" u="1"/>
        <d v="2025-04-13T18:11:00" u="1"/>
        <d v="2025-04-11T17:34:00" u="1"/>
        <d v="2025-04-11T19:29:00" u="1"/>
        <d v="2025-04-11T17:56:00" u="1"/>
        <d v="2025-04-14T14:26:00" u="1"/>
        <d v="2025-04-14T09:18:00" u="1"/>
        <d v="2025-04-14T07:47:00" u="1"/>
        <d v="2025-04-14T08:00:00" u="1"/>
        <d v="2025-04-14T20:27:00" u="1"/>
        <d v="2025-04-15T06:21:00" u="1"/>
        <d v="2025-04-15T10:27:00" u="1"/>
        <d v="2025-04-15T11:04:00" u="1"/>
        <d v="2025-04-15T09:27:00" u="1"/>
        <d v="2025-04-14T09:59:00" u="1"/>
        <d v="2025-04-11T23:09:00" u="1"/>
        <d v="2025-04-14T08:52:00" u="1"/>
        <d v="2025-04-11T14:24:00" u="1"/>
        <d v="2025-04-14T13:05:00" u="1"/>
        <d v="2025-04-14T14:44:00" u="1"/>
        <d v="2025-04-13T15:31:00" u="1"/>
        <d v="2025-04-14T08:01:00" u="1"/>
        <d v="2025-04-14T13:31:00" u="1"/>
        <d v="2025-04-11T15:16:00" u="1"/>
        <d v="2025-04-14T19:55:00" u="1"/>
        <d v="2025-04-14T16:49:00" u="1"/>
        <d v="2025-04-14T23:38:00" u="1"/>
        <d v="2025-04-15T01:05:00" u="1"/>
        <d v="2025-04-15T01:11:00" u="1"/>
        <d v="2025-04-14T14:16:00" u="1"/>
        <d v="2025-04-15T14:37:00" u="1"/>
        <d v="2025-04-15T14:38:00" u="1"/>
        <d v="2025-04-15T14:39:00" u="1"/>
        <d v="2025-04-10T23:00:00" u="1"/>
        <d v="2025-04-14T10:22:00" u="1"/>
        <d v="2025-04-14T15:59:00" u="1"/>
        <d v="2025-04-11T11:39:00" u="1"/>
        <d v="2025-04-15T13:42:00" u="1"/>
        <d v="2025-04-15T09:43:00" u="1"/>
        <d v="2025-04-15T13:34:00" u="1"/>
        <d v="2025-04-15T08:14:00" u="1"/>
        <d v="2025-04-15T11:31:00" u="1"/>
        <d v="2025-04-14T14:52:00" u="1"/>
        <d v="2025-04-14T21:20:00" u="1"/>
        <d v="2025-04-15T15:38:00" u="1"/>
        <d v="2025-04-13T10:22:00" u="1"/>
        <d v="2025-04-13T08:43:00" u="1"/>
        <d v="2025-04-15T14:21:00" u="1"/>
        <d v="2025-04-14T16:21:00" u="1"/>
        <d v="2025-04-14T16:17:00" u="1"/>
        <d v="2025-04-14T16:24:00" u="1"/>
        <d v="2025-04-14T16:48:00" u="1"/>
        <d v="2025-04-14T16:50:00" u="1"/>
        <d v="2025-04-15T16:34:00" u="1"/>
        <d v="2025-04-15T15:45:00" u="1"/>
        <d v="2025-04-15T16:56:00" u="1"/>
        <d v="2025-03-21T14:34:00" u="1"/>
        <d v="2025-03-18T19:04:00" u="1"/>
        <d v="2025-03-21T09:17:00" u="1"/>
        <d v="2025-03-20T17:46:00" u="1"/>
        <d v="2025-03-19T14:57:00" u="1"/>
        <d v="2025-03-20T09:38:00" u="1"/>
        <d v="2025-03-24T08:07:00" u="1"/>
        <d v="2025-03-06T09:00:00" u="1"/>
        <d v="2025-03-26T10:22:00" u="1"/>
        <d v="2025-03-26T13:58:00" u="1"/>
        <d v="2025-03-26T09:06:00" u="1"/>
        <d v="2025-03-26T10:59:00" u="1"/>
        <d v="2025-03-26T14:15:00" u="1"/>
        <d v="2025-03-27T07:34:00" u="1"/>
        <d v="2025-03-28T09:25:00" u="1"/>
        <d v="2025-03-30T10:13:00" u="1"/>
        <d v="2025-03-31T12:32:00" u="1"/>
        <d v="2025-03-31T14:08:00" u="1"/>
        <d v="2025-04-02T18:41:00" u="1"/>
        <d v="2025-04-03T12:55:00" u="1"/>
        <d v="2025-04-02T21:52:00" u="1"/>
        <d v="2025-04-03T17:59:00" u="1"/>
        <d v="2025-04-04T12:34:00" u="1"/>
        <d v="2025-04-04T11:55:00" u="1"/>
        <d v="2025-04-07T14:19:00" u="1"/>
        <d v="2025-04-04T10:12:00" u="1"/>
        <d v="2025-04-08T15:00:00" u="1"/>
        <d v="2025-04-08T16:35:00" u="1"/>
        <d v="2025-04-08T17:28:00" u="1"/>
        <d v="2025-04-09T09:39:00" u="1"/>
        <d v="2025-04-09T11:08:00" u="1"/>
        <d v="2025-04-10T13:37:00" u="1"/>
        <d v="2025-04-10T12:18:00" u="1"/>
        <d v="2025-04-10T14:25:00" u="1"/>
        <d v="2025-04-10T14:23:00" u="1"/>
        <d v="2025-03-21T11:45:00" u="1"/>
        <d v="2025-04-10T09:58:00" u="1"/>
        <d v="2025-04-10T15:11:00" u="1"/>
        <d v="2025-04-10T13:38:00" u="1"/>
        <d v="2025-04-09T18:16:00" u="1"/>
        <d v="2025-04-11T10:22:00" u="1"/>
        <d v="2025-04-10T17:13:00" u="1"/>
        <d v="2025-04-11T10:53:00" u="1"/>
        <d v="2025-04-11T13:09:00" u="1"/>
        <d v="2025-04-11T08:57:00" u="1"/>
        <d v="2025-04-10T09:59:00" u="1"/>
        <d v="2025-04-11T12:33:00" u="1"/>
        <d v="2025-04-09T16:10:00" u="1"/>
        <d v="2025-04-11T12:49:00" u="1"/>
        <d v="2025-04-11T10:25:00" u="1"/>
        <d v="2025-04-11T10:42:00" u="1"/>
        <d v="2025-04-11T13:13:00" u="1"/>
        <d v="2025-04-11T13:18:00" u="1"/>
        <d v="2025-04-11T13:21:00" u="1"/>
        <d v="2025-04-11T11:58:00" u="1"/>
        <d v="2025-04-11T11:07:00" u="1"/>
        <d v="2025-04-11T10:57:00" u="1"/>
        <d v="2025-04-11T12:37:00" u="1"/>
        <d v="2025-04-11T18:51:00" u="1"/>
        <d v="2025-04-11T11:02:00" u="1"/>
        <d v="2025-04-11T15:07:00" u="1"/>
        <d v="2025-04-11T17:01:00" u="1"/>
        <d v="2025-04-10T10:02:00" u="1"/>
        <d v="2025-04-11T12:46:00" u="1"/>
        <d v="2025-04-11T07:19:00" u="1"/>
        <d v="2025-04-11T07:31:00" u="1"/>
        <d v="2025-04-11T14:59:00" u="1"/>
        <d v="2025-04-11T18:25:00" u="1"/>
        <d v="2025-04-11T14:12:00" u="1"/>
        <d v="2025-04-11T17:33:00" u="1"/>
        <d v="2025-04-11T19:39:00" u="1"/>
        <d v="2025-04-11T17:00:00" u="1"/>
        <d v="2025-04-11T15:24:00" u="1"/>
        <d v="2025-04-11T06:09:00" u="1"/>
        <d v="2025-04-11T15:39:00" u="1"/>
        <d v="2025-04-11T16:48:00" u="1"/>
        <d v="2025-04-11T16:15:00" u="1"/>
        <d v="2025-04-11T14:47:00" u="1"/>
        <d v="2025-04-11T14:09:00" u="1"/>
        <d v="2025-04-11T19:30:00" u="1"/>
        <d v="2025-04-11T16:50:00" u="1"/>
        <d v="2025-04-11T19:32:00" u="1"/>
        <d v="2025-04-11T16:38:00" u="1"/>
        <d v="2025-04-11T14:40:00" u="1"/>
        <d v="2025-04-11T06:55:00" u="1"/>
        <d v="2025-04-13T14:41:00" u="1"/>
        <d v="2025-04-14T06:38:00" u="1"/>
        <d v="2025-04-14T08:25:00" u="1"/>
        <d v="2025-04-14T09:16:00" u="1"/>
        <d v="2025-04-14T06:28:00" u="1"/>
        <d v="2025-04-14T09:42:00" u="1"/>
        <d v="2025-04-14T07:36:00" u="1"/>
        <d v="2025-04-14T10:47:00" u="1"/>
        <d v="2025-04-14T06:53:00" u="1"/>
        <d v="2025-04-11T13:59:00" u="1"/>
        <d v="2025-04-11T14:00:00" u="1"/>
        <d v="2025-04-11T14:01:00" u="1"/>
        <d v="2025-04-14T12:35:00" u="1"/>
        <d v="2025-04-14T12:34:00" u="1"/>
        <d v="2025-04-14T11:16:00" u="1"/>
        <d v="2025-04-14T11:22:00" u="1"/>
        <d v="2025-04-14T07:15:00" u="1"/>
        <d v="2025-04-12T14:19:00" u="1"/>
        <d v="2025-04-14T14:25:00" u="1"/>
        <d v="2025-04-14T13:44:00" u="1"/>
        <d v="2025-04-14T14:55:00" u="1"/>
        <d v="2025-04-14T14:04:00" u="1"/>
        <d v="2025-04-14T10:57:00" u="1"/>
        <d v="2025-04-14T09:48:00" u="1"/>
        <d v="2025-04-14T14:08:00" u="1"/>
        <d v="2025-04-14T11:59:00" u="1"/>
        <d v="2025-04-14T11:51:00" u="1"/>
        <d v="2025-04-14T11:55:00" u="1"/>
        <d v="2025-04-14T10:39:00" u="1"/>
        <d v="2025-04-14T10:36:00" u="1"/>
        <d v="2025-04-14T10:46:00" u="1"/>
        <d v="2025-04-14T10:44:00" u="1"/>
        <d v="2025-04-14T10:42:00" u="1"/>
        <d v="2025-04-14T12:16:00" u="1"/>
        <d v="2025-04-14T13:54:00" u="1"/>
        <d v="2025-04-14T13:45:00" u="1"/>
        <d v="2025-04-14T11:08:00" u="1"/>
        <d v="2025-04-14T09:19:00" u="1"/>
        <d v="2025-04-14T12:14:00" u="1"/>
        <d v="2025-04-14T11:21:00" u="1"/>
        <d v="2025-04-14T09:12:00" u="1"/>
        <d v="2025-04-14T04:39:00" u="1"/>
        <d v="2025-04-14T08:42:00" u="1"/>
        <d v="2025-03-28T14:14:00" u="1"/>
        <d v="2025-04-14T01:11:00" u="1"/>
        <d v="2025-04-14T11:09:00" u="1"/>
        <d v="2025-04-11T18:28:00" u="1"/>
        <d v="2025-04-14T05:43:00" u="1"/>
        <d v="2025-04-14T15:38:00" u="1"/>
        <d v="2025-04-14T15:00:00" u="1"/>
        <d v="2025-04-14T15:27:00" u="1"/>
        <d v="2025-04-10T18:36:00" u="1"/>
        <d v="2025-04-10T18:39:00" u="1"/>
        <d v="2025-04-14T15:26:00" u="1"/>
        <d v="2025-04-14T19:13:00" u="1"/>
        <d v="2025-04-14T17:09:00" u="1"/>
        <d v="2025-04-14T08:45:00" u="1"/>
        <d v="2025-04-03T10:18:00" u="1"/>
        <d v="2025-04-14T15:32:00" u="1"/>
        <d v="2025-04-14T15:43:00" u="1"/>
        <d v="2025-03-18T07:40:00" u="1"/>
        <d v="2025-03-26T07:48:00" u="1"/>
        <d v="2025-04-14T18:56:00" u="1"/>
        <d v="2025-04-14T17:12:00" u="1"/>
        <d v="2025-04-14T16:26:00" u="1"/>
        <d v="2025-04-14T19:36:00" u="1"/>
        <d v="2025-04-14T20:12:00" u="1"/>
        <d v="2025-04-14T17:52:00" u="1"/>
        <d v="2025-04-14T18:39:00" u="1"/>
        <d v="2025-04-14T19:53:00" u="1"/>
        <d v="2025-04-14T17:56:00" u="1"/>
        <d v="2025-04-14T17:41:00" u="1"/>
        <d v="2025-04-14T18:15:00" u="1"/>
        <d v="2025-04-14T18:54:00" u="1"/>
        <d v="2025-04-14T17:17:00" u="1"/>
        <d v="2025-04-14T18:45:00" u="1"/>
        <d v="2025-04-14T16:53:00" u="1"/>
        <d v="2025-04-14T16:03:00" u="1"/>
        <d v="2025-04-14T16:55:00" u="1"/>
        <d v="2025-04-14T20:50:00" u="1"/>
        <d v="2025-01-23T10:57:00" u="1"/>
        <d v="2025-03-21T09:41:00" u="1"/>
        <d v="2025-03-21T09:09:00" u="1"/>
        <d v="2025-03-24T13:58:00" u="1"/>
        <d v="2025-03-26T09:52:00" u="1"/>
        <d v="2025-03-26T17:25:00" u="1"/>
        <d v="2025-03-13T00:00:00" u="1"/>
        <d v="2025-03-25T07:49:00" u="1"/>
        <d v="2025-03-25T08:27:00" u="1"/>
        <d v="2025-03-25T10:54:00" u="1"/>
        <d v="2025-03-25T10:38:00" u="1"/>
        <d v="2025-03-25T11:12:00" u="1"/>
        <d v="2025-03-26T10:17:00" u="1"/>
        <d v="2025-03-26T16:08:00" u="1"/>
        <d v="2025-03-27T15:06:00" u="1"/>
        <d v="2025-03-21T14:29:00" u="1"/>
        <d v="2025-03-31T00:00:00" u="1"/>
        <d v="2025-03-31T06:45:00" u="1"/>
        <d v="2025-03-28T08:19:00" u="1"/>
        <d v="2025-03-31T09:31:00" u="1"/>
        <d v="2025-03-31T09:40:00" u="1"/>
        <d v="2025-04-01T12:35:00" u="1"/>
        <d v="2025-03-31T09:51:00" u="1"/>
        <d v="2025-03-26T15:49:00" u="1"/>
        <d v="2025-04-01T09:17:00" u="1"/>
        <d v="2025-04-03T10:49:00" u="1"/>
        <d v="2025-04-04T11:09:00" u="1"/>
        <d v="2025-04-04T17:26:00" u="1"/>
        <d v="2025-04-03T13:05:00" u="1"/>
        <d v="2025-04-04T19:34:00" u="1"/>
        <d v="2025-04-04T19:33:00" u="1"/>
        <d v="2025-04-07T11:52:00" u="1"/>
        <d v="2025-04-07T11:51:00" u="1"/>
        <d v="2025-04-07T11:54:00" u="1"/>
        <d v="2025-04-07T10:33:00" u="1"/>
        <d v="2025-04-08T15:24:00" u="1"/>
        <d v="2025-04-08T15:44:00" u="1"/>
        <d v="2025-04-04T07:12:00" u="1"/>
        <d v="2025-04-08T10:56:00" u="1"/>
        <d v="2025-04-08T18:35:00" u="1"/>
        <d v="2025-04-08T13:59:00" u="1"/>
        <d v="2025-04-08T20:21:00" u="1"/>
        <d v="2025-04-09T18:21:00" u="1"/>
        <d v="2025-04-09T18:19:00" u="1"/>
        <d v="2025-04-08T15:18:00" u="1"/>
        <d v="2025-04-09T13:06:00" u="1"/>
        <d v="2025-04-08T15:56:00" u="1"/>
        <d v="2025-04-09T12:46:00" u="1"/>
        <d v="2025-04-09T14:43:00" u="1"/>
        <d v="2025-04-09T13:36:00" u="1"/>
        <d v="2025-04-09T15:34:00" u="1"/>
        <d v="2025-04-09T15:51:00" u="1"/>
        <d v="2025-04-09T19:45:00" u="1"/>
        <d v="2025-04-08T05:19:00" u="1"/>
        <d v="2025-04-10T10:20:00" u="1"/>
        <d v="2025-04-10T12:45:00" u="1"/>
        <d v="2025-04-10T11:03:00" u="1"/>
        <d v="2025-04-10T09:34:00" u="1"/>
        <d v="2025-04-10T13:23:00" u="1"/>
        <d v="2025-04-10T16:01:00" u="1"/>
        <d v="2025-04-10T06:31:00" u="1"/>
        <d v="2025-04-10T13:11:00" u="1"/>
        <d v="2025-04-10T10:52:00" u="1"/>
        <d v="2025-04-10T02:47:00" u="1"/>
        <d v="2025-04-10T11:38:00" u="1"/>
        <d v="2025-04-10T12:48:00" u="1"/>
        <d v="2025-04-10T04:12:00" u="1"/>
        <d v="2025-04-08T06:38:00" u="1"/>
        <d v="2025-04-10T13:15:00" u="1"/>
        <d v="2025-04-10T07:56:00" u="1"/>
        <d v="2025-04-11T08:24:00" u="1"/>
        <d v="2025-04-11T09:56:00" u="1"/>
        <d v="2025-04-10T17:08:00" u="1"/>
        <d v="2025-04-10T15:27:00" u="1"/>
        <d v="2025-04-10T15:25:00" u="1"/>
        <d v="2025-04-10T19:23:00" u="1"/>
        <d v="2025-04-11T10:33:00" u="1"/>
        <d v="2025-04-11T08:11:00" u="1"/>
        <d v="2025-04-11T11:00:00" u="1"/>
        <d v="2025-04-11T07:35:00" u="1"/>
        <d v="2025-04-11T01:27:00" u="1"/>
        <d v="2025-04-10T13:50:00" u="1"/>
        <d v="2025-04-11T13:34:00" u="1"/>
        <d v="2025-04-11T11:43:00" u="1"/>
        <d v="2025-04-11T12:11:00" u="1"/>
        <d v="2025-04-11T10:10:00" u="1"/>
        <d v="2025-04-11T14:16:00" u="1"/>
        <d v="2025-04-11T12:47:00" u="1"/>
        <d v="2025-04-11T13:36:00" u="1"/>
        <d v="2025-04-11T14:10:00" u="1"/>
        <d v="2025-04-10T19:37:00" u="1"/>
        <d v="2025-04-10T07:45:00" u="1"/>
        <d v="2025-04-11T13:47:00" u="1"/>
        <d v="2025-04-11T14:28:00" u="1"/>
        <d v="2025-04-11T06:54:00" u="1"/>
        <d v="2025-04-11T06:58:00" u="1"/>
        <d v="2025-04-11T07:03:00" u="1"/>
        <d v="2025-04-11T07:10:00" u="1"/>
        <d v="2025-04-11T07:15:00" u="1"/>
        <d v="2025-04-11T07:21:00" u="1"/>
        <d v="2025-04-11T15:22:00" u="1"/>
        <d v="2025-04-11T14:54:00" u="1"/>
        <d v="2025-04-11T05:51:00" u="1"/>
        <d v="2025-04-11T11:21:00" u="1"/>
        <d v="2025-04-10T06:19:00" u="1"/>
        <d v="2025-04-10T08:01:00" u="1"/>
        <d v="2025-04-11T19:01:00" u="1"/>
        <d v="2025-04-11T13:58:00" u="1"/>
        <d v="2025-04-11T12:02:00" u="1"/>
        <d v="2025-04-11T12:14:00" u="1"/>
        <d v="2025-04-11T14:13:00" u="1"/>
        <d v="2025-04-11T14:50:00" u="1"/>
        <d v="2025-04-11T16:00:00" u="1"/>
        <d v="2025-04-11T13:31:00" u="1"/>
        <d v="2025-04-11T16:51:00" u="1"/>
        <d v="2025-04-11T15:10:00" u="1"/>
        <d v="2025-04-11T16:26:00" u="1"/>
        <d v="2025-04-11T17:40:00" u="1"/>
        <d v="2025-04-11T17:26:00" u="1"/>
        <d v="2025-04-11T17:42:00" u="1"/>
        <d v="2025-04-11T16:09:00" u="1"/>
        <d v="2025-04-11T16:04:00" u="1"/>
        <d v="2025-04-11T14:42:00" u="1"/>
        <d v="2025-04-11T16:53:00" u="1"/>
        <d v="2025-04-11T14:46:00" u="1"/>
        <d v="2025-04-11T17:48:00" u="1"/>
        <d v="2025-04-11T21:59:00" u="1"/>
        <d v="2025-04-10T09:01:00" u="1"/>
        <d v="2025-04-12T22:07:00" u="1"/>
        <d v="2025-04-11T07:08:00" u="1"/>
        <d v="2025-04-13T20:57:00" u="1"/>
        <d v="2025-04-09T17:05:00" u="1"/>
        <d v="2025-04-09T14:44:00" u="1"/>
        <d v="2025-04-08T17:41:00" u="1"/>
        <d v="2025-04-10T22:44:00" u="1"/>
        <d v="2025-04-10T10:15:00" u="1"/>
        <d v="2025-04-09T11:23:00" u="1"/>
        <d v="2025-04-09T17:46:00" u="1"/>
        <d v="2025-04-10T10:09:00" u="1"/>
        <d v="2025-04-08T18:38:00" u="1"/>
        <d v="2025-03-31T17:34:00" u="1"/>
        <d v="2025-04-08T17:01:00" u="1"/>
        <d v="2025-03-10T13:36:00" u="1"/>
        <d v="2025-03-25T10:23:00" u="1"/>
        <d v="2025-04-07T15:08:00" u="1"/>
        <d v="2025-03-20T09:51:00" u="1"/>
        <d v="2025-04-09T18:45:00" u="1"/>
        <d v="2025-04-09T14:19:00" u="1"/>
        <d v="2025-04-07T15:22:00" u="1"/>
        <d v="2025-04-08T09:21:00" u="1"/>
        <d v="2025-04-09T14:04:00" u="1"/>
        <d v="2025-04-09T10:41:00" u="1"/>
        <d v="2025-04-04T15:13:00" u="1"/>
        <d v="2025-04-09T18:42:00" u="1"/>
        <d v="2025-04-08T11:13:00" u="1"/>
        <d v="2025-04-08T12:18:00" u="1"/>
        <d v="2025-04-08T13:00:00" u="1"/>
        <d v="2025-04-10T08:21:00" u="1"/>
        <d v="2025-04-09T11:01:00" u="1"/>
        <d v="2025-04-09T16:19:00" u="1"/>
        <d v="2025-04-10T17:55:00" u="1"/>
        <d v="2025-04-10T17:29:00" u="1"/>
        <d v="2025-04-08T10:27:00" u="1"/>
        <d v="2025-03-24T14:05:00" u="1"/>
        <d v="2025-04-01T16:55:00" u="1"/>
        <d v="2025-03-20T18:59:00" u="1"/>
        <d v="2025-04-02T11:18:00" u="1"/>
        <d v="2025-04-10T17:45:00" u="1"/>
        <d v="2025-04-09T14:55:00" u="1"/>
        <d v="2025-04-09T14:57:00" u="1"/>
        <d v="2025-04-09T22:04:00" u="1"/>
        <d v="2025-04-08T16:49:00" u="1"/>
        <d v="2025-04-08T16:51:00" u="1"/>
        <d v="2025-04-08T17:37:00" u="1"/>
        <d v="2025-04-09T21:43:00" u="1"/>
        <d v="2025-04-08T15:58:00" u="1"/>
        <d v="2025-03-31T13:49:00" u="1"/>
        <d v="2025-04-09T19:57:00" u="1"/>
        <d v="2025-04-10T07:35:00" u="1"/>
        <d v="2025-04-10T07:37:00" u="1"/>
        <d v="2025-04-10T08:00:00" u="1"/>
        <d v="2025-04-10T08:05:00" u="1"/>
        <d v="2025-04-10T14:37:00" u="1"/>
        <d v="2025-04-02T09:26:00" u="1"/>
        <d v="2025-04-09T14:24:00" u="1"/>
        <d v="2025-04-09T09:46:00" u="1"/>
        <d v="2025-04-09T12:58:00" u="1"/>
        <d v="2025-04-09T13:56:00" u="1"/>
        <d v="2025-04-09T09:34:00" u="1"/>
        <d v="2025-04-09T08:34:00" u="1"/>
        <d v="2025-04-10T15:10:00" u="1"/>
        <d v="2025-04-10T13:20:00" u="1"/>
        <d v="2025-04-08T13:21:00" u="1"/>
        <d v="2025-04-10T10:57:00" u="1"/>
        <d v="2025-04-10T14:48:00" u="1"/>
        <d v="2025-04-10T15:04:00" u="1"/>
        <d v="2025-04-09T07:59:00" u="1"/>
        <d v="2025-04-10T07:42:00" u="1"/>
        <d v="2025-04-09T07:34:00" u="1"/>
        <d v="2025-04-08T14:13:00" u="1"/>
        <d v="2025-04-08T14:34:00" u="1"/>
        <d v="2025-04-08T15:40:00" u="1"/>
        <d v="2025-04-09T08:04:00" u="1"/>
        <d v="2025-04-09T08:14:00" u="1"/>
        <d v="2025-04-09T07:39:00" u="1"/>
        <d v="2025-04-09T08:50:00" u="1"/>
        <d v="2025-04-10T09:14:00" u="1"/>
        <d v="2025-04-04T13:35:00" u="1"/>
        <d v="2025-04-07T12:45:00" u="1"/>
        <d v="2025-04-10T17:05:00" u="1"/>
        <d v="2025-04-10T15:12:00" u="1"/>
        <d v="2025-04-09T06:15:00" u="1"/>
        <d v="2025-04-10T12:05:00" u="1"/>
        <d v="2025-04-10T07:50:00" u="1"/>
        <d v="2025-04-10T13:42:00" u="1"/>
        <d v="2025-04-10T13:34:00" u="1"/>
        <d v="2025-04-03T13:25:00" u="1"/>
        <d v="2025-04-10T03:06:00" u="1"/>
        <d v="2025-04-09T19:58:00" u="1"/>
        <d v="2025-03-21T18:55:00" u="1"/>
        <d v="2025-04-10T08:12:00" u="1"/>
        <d v="2025-04-10T12:04:00" u="1"/>
        <d v="2025-04-09T11:03:00" u="1"/>
        <d v="2025-04-09T10:05:00" u="1"/>
        <d v="2025-04-08T16:30:00" u="1"/>
        <d v="2025-04-08T16:29:00" u="1"/>
        <d v="2025-04-08T14:16:00" u="1"/>
        <d v="2025-04-10T17:09:00" u="1"/>
        <d v="2025-04-10T16:15:00" u="1"/>
        <d v="2025-04-10T12:24:00" u="1"/>
        <d v="2025-04-09T18:34:00" u="1"/>
        <d v="2025-04-09T18:14:00" u="1"/>
        <d v="2025-04-09T18:32:00" u="1"/>
        <d v="2025-04-10T16:21:00" u="1"/>
        <d v="2025-04-10T16:24:00" u="1"/>
        <d v="2025-04-09T13:38:00" u="1"/>
        <d v="2025-04-09T19:10:00" u="1"/>
        <d v="2025-04-08T16:13:00" u="1"/>
        <d v="2025-04-09T14:53:00" u="1"/>
        <d v="2025-04-06T13:16:00" u="1"/>
        <d v="2025-04-07T07:35:00" u="1"/>
        <d v="2025-04-09T10:50:00" u="1"/>
        <d v="2025-04-09T19:01:00" u="1"/>
        <d v="2025-04-08T11:06:00" u="1"/>
        <d v="2025-04-08T09:20:00" u="1"/>
        <d v="2025-04-10T21:16:00" u="1"/>
        <d v="2025-04-10T21:00:00" u="1"/>
        <d v="2025-04-09T18:59:00" u="1"/>
        <d v="2025-04-09T16:27:00" u="1"/>
        <d v="2025-04-09T17:33:00" u="1"/>
        <d v="2025-04-09T14:26:00" u="1"/>
        <d v="2025-04-08T10:36:00" u="1"/>
        <d v="2025-04-08T08:34:00" u="1"/>
        <d v="2025-04-08T08:54:00" u="1"/>
        <d v="2025-04-10T18:04:00" u="1"/>
        <d v="2025-04-10T15:18:00" u="1"/>
        <d v="2025-04-08T15:14:00" u="1"/>
        <d v="2025-04-08T13:06:00" u="1"/>
        <d v="2025-03-25T17:38:00" u="1"/>
        <d v="2025-04-10T06:41:00" u="1"/>
        <d v="2025-04-09T12:41:00" u="1"/>
        <d v="2025-04-05T07:42:00" u="1"/>
        <d v="2025-04-08T11:33:00" u="1"/>
        <d v="2025-04-08T10:21:00" u="1"/>
        <d v="2025-04-09T21:42:00" u="1"/>
        <d v="2025-04-09T21:41:00" u="1"/>
        <d v="2025-04-09T18:25:00" u="1"/>
        <d v="2025-04-09T14:56:00" u="1"/>
        <d v="2025-04-09T14:54:00" u="1"/>
        <d v="2025-04-09T11:25:00" u="1"/>
        <d v="2025-04-08T17:40:00" u="1"/>
        <d v="2025-04-08T14:29:00" u="1"/>
        <d v="2025-04-08T17:39:00" u="1"/>
        <d v="2025-04-10T16:22:00" u="1"/>
        <d v="2025-04-10T17:35:00" u="1"/>
        <d v="2024-07-30T16:32:00" u="1"/>
        <d v="2025-03-31T17:48:00" u="1"/>
        <d v="2025-02-18T13:35:00" u="1"/>
        <d v="2025-03-28T18:03:00" u="1"/>
        <d v="2025-04-09T11:54:00" u="1"/>
        <d v="2025-04-07T18:49:00" u="1"/>
        <d v="2025-03-30T18:23:00" u="1"/>
        <d v="2025-04-08T18:40:00" u="1"/>
        <d v="2024-12-13T15:44:00" u="1"/>
        <d v="2025-02-27T07:38:00" u="1"/>
        <d v="2025-02-27T10:58:00" u="1"/>
        <d v="2025-03-07T12:42:00" u="1"/>
        <d v="2025-02-28T07:40:00" u="1"/>
        <d v="2025-02-26T18:13:00" u="1"/>
        <d v="2025-02-21T06:02:00" u="1"/>
        <d v="2025-02-21T07:16:00" u="1"/>
        <d v="2025-02-21T08:19:00" u="1"/>
        <d v="2025-02-21T08:43:00" u="1"/>
        <d v="2025-02-21T09:37:00" u="1"/>
        <d v="2025-02-21T11:57:00" u="1"/>
        <d v="2025-02-21T12:49:00" u="1"/>
        <d v="2025-02-21T13:12:00" u="1"/>
        <d v="2025-02-24T06:44:00" u="1"/>
        <d v="2025-02-24T06:53:00" u="1"/>
        <d v="2025-02-24T11:35:00" u="1"/>
        <d v="2025-02-24T14:40:00" u="1"/>
        <d v="2025-02-25T04:50:00" u="1"/>
        <d v="2025-02-25T06:43:00" u="1"/>
        <d v="2025-02-25T06:55:00" u="1"/>
        <d v="2025-02-25T07:23:00" u="1"/>
        <d v="2025-02-25T07:56:00" u="1"/>
        <d v="2025-02-25T08:41:00" u="1"/>
        <d v="2025-02-25T11:44:00" u="1"/>
        <d v="2025-03-25T10:09:00" u="1"/>
        <d v="2025-03-25T09:44:00" u="1"/>
        <d v="2025-03-11T09:01:00" u="1"/>
        <d v="2025-02-04T11:40:00" u="1"/>
        <d v="2025-02-27T00:00:00" u="1"/>
        <d v="2024-12-11T08:07:00" u="1"/>
        <d v="2025-04-09T00:00:00" u="1"/>
        <d v="2025-01-14T11:54:00" u="1"/>
        <d v="2025-01-10T15:06:00" u="1"/>
        <d v="2025-01-10T15:19:00" u="1"/>
        <d v="2025-02-10T10:48:00" u="1"/>
        <d v="2025-04-09T11:27:00" u="1"/>
        <d v="2025-03-24T09:47:00" u="1"/>
        <d v="2025-03-26T18:36:00" u="1"/>
        <d v="2025-03-28T12:08:00" u="1"/>
        <d v="2025-04-03T12:39:00" u="1"/>
        <d v="2025-04-04T17:13:00" u="1"/>
        <d v="2025-04-08T14:08:00" u="1"/>
        <d v="2025-04-07T15:01:00" u="1"/>
        <d v="2025-04-01T12:36:00" u="1"/>
        <d v="2025-04-02T12:02:00" u="1"/>
        <d v="2025-04-02T11:14:00" u="1"/>
        <d v="2025-04-02T11:17:00" u="1"/>
        <d v="2025-04-01T18:24:00" u="1"/>
        <d v="2025-04-01T16:32:00" u="1"/>
        <d v="2025-04-01T16:07:00" u="1"/>
        <d v="2025-04-01T14:40:00" u="1"/>
        <d v="2025-04-01T14:38:00" u="1"/>
        <d v="2025-04-07T09:45:00" u="1"/>
        <d v="2025-03-27T13:14:00" u="1"/>
        <d v="2025-04-09T12:39:00" u="1"/>
        <d v="2025-04-04T09:29:00" u="1"/>
        <d v="2025-04-04T10:59:00" u="1"/>
        <d v="2025-04-04T16:08:00" u="1"/>
        <d v="2025-04-03T10:39:00" u="1"/>
        <d v="2025-03-17T15:52:00" u="1"/>
        <d v="2025-03-12T16:18:00" u="1"/>
        <d v="2025-03-12T16:43:00" u="1"/>
        <d v="2025-03-24T20:25:00" u="1"/>
        <d v="2025-02-26T17:55:00" u="1"/>
        <d v="2025-02-19T18:05:00" u="1"/>
        <d v="2025-04-01T15:31:00" u="1"/>
        <d v="2025-04-09T07:00:00" u="1"/>
        <d v="2025-04-09T14:13:00" u="1"/>
        <d v="2025-03-28T07:00:00" u="1"/>
        <d v="2025-03-27T12:44:00" u="1"/>
        <d v="2025-03-31T09:56:00" u="1"/>
        <d v="2025-04-09T07:46:00" u="1"/>
        <d v="2025-04-09T13:27:00" u="1"/>
        <d v="2025-04-04T16:29:00" u="1"/>
        <d v="2025-04-07T18:11:00" u="1"/>
        <d v="2025-04-08T13:14:00" u="1"/>
        <d v="2025-03-12T18:13:00" u="1"/>
        <d v="2025-03-27T10:05:00" u="1"/>
        <d v="2025-03-06T11:11:00" u="1"/>
        <d v="2025-01-22T00:00:00" u="1"/>
        <d v="2025-04-01T19:00:00" u="1"/>
        <d v="2025-03-26T11:27:00" u="1"/>
        <d v="2025-04-09T23:00:00" u="1"/>
        <d v="2025-04-09T09:31:00" u="1"/>
        <d v="2025-04-09T17:24:00" u="1"/>
        <d v="2025-04-04T08:53:00" u="1"/>
        <d v="2025-04-02T16:54:00" u="1"/>
        <d v="2025-04-01T16:39:00" u="1"/>
        <d v="2025-04-09T18:52:00" u="1"/>
        <d v="2025-04-07T10:44:00" u="1"/>
        <d v="2025-04-04T06:47:00" u="1"/>
        <d v="2025-04-08T05:25:00" u="1"/>
        <d v="2025-04-02T10:37:00" u="1"/>
        <d v="2025-03-26T07:49:00" u="1"/>
        <d v="2025-03-26T08:04:00" u="1"/>
        <d v="2025-03-14T15:21:00" u="1"/>
        <d v="2025-04-08T17:12:00" u="1"/>
        <d v="2025-04-07T18:31:00" u="1"/>
        <d v="2025-04-09T17:32:00" u="1"/>
        <d v="2025-04-07T18:58:00" u="1"/>
        <d v="2025-04-07T18:45:00" u="1"/>
        <d v="2025-03-31T14:12:00" u="1"/>
        <d v="2025-03-25T08:28:00" u="1"/>
        <d v="2025-03-25T07:25:00" u="1"/>
        <d v="2025-01-23T15:18:00" u="1"/>
        <d v="2025-04-09T16:28:00" u="1"/>
        <d v="2025-03-19T12:34:00" u="1"/>
        <d v="2025-03-19T12:33:00" u="1"/>
        <d v="2025-04-01T15:59:00" u="1"/>
        <d v="2025-04-08T16:27:00" u="1"/>
        <d v="2025-04-08T16:25:00" u="1"/>
        <d v="2025-04-08T16:22:00" u="1"/>
        <d v="2025-04-08T09:03:00" u="1"/>
        <d v="2025-03-24T17:26:00" u="1"/>
        <d v="2025-04-02T15:57:00" u="1"/>
        <d v="2025-03-28T18:00:00" u="1"/>
        <d v="2025-03-28T09:00:00" u="1"/>
        <d v="2025-03-31T15:52:00" u="1"/>
        <d v="2025-04-07T06:57:00" u="1"/>
        <d v="2025-04-07T13:30:00" u="1"/>
        <d v="2025-03-21T09:03:00" u="1"/>
        <d v="2025-04-09T15:22:00" u="1"/>
        <d v="2025-03-26T11:56:00" u="1"/>
        <d v="2025-04-01T13:41:00" u="1"/>
        <d v="2025-04-06T17:50:00" u="1"/>
        <d v="2025-04-06T17:53:00" u="1"/>
        <d v="2025-04-06T17:54:00" u="1"/>
        <d v="2025-04-06T17:56:00" u="1"/>
        <d v="2025-04-06T17:57:00" u="1"/>
        <d v="2025-03-25T23:08:00" u="1"/>
        <d v="2025-03-27T09:32:00" u="1"/>
        <d v="2025-03-07T15:25:00" u="1"/>
        <d v="2025-02-28T16:27:00" u="1"/>
        <d v="2025-03-06T14:55:00" u="1"/>
        <d v="2025-03-10T14:00:00" u="1"/>
        <d v="2025-03-12T10:56:00" u="1"/>
        <d v="2025-02-27T11:15:00" u="1"/>
        <d v="2025-03-28T13:00:00" u="1"/>
        <d v="2025-03-28T13:36:00" u="1"/>
        <d v="2025-03-28T14:20:00" u="1"/>
        <d v="2025-04-06T14:45:00" u="1"/>
        <d v="2025-04-06T17:46:00" u="1"/>
        <d v="2025-04-06T17:48:00" u="1"/>
        <d v="2025-04-04T10:17:00" u="1"/>
        <d v="2025-04-04T09:45:00" u="1"/>
        <d v="2025-04-09T23:55:00" u="1"/>
        <d v="2025-03-05T15:51:00" u="1"/>
        <d v="2025-04-08T16:06:00" u="1"/>
        <d v="2025-04-03T15:08:00" u="1"/>
        <d v="2025-04-03T15:06:00" u="1"/>
        <d v="2025-04-03T15:03:00" u="1"/>
        <d v="2025-03-19T16:19:00" u="1"/>
        <d v="2025-03-25T18:23:00" u="1"/>
        <d v="2025-03-19T15:16:00" u="1"/>
        <d v="2025-04-09T15:14:00" u="1"/>
        <d v="2025-04-08T10:50:00" u="1"/>
        <d v="2025-04-08T17:24:00" u="1"/>
        <d v="2025-03-21T18:35:00" u="1"/>
        <d v="2025-04-09T14:15:00" u="1"/>
        <d v="2025-03-19T13:37:00" u="1"/>
        <d v="2025-04-01T15:06:00" u="1"/>
        <d v="2025-03-22T08:22:00" u="1"/>
        <d v="2025-03-26T09:38:00" u="1"/>
        <d v="2025-03-21T17:14:00" u="1"/>
        <d v="2025-04-08T09:51:00" u="1"/>
        <d v="2025-03-27T15:11:00" u="1"/>
        <d v="2025-03-17T15:28:00" u="1"/>
        <d v="2025-03-31T15:12:00" u="1"/>
        <d v="2025-03-17T12:25:00" u="1"/>
        <d v="2025-03-19T12:02:00" u="1"/>
        <d v="2025-03-17T14:04:00" u="1"/>
        <d v="2025-04-08T12:32:00" u="1"/>
        <d v="2025-04-09T21:35:00" u="1"/>
        <d v="2025-03-31T17:50:00" u="1"/>
        <d v="2025-03-31T09:53:00" u="1"/>
        <d v="2025-03-31T09:50:00" u="1"/>
        <d v="2025-03-28T09:43:00" u="1"/>
        <d v="2025-04-01T12:29:00" u="1"/>
        <d v="2025-03-11T07:28:00" u="1"/>
        <d v="2025-04-08T05:21:00" u="1"/>
        <d v="2025-04-07T23:07:00" u="1"/>
        <d v="2025-04-07T23:10:00" u="1"/>
        <d v="2025-02-19T10:38:00" u="1"/>
        <d v="2025-04-08T18:53:00" u="1"/>
        <d v="2025-04-09T09:14:00" u="1"/>
        <d v="2025-04-09T15:35:00" u="1"/>
        <d v="2025-04-09T18:08:00" u="1"/>
        <d v="2025-04-09T18:20:00" u="1"/>
        <d v="2025-04-09T18:27:00" u="1"/>
        <d v="2025-04-09T18:35:00" u="1"/>
        <d v="2025-03-17T09:39:00" u="1"/>
        <d v="2025-03-26T18:32:00" u="1"/>
        <d v="2025-04-08T10:53:00" u="1"/>
        <d v="2025-04-01T12:07:00" u="1"/>
        <d v="2025-04-06T09:53:00" u="1"/>
        <d v="2025-04-04T15:31:00" u="1"/>
        <d v="2025-03-19T09:12:00" u="1"/>
        <d v="2025-04-04T15:17:00" u="1"/>
        <d v="2025-04-03T12:58:00" u="1"/>
        <d v="2025-04-03T07:18:00" u="1"/>
        <d v="2025-04-09T13:52:00" u="1"/>
        <d v="2025-02-11T06:23:00" u="1"/>
        <d v="2025-02-11T06:17:00" u="1"/>
        <d v="2025-02-11T06:26:00" u="1"/>
        <d v="2025-02-11T06:29:00" u="1"/>
        <d v="2025-02-11T06:33:00" u="1"/>
        <d v="2025-02-11T06:36:00" u="1"/>
        <d v="2025-04-09T11:38:00" u="1"/>
        <d v="2025-03-05T12:36:00" u="1"/>
        <d v="2025-04-09T15:29:00" u="1"/>
        <d v="2025-04-09T11:36:00" u="1"/>
        <d v="2025-04-09T11:55:00" u="1"/>
        <d v="2025-03-25T11:27:00" u="1"/>
        <d v="2025-04-08T14:09:00" u="1"/>
        <d v="2025-04-09T15:00:00" u="1"/>
        <d v="2024-12-19T15:22:00" u="1"/>
        <d v="2025-04-09T13:42:00" u="1"/>
        <d v="2025-03-19T05:53:00" u="1"/>
        <d v="2025-03-14T11:38:00" u="1"/>
        <d v="2025-04-09T12:11:00" u="1"/>
        <d v="2025-04-09T14:42:00" u="1"/>
        <d v="2025-04-08T14:07:00" u="1"/>
        <d v="2025-04-08T13:26:00" u="1"/>
        <d v="2025-04-08T09:41:00" u="1"/>
        <d v="2025-04-07T13:59:00" u="1"/>
        <d v="2025-04-07T14:07:00" u="1"/>
        <d v="2025-04-07T14:30:00" u="1"/>
        <d v="2025-04-04T14:22:00" u="1"/>
        <d v="2025-04-04T14:01:00" u="1"/>
        <d v="2025-04-03T12:14:00" u="1"/>
        <d v="2025-04-03T15:55:00" u="1"/>
        <d v="2025-04-02T11:45:00" u="1"/>
        <d v="2025-04-02T08:30:00" u="1"/>
        <d v="2025-04-03T12:41:00" u="1"/>
        <d v="2025-04-03T09:13:00" u="1"/>
        <d v="2025-04-01T15:09:00" u="1"/>
        <d v="2025-04-01T15:20:00" u="1"/>
        <d v="2025-04-01T15:29:00" u="1"/>
        <d v="2025-04-01T15:37:00" u="1"/>
        <d v="2025-04-01T15:48:00" u="1"/>
        <d v="2025-04-01T11:46:00" u="1"/>
        <d v="2025-04-01T12:51:00" u="1"/>
        <d v="2025-04-01T13:52:00" u="1"/>
        <d v="2025-04-01T14:05:00" u="1"/>
        <d v="2025-03-31T11:37:00" u="1"/>
        <d v="2025-04-09T14:16:00" u="1"/>
        <d v="2025-04-09T13:46:00" u="1"/>
        <d v="2025-04-02T11:57:00" u="1"/>
        <d v="2025-02-14T12:00:00" u="1"/>
        <d v="2025-03-07T20:03:00" u="1"/>
        <d v="2025-01-17T00:00:00" u="1"/>
        <d v="2025-04-09T08:46:00" u="1"/>
        <d v="2025-04-08T13:29:00" u="1"/>
        <d v="2025-04-01T09:38:00" u="1"/>
        <d v="2025-04-01T11:39:00" u="1"/>
        <d v="2025-03-25T13:02:00" u="1"/>
        <d v="2025-04-04T11:20:00" u="1"/>
        <d v="2025-04-07T08:05:00" u="1"/>
        <d v="2025-04-08T19:25:00" u="1"/>
        <d v="2025-04-03T11:40:00" u="1"/>
        <d v="2025-03-19T10:49:00" u="1"/>
        <d v="2025-03-06T15:10:00" u="1"/>
        <d v="2025-03-16T13:06:00" u="1"/>
        <d v="2025-03-06T15:51:00" u="1"/>
        <d v="2025-03-31T12:10:00" u="1"/>
        <d v="2025-03-12T13:51:00" u="1"/>
        <d v="2025-03-24T20:53:00" u="1"/>
        <d v="2025-04-09T17:13:00" u="1"/>
        <d v="2025-04-09T17:54:00" u="1"/>
        <d v="2025-04-09T16:12:00" u="1"/>
        <d v="2025-04-08T15:09:00" u="1"/>
        <d v="2025-02-17T10:52:00" u="1"/>
        <d v="2025-03-31T16:19:00" u="1"/>
        <d v="2025-03-31T16:21:00" u="1"/>
        <d v="2025-04-04T10:19:00" u="1"/>
        <d v="2025-04-09T11:48:00" u="1"/>
        <d v="2025-02-04T17:00:00" u="1"/>
        <d v="2025-03-25T08:41:00" u="1"/>
        <d v="2025-04-01T12:08:00" u="1"/>
        <d v="2025-03-27T11:22:00" u="1"/>
        <d v="2025-03-24T17:12:00" u="1"/>
        <d v="2025-04-01T16:36:00" u="1"/>
        <d v="2025-03-27T13:08:00" u="1"/>
        <d v="2025-04-01T16:50:00" u="1"/>
        <d v="2025-03-11T12:19:00" u="1"/>
        <d v="2025-04-09T14:40:00" u="1"/>
        <d v="2025-03-26T11:55:00" u="1"/>
        <d v="2025-03-12T18:12:00" u="1"/>
        <d v="2025-02-14T11:22:00" u="1"/>
        <d v="2025-02-18T15:46:00" u="1"/>
        <d v="2025-03-05T10:20:00" u="1"/>
        <d v="2025-02-20T15:59:00" u="1"/>
        <d v="2025-02-25T15:06:00" u="1"/>
        <d v="2025-02-27T08:09:00" u="1"/>
        <d v="2025-02-13T15:46:00" u="1"/>
        <d v="2025-01-23T17:59:00" u="1"/>
        <d v="2025-03-26T11:08:00" u="1"/>
        <d v="2025-03-28T11:13:00" u="1"/>
        <d v="2025-04-04T15:16:00" u="1"/>
        <d v="2025-04-02T12:15:00" u="1"/>
        <d v="2025-04-02T10:21:00" u="1"/>
        <d v="2025-03-27T15:37:00" u="1"/>
        <d v="2025-04-04T17:28:00" u="1"/>
        <d v="2025-03-31T12:36:00" u="1"/>
        <d v="2025-03-10T09:31:00" u="1"/>
        <d v="2025-03-07T19:14:00" u="1"/>
        <d v="2025-03-31T09:47:00" u="1"/>
        <d v="2025-02-13T14:50:00" u="1"/>
        <d v="2025-04-07T13:16:00" u="1"/>
        <d v="2025-03-13T12:36:00" u="1"/>
        <d v="2025-03-21T07:48:00" u="1"/>
        <d v="2025-04-09T15:18:00" u="1"/>
        <d v="2025-04-09T15:23:00" u="1"/>
        <d v="2025-04-02T06:44:00" u="1"/>
        <d v="2025-04-02T13:24:00" u="1"/>
        <d v="2025-04-02T13:43:00" u="1"/>
        <d v="2025-04-03T18:07:00" u="1"/>
        <d v="2025-04-03T18:09:00" u="1"/>
        <d v="2025-03-24T18:40:00" u="1"/>
        <d v="2025-04-03T19:00:00" u="1"/>
        <d v="2025-03-24T12:30:00" u="1"/>
        <d v="2025-03-24T12:40:00" u="1"/>
        <d v="2025-03-28T09:05:00" u="1"/>
        <d v="2025-04-08T17:10:00" u="1"/>
        <d v="2025-04-09T13:00:00" u="1"/>
        <d v="2025-04-09T14:07:00" u="1"/>
        <d v="2025-04-07T17:50:00" u="1"/>
        <d v="2025-03-19T06:15:00" u="1"/>
        <d v="2025-04-08T18:24:00" u="1"/>
        <d v="2025-03-28T10:02:00" u="1"/>
        <d v="2025-04-07T15:10:00" u="1"/>
        <d v="2025-04-04T17:39:00" u="1"/>
        <d v="2025-03-25T10:34:00" u="1"/>
        <d v="2025-04-04T16:31:00" u="1"/>
        <d v="2025-03-28T19:30:00" u="1"/>
        <d v="2025-04-03T12:25:00" u="1"/>
        <d v="2025-04-03T12:28:00" u="1"/>
        <d v="2025-04-04T16:19:00" u="1"/>
        <d v="2025-04-01T10:31:00" u="1"/>
        <d v="2025-04-01T10:23:00" u="1"/>
        <d v="2025-03-31T08:38:00" u="1"/>
        <d v="2025-04-02T07:38:00" u="1"/>
        <d v="2025-02-10T10:32:00" u="1"/>
        <d v="2025-03-28T16:10:00" u="1"/>
        <d v="2025-04-09T13:20:00" u="1"/>
        <d v="2025-03-24T13:26:00" u="1"/>
        <d v="2025-03-24T14:08:00" u="1"/>
        <d v="2025-04-08T11:48:00" u="1"/>
        <d v="2025-04-08T11:36:00" u="1"/>
        <d v="2025-04-02T13:04:00" u="1"/>
        <d v="2025-04-02T13:54:00" u="1"/>
        <d v="2025-04-02T14:10:00" u="1"/>
        <d v="2025-04-03T07:15:00" u="1"/>
        <d v="2025-04-08T07:43:00" u="1"/>
        <d v="2025-03-26T09:57:00" u="1"/>
        <d v="2025-04-08T09:42:00" u="1"/>
        <d v="2025-02-19T07:07:00" u="1"/>
        <d v="2025-02-17T10:22:00" u="1"/>
        <d v="2025-03-24T19:15:00" u="1"/>
        <d v="2025-04-08T17:31:00" u="1"/>
        <d v="2025-03-31T22:01:00" u="1"/>
        <d v="2025-04-08T13:11:00" u="1"/>
        <d v="2025-04-03T15:00:00" u="1"/>
        <d v="2025-04-07T11:05:00" u="1"/>
        <d v="2025-04-07T10:50:00" u="1"/>
        <d v="2025-04-08T13:38:00" u="1"/>
        <d v="2025-04-08T09:55:00" u="1"/>
        <d v="2025-03-24T10:04:00" u="1"/>
        <d v="2025-04-02T10:24:00" u="1"/>
        <d v="2025-04-02T14:46:00" u="1"/>
        <d v="2025-04-02T14:50:00" u="1"/>
        <d v="2025-04-08T10:01:00" u="1"/>
        <d v="2025-03-24T16:28:00" u="1"/>
        <d v="2025-03-28T15:36:00" u="1"/>
        <d v="2025-03-27T18:53:00" u="1"/>
        <d v="2025-03-27T17:14:00" u="1"/>
        <d v="2025-04-02T13:52:00" u="1"/>
        <d v="2025-04-02T14:05:00" u="1"/>
        <d v="2025-04-06T18:11:00" u="1"/>
        <d v="2025-04-07T03:05:00" u="1"/>
        <d v="2025-04-04T08:20:00" u="1"/>
        <d v="2025-04-04T08:18:00" u="1"/>
        <d v="2025-04-02T05:52:00" u="1"/>
        <d v="2025-04-08T01:10:00" u="1"/>
        <d v="2025-04-07T09:27:00" u="1"/>
        <d v="2025-03-31T14:23:00" u="1"/>
        <d v="2025-03-31T14:43:00" u="1"/>
        <d v="2025-03-28T09:11:00" u="1"/>
        <d v="2025-04-08T14:36:00" u="1"/>
        <d v="2025-04-08T16:33:00" u="1"/>
        <d v="2025-04-04T06:41:00" u="1"/>
        <d v="2025-04-01T16:31:00" u="1"/>
        <d v="2025-04-08T15:48:00" u="1"/>
        <d v="2025-04-01T19:19:00" u="1"/>
        <d v="2025-04-03T13:26:00" u="1"/>
        <d v="2025-04-03T08:32:00" u="1"/>
        <d v="2025-03-18T15:40:00" u="1"/>
        <d v="2025-04-02T12:49:00" u="1"/>
        <d v="2025-04-04T11:13:00" u="1"/>
        <d v="2025-04-04T12:28:00" u="1"/>
        <d v="2025-04-04T14:10:00" u="1"/>
        <d v="2025-04-04T14:21:00" u="1"/>
        <d v="2025-04-08T11:58:00" u="1"/>
        <d v="2025-04-08T05:49:00" u="1"/>
        <d v="2025-04-08T06:37:00" u="1"/>
        <d v="2025-04-08T04:37:00" u="1"/>
        <d v="2025-04-08T13:03:00" u="1"/>
        <d v="2025-03-31T15:40:00" u="1"/>
        <d v="2025-03-31T08:32:00" u="1"/>
        <d v="2025-04-03T13:14:00" u="1"/>
        <d v="2025-01-27T10:53:00" u="1"/>
        <d v="2025-04-08T14:24:00" u="1"/>
        <d v="2025-04-07T07:36:00" u="1"/>
        <d v="2025-04-07T15:07:00" u="1"/>
        <d v="2025-04-08T12:21:00" u="1"/>
        <d v="2025-03-31T16:18:00" u="1"/>
        <d v="2025-04-08T07:30:00" u="1"/>
        <d v="2025-04-08T07:32:00" u="1"/>
        <d v="2025-04-08T09:09:00" u="1"/>
        <d v="2025-04-08T09:58:00" u="1"/>
        <d v="2025-04-01T14:25:00" u="1"/>
        <d v="2025-04-08T13:18:00" u="1"/>
        <d v="2025-04-08T13:28:00" u="1"/>
        <d v="2025-04-03T09:57:00" u="1"/>
        <d v="2025-04-02T12:29:00" u="1"/>
        <d v="2025-04-05T10:40:00" u="1"/>
        <d v="2025-04-08T15:35:00" u="1"/>
        <d v="2025-04-08T09:36:00" u="1"/>
        <d v="2025-04-02T15:12:00" u="1"/>
        <d v="2025-04-02T15:40:00" u="1"/>
        <d v="2025-04-04T11:46:00" u="1"/>
        <d v="2025-03-25T12:43:00" u="1"/>
        <d v="2025-04-04T17:38:00" u="1"/>
        <d v="2025-04-04T17:41:00" u="1"/>
        <d v="2025-03-13T12:15:00" u="1"/>
        <d v="2025-03-13T12:16:00" u="1"/>
        <d v="2025-04-07T18:14:00" u="1"/>
        <d v="2025-04-08T09:19:00" u="1"/>
        <d v="2025-04-08T14:48:00" u="1"/>
        <d v="2025-04-04T17:18:00" u="1"/>
        <d v="2025-04-04T19:18:00" u="1"/>
        <d v="2025-04-07T18:53:00" u="1"/>
        <d v="2025-04-02T19:15:00" u="1"/>
        <d v="2025-03-28T08:50:00" u="1"/>
        <d v="2025-04-07T18:24:00" u="1"/>
        <d v="2025-04-04T18:14:00" u="1"/>
        <d v="2025-03-24T08:52:00" u="1"/>
        <d v="2025-04-01T18:30:00" u="1"/>
        <d v="2025-04-07T18:38:00" u="1"/>
        <d v="2025-03-24T12:14:00" u="1"/>
        <d v="2025-04-01T06:31:00" u="1"/>
        <d v="2025-04-07T11:55:00" u="1"/>
        <d v="2025-04-04T12:52:00" u="1"/>
        <d v="2025-02-14T10:19:00" u="1"/>
        <d v="2025-04-07T06:32:00" u="1"/>
        <d v="2025-04-07T09:21:00" u="1"/>
        <d v="2025-04-07T09:32:00" u="1"/>
        <d v="2025-04-01T15:05:00" u="1"/>
        <d v="2025-04-07T14:08:00" u="1"/>
        <d v="2025-04-04T08:47:00" u="1"/>
        <d v="2025-04-04T18:59:00" u="1"/>
        <d v="2025-03-31T11:00:00" u="1"/>
        <d v="2025-04-02T04:33:17" u="1"/>
        <d v="2025-04-02T18:24:00" u="1"/>
        <d v="2025-04-02T18:09:00" u="1"/>
        <d v="2025-04-04T13:16:00" u="1"/>
        <d v="2025-04-02T10:51:00" u="1"/>
        <d v="2025-04-04T13:08:00" u="1"/>
        <d v="2025-04-02T18:05:00" u="1"/>
        <d v="2025-04-02T10:17:00" u="1"/>
        <d v="2025-04-03T16:13:00" u="1"/>
        <d v="2025-04-07T08:45:00" u="1"/>
        <d v="2025-04-03T15:44:00" u="1"/>
        <d v="2025-04-07T15:34:00" u="1"/>
        <d v="2025-04-01T15:33:00" u="1"/>
        <d v="2025-04-07T14:11:00" u="1"/>
        <d v="2025-04-03T09:23:00" u="1"/>
        <d v="2025-04-03T13:15:00" u="1"/>
        <d v="2025-04-07T15:37:00" u="1"/>
        <d v="2025-04-07T14:21:00" u="1"/>
        <d v="2025-04-07T14:09:00" u="1"/>
        <d v="2025-04-07T21:30:00" u="1"/>
        <d v="2025-04-07T21:32:00" u="1"/>
        <d v="2025-04-07T21:31:00" u="1"/>
        <d v="2025-04-07T21:38:00" u="1"/>
        <d v="2025-04-04T09:25:00" u="1"/>
        <d v="2025-04-07T18:09:00" u="1"/>
        <d v="2025-04-02T11:13:00" u="1"/>
        <d v="2025-04-01T18:18:00" u="1"/>
        <d v="2025-04-01T16:15:00" u="1"/>
        <d v="2025-04-07T13:56:00" u="1"/>
        <d v="2025-04-07T13:53:00" u="1"/>
        <d v="2025-04-04T13:21:00" u="1"/>
        <d v="2025-04-07T19:25:00" u="1"/>
        <d v="2025-04-07T17:33:00" u="1"/>
        <d v="2025-04-07T17:18:00" u="1"/>
        <d v="2025-04-07T13:00:00" u="1"/>
        <d v="2025-03-19T16:46:00" u="1"/>
        <d v="2025-04-03T11:51:00" u="1"/>
        <d v="2025-04-07T12:12:00" u="1"/>
        <d v="2025-04-04T14:07:00" u="1"/>
        <d v="2025-04-07T16:16:00" u="1"/>
        <d v="2025-04-07T14:36:00" u="1"/>
        <d v="2025-04-07T12:03:00" u="1"/>
        <d v="2025-04-07T14:24:00" u="1"/>
        <d v="2025-04-02T14:03:00" u="1"/>
        <d v="2025-04-02T14:12:00" u="1"/>
        <d v="2025-04-03T13:27:00" u="1"/>
        <d v="2025-04-02T13:55:00" u="1"/>
        <d v="2025-04-07T15:32:00" u="1"/>
        <d v="2025-04-07T15:17:00" u="1"/>
        <d v="2025-04-07T08:30:00" u="1"/>
        <d v="2025-04-02T13:29:00" u="1"/>
        <d v="2025-04-02T14:42:00" u="1"/>
        <d v="2025-04-03T07:35:00" u="1"/>
        <d v="2025-04-03T07:47:00" u="1"/>
        <d v="2025-04-03T08:03:00" u="1"/>
        <d v="2025-04-03T08:15:00" u="1"/>
        <d v="2025-04-03T11:01:00" u="1"/>
        <d v="2025-04-04T07:59:00" u="1"/>
        <d v="2025-04-04T08:41:00" u="1"/>
        <d v="2025-04-07T12:00:00" u="1"/>
        <d v="2025-04-07T12:09:00" u="1"/>
        <d v="2025-04-07T08:25:00" u="1"/>
        <d v="2025-04-07T12:20:00" u="1"/>
        <d v="2025-04-03T08:19:00" u="1"/>
        <d v="2025-04-07T16:00:00" u="1"/>
        <d v="2025-04-07T14:59:00" u="1"/>
        <d v="2025-04-07T08:23:00" u="1"/>
        <d v="2025-04-07T13:49:00" u="1"/>
        <d v="2025-04-04T13:24:00" u="1"/>
        <d v="2025-04-07T13:31:00" u="1"/>
        <d v="2025-04-07T12:34:00" u="1"/>
        <d v="2025-04-07T07:00:00" u="1"/>
        <d v="2025-04-07T10:05:00" u="1"/>
        <d v="2025-04-07T15:12:00" u="1"/>
        <d v="2025-03-26T10:56:00" u="1"/>
        <d v="2025-04-04T11:47:00" u="1"/>
        <d v="2025-03-17T00:00:00" u="1"/>
        <d v="2025-04-02T17:32:00" u="1"/>
        <d v="2025-04-07T11:43:00" u="1"/>
        <d v="2025-04-07T11:18:00" u="1"/>
        <d v="2025-04-01T10:25:00" u="1"/>
        <d v="2025-03-27T22:00:00" u="1"/>
        <d v="2025-04-02T19:32:00" u="1"/>
        <d v="2025-04-01T16:16:00" u="1"/>
        <d v="2025-04-07T16:26:00" u="1"/>
        <d v="2025-04-02T18:26:00" u="1"/>
        <d v="2025-04-07T10:43:00" u="1"/>
        <d v="2025-04-03T18:00:00" u="1"/>
        <d v="2025-04-04T12:38:00" u="1"/>
        <d v="2025-02-21T16:02:00" u="1"/>
        <d v="2025-02-21T15:58:00" u="1"/>
        <d v="2025-02-21T15:55:00" u="1"/>
        <d v="2025-02-21T16:11:00" u="1"/>
        <d v="2025-02-21T16:07:00" u="1"/>
        <d v="2025-03-14T17:43:00" u="1"/>
        <d v="2025-04-07T15:00:00" u="1"/>
        <d v="2025-04-07T13:41:00" u="1"/>
        <d v="2025-04-02T15:32:00" u="1"/>
        <d v="2025-04-04T11:23:00" u="1"/>
        <d v="2025-04-01T18:38:00" u="1"/>
        <d v="2025-04-07T13:10:00" u="1"/>
        <d v="2025-04-04T11:39:00" u="1"/>
        <d v="2025-04-02T15:33:00" u="1"/>
        <d v="2025-04-07T13:36:00" u="1"/>
        <d v="2025-04-07T20:23:00" u="1"/>
        <d v="2025-03-20T08:57:00" u="1"/>
        <d v="2025-04-04T18:05:00" u="1"/>
        <d v="2025-04-04T18:01:00" u="1"/>
        <d v="2025-03-31T11:32:00" u="1"/>
        <d v="2025-03-31T11:41:00" u="1"/>
        <d v="2025-03-31T11:38:00" u="1"/>
        <d v="2025-04-01T18:11:00" u="1"/>
        <d v="2025-04-07T15:53:00" u="1"/>
        <d v="2025-04-07T07:34:00" u="1"/>
        <d v="2025-01-28T11:59:00" u="1"/>
        <d v="2025-04-06T18:24:00" u="1"/>
        <d v="2025-03-12T11:11:00" u="1"/>
        <d v="2025-04-02T04:24:00" u="1"/>
        <d v="2025-03-21T23:03:00" u="1"/>
        <d v="2025-04-01T09:08:00" u="1"/>
        <d v="2025-04-01T09:11:00" u="1"/>
        <d v="2025-04-02T11:38:00" u="1"/>
        <d v="2025-04-06T11:31:00" u="1"/>
        <d v="2025-04-06T11:32:00" u="1"/>
        <d v="2025-04-06T20:58:00" u="1"/>
        <d v="2025-04-04T12:36:00" u="1"/>
        <d v="2025-04-04T05:29:00" u="1"/>
        <d v="2025-04-04T17:40:00" u="1"/>
        <d v="2025-03-18T06:28:00" u="1"/>
        <d v="2025-04-04T13:34:00" u="1"/>
        <d v="2025-03-11T08:17:00" u="1"/>
        <d v="2025-03-27T14:12:00" u="1"/>
        <d v="2025-03-27T14:30:00" u="1"/>
        <d v="2025-03-27T09:21:00" u="1"/>
        <d v="2025-04-04T10:45:00" u="1"/>
        <d v="2025-03-28T16:02:00" u="1"/>
        <d v="2025-04-02T12:28:00" u="1"/>
        <d v="2025-04-01T12:20:00" u="1"/>
        <d v="2025-04-01T17:28:00" u="1"/>
        <d v="2025-03-25T16:17:00" u="1"/>
        <d v="2025-03-21T16:16:00" u="1"/>
        <d v="2025-04-04T15:57:00" u="1"/>
        <d v="2025-04-04T09:02:00" u="1"/>
        <d v="2025-04-01T08:45:00" u="1"/>
        <d v="2025-04-01T14:02:00" u="1"/>
        <d v="2025-04-02T08:51:00" u="1"/>
        <d v="2025-04-04T17:23:00" u="1"/>
        <d v="2025-04-03T17:17:00" u="1"/>
        <d v="2025-04-02T16:59:00" u="1"/>
        <d v="2025-04-02T16:20:00" u="1"/>
        <d v="2025-04-03T16:17:00" u="1"/>
        <d v="2025-04-01T13:34:00" u="1"/>
        <d v="2025-04-02T11:07:00" u="1"/>
        <d v="2025-04-01T16:21:00" u="1"/>
        <d v="2025-04-01T19:53:00" u="1"/>
        <d v="2025-03-19T16:05:00" u="1"/>
        <d v="2025-04-04T14:02:00" u="1"/>
        <d v="2025-04-04T06:51:00" u="1"/>
        <d v="2025-04-04T13:07:00" u="1"/>
        <d v="2025-04-04T13:58:00" u="1"/>
        <d v="2025-04-05T20:11:00" u="1"/>
        <d v="2025-04-04T19:14:00" u="1"/>
        <d v="2025-04-04T16:43:00" u="1"/>
        <d v="2025-04-04T15:52:00" u="1"/>
        <d v="2025-04-04T15:49:00" u="1"/>
        <d v="2025-04-04T15:44:00" u="1"/>
        <d v="2025-03-28T18:04:00" u="1"/>
        <d v="2025-04-02T04:33:00" u="1"/>
        <d v="2025-04-04T09:26:00" u="1"/>
        <d v="2025-04-02T17:48:00" u="1"/>
        <d v="2025-04-04T13:26:00" u="1"/>
        <d v="2025-04-04T09:05:00" u="1"/>
        <d v="2025-04-04T17:10:00" u="1"/>
        <d v="2025-04-04T16:30:00" u="1"/>
        <d v="2025-04-04T16:07:00" u="1"/>
        <d v="2025-04-04T21:30:00" u="1"/>
        <d v="2025-04-04T21:32:00" u="1"/>
        <d v="2025-04-04T17:46:00" u="1"/>
        <d v="2025-04-04T16:10:00" u="1"/>
        <d v="2025-04-04T16:11:00" u="1"/>
        <d v="2025-04-04T16:25:00" u="1"/>
        <d v="2025-04-04T21:34:00" u="1"/>
        <d v="2025-04-04T21:38:00" u="1"/>
        <d v="2025-04-04T21:40:00" u="1"/>
        <d v="2025-04-04T21:56:00" u="1"/>
        <d v="2025-04-04T09:44:00" u="1"/>
        <d v="2025-04-03T11:38:00" u="1"/>
        <d v="2025-04-04T17:31:00" u="1"/>
        <d v="2025-03-06T17:39:00" u="1"/>
        <d v="2025-04-04T17:04:00" u="1"/>
        <d v="2025-03-10T13:25:00" u="1"/>
        <d v="2025-03-28T12:23:00" u="1"/>
        <d v="2025-04-02T14:01:00" u="1"/>
        <d v="2024-12-26T00:00:00" u="1"/>
        <d v="2025-04-04T17:42:00" u="1"/>
        <d v="2025-04-04T17:33:00" u="1"/>
        <d v="2025-04-04T12:30:00" u="1"/>
        <d v="2025-04-04T12:18:00" u="1"/>
        <d v="2025-04-04T15:54:00" u="1"/>
        <d v="2025-04-03T17:07:00" u="1"/>
        <d v="2025-04-01T20:36:00" u="1"/>
        <d v="2025-04-04T17:02:00" u="1"/>
        <d v="2025-04-04T15:23:00" u="1"/>
        <d v="2025-04-04T10:01:00" u="1"/>
        <d v="2025-04-04T08:30:00" u="1"/>
        <d v="2025-04-04T12:51:00" u="1"/>
        <d v="2025-04-01T17:32:00" u="1"/>
        <d v="2025-03-26T11:07:00" u="1"/>
        <d v="2025-03-25T21:36:00" u="1"/>
        <d v="2025-04-04T16:14:00" u="1"/>
        <d v="2025-04-04T15:43:00" u="1"/>
        <d v="2025-04-04T16:01:00" u="1"/>
        <d v="2025-04-04T16:24:00" u="1"/>
        <d v="2025-04-04T15:19:00" u="1"/>
        <d v="2025-03-26T10:43:00" u="1"/>
        <d v="2025-03-28T16:42:00" u="1"/>
        <d v="2025-04-02T12:39:00" u="1"/>
        <d v="2025-04-02T12:56:00" u="1"/>
        <d v="2025-04-02T12:05:00" u="1"/>
        <d v="2025-03-25T11:26:00" u="1"/>
        <d v="2025-04-02T07:43:00" u="1"/>
        <d v="2025-04-02T13:06:00" u="1"/>
        <d v="2025-04-04T14:57:00" u="1"/>
        <d v="2025-04-04T08:28:00" u="1"/>
        <d v="2025-04-04T15:48:00" u="1"/>
        <d v="2025-04-04T14:44:00" u="1"/>
        <d v="2025-04-04T10:56:00" u="1"/>
        <d v="2025-04-04T10:38:00" u="1"/>
        <d v="2025-04-03T10:07:00" u="1"/>
        <d v="2025-04-04T15:02:00" u="1"/>
        <d v="2025-03-06T13:24:00" u="1"/>
        <d v="2025-04-04T23:07:00" u="1"/>
        <d v="2025-04-04T14:06:00" u="1"/>
        <d v="2025-04-02T18:25:00" u="1"/>
        <d v="2025-04-03T18:38:00" u="1"/>
        <d v="2025-04-06T11:48:00" u="1"/>
        <d v="2025-04-04T16:17:00" u="1"/>
        <d v="2025-04-03T15:23:00" u="1"/>
        <d v="2025-04-04T11:21:00" u="1"/>
        <d v="2025-04-04T19:27:00" u="1"/>
        <d v="2025-04-04T10:07:00" u="1"/>
        <d v="2025-03-31T15:11:00" u="1"/>
        <d v="2025-04-04T14:46:00" u="1"/>
        <d v="2025-04-04T11:27:00" u="1"/>
        <d v="2025-04-04T09:32:00" u="1"/>
        <d v="2025-03-20T09:36:00" u="1"/>
        <d v="2025-04-02T16:46:00" u="1"/>
        <d v="2025-04-02T17:14:00" u="1"/>
        <d v="2025-04-02T17:22:00" u="1"/>
        <d v="2025-04-02T17:19:00" u="1"/>
        <d v="2025-04-05T07:43:00" u="1"/>
        <d v="2025-04-05T14:03:00" u="1"/>
        <d v="2025-04-01T15:53:00" u="1"/>
        <d v="2025-04-03T18:30:00" u="1"/>
        <d v="2025-04-04T16:03:00" u="1"/>
        <d v="2025-04-04T12:20:00" u="1"/>
        <d v="2025-04-03T09:22:00" u="1"/>
        <d v="2025-04-03T10:11:00" u="1"/>
        <d v="2025-04-03T17:19:00" u="1"/>
        <d v="2025-04-03T08:49:00" u="1"/>
        <d v="2025-04-02T14:00:00" u="1"/>
        <d v="2025-04-03T11:08:00" u="1"/>
        <d v="2025-03-28T07:40:00" u="1"/>
        <d v="2025-03-28T10:31:00" u="1"/>
        <d v="2025-04-02T14:09:00" u="1"/>
        <d v="2025-04-03T15:41:00" u="1"/>
        <d v="2025-04-02T13:00:00" u="1"/>
        <d v="2025-04-03T11:57:00" u="1"/>
        <d v="2025-04-02T18:15:00" u="1"/>
        <d v="2025-02-26T14:58:00" u="1"/>
        <d v="2025-03-27T19:35:00" u="1"/>
        <d v="2025-04-03T16:09:00" u="1"/>
        <d v="2025-04-03T20:09:00" u="1"/>
        <d v="2025-03-13T10:27:00" u="1"/>
        <d v="2025-04-03T03:37:00" u="1"/>
        <d v="2025-04-03T12:48:00" u="1"/>
        <d v="2025-04-01T12:24:00" u="1"/>
        <d v="2025-03-30T11:55:00" u="1"/>
        <d v="2025-03-28T10:25:00" u="1"/>
        <d v="2025-03-30T10:42:00" u="1"/>
        <d v="2025-03-31T10:44:00" u="1"/>
        <d v="2025-03-31T10:53:00" u="1"/>
        <d v="2025-03-28T10:14:00" u="1"/>
        <d v="2025-04-03T11:52:00" u="1"/>
        <d v="2025-04-02T14:41:00" u="1"/>
        <d v="2025-04-02T14:28:00" u="1"/>
        <d v="2025-04-02T15:03:00" u="1"/>
        <d v="2025-04-02T14:35:00" u="1"/>
        <d v="2025-04-02T14:13:00" u="1"/>
        <d v="2025-04-02T14:15:00" u="1"/>
        <d v="2025-04-03T14:43:00" u="1"/>
        <d v="2025-04-03T16:29:00" u="1"/>
        <d v="2025-04-02T08:02:00" u="1"/>
        <d v="2025-04-02T17:47:00" u="1"/>
        <d v="2025-04-03T10:19:00" u="1"/>
        <d v="2025-04-03T09:39:00" u="1"/>
        <d v="2025-04-03T17:06:00" u="1"/>
        <d v="2025-04-03T17:31:00" u="1"/>
        <d v="2025-04-03T17:37:00" u="1"/>
        <d v="2025-04-02T17:13:00" u="1"/>
        <d v="2025-04-02T17:05:00" u="1"/>
        <d v="2025-04-03T12:02:00" u="1"/>
        <d v="2025-04-02T18:32:00" u="1"/>
        <d v="2025-04-02T10:13:00" u="1"/>
        <d v="2025-04-03T16:03:00" u="1"/>
        <d v="2025-04-03T16:33:00" u="1"/>
        <d v="2025-03-19T21:42:00" u="1"/>
        <d v="2025-03-22T07:40:00" u="1"/>
        <d v="2025-04-02T10:33:00" u="1"/>
        <d v="2025-02-21T07:52:00" u="1"/>
        <d v="2025-02-21T08:03:00" u="1"/>
        <d v="2025-04-02T14:27:00" u="1"/>
        <d v="2025-04-01T09:39:00" u="1"/>
        <d v="2025-04-01T09:48:00" u="1"/>
        <d v="2025-04-02T16:56:00" u="1"/>
        <d v="2025-04-02T09:55:00" u="1"/>
        <d v="2025-04-03T16:52:00" u="1"/>
        <d v="2025-04-01T09:56:00" u="1"/>
        <d v="2025-04-01T15:52:00" u="1"/>
        <d v="2025-04-03T10:13:00" u="1"/>
        <d v="2025-04-02T17:02:00" u="1"/>
        <d v="2025-04-02T18:18:00" u="1"/>
        <d v="2025-04-02T19:45:00" u="1"/>
        <d v="2025-03-28T15:49:00" u="1"/>
        <d v="2025-04-03T10:03:00" u="1"/>
        <d v="2025-04-02T14:26:00" u="1"/>
        <d v="2025-04-02T14:38:00" u="1"/>
        <d v="2025-04-03T12:51:00" u="1"/>
        <d v="2025-04-03T11:58:00" u="1"/>
        <d v="2025-04-01T06:11:00" u="1"/>
        <d v="2025-04-02T12:45:00" u="1"/>
        <d v="2025-04-03T08:38:00" u="1"/>
        <d v="2025-04-03T08:48:00" u="1"/>
        <d v="2025-04-02T15:11:00" u="1"/>
        <d v="2025-04-02T07:19:00" u="1"/>
        <d v="2025-04-02T09:13:00" u="1"/>
        <d v="2025-04-03T09:43:00" u="1"/>
        <d v="2025-04-03T13:37:00" u="1"/>
        <d v="2025-04-01T14:42:00" u="1"/>
        <d v="2025-04-02T10:16:00" u="1"/>
        <d v="2025-04-03T12:53:00" u="1"/>
        <d v="2025-04-02T14:08:00" u="1"/>
        <d v="2025-04-02T15:22:00" u="1"/>
        <d v="2025-04-02T15:27:00" u="1"/>
        <d v="2025-04-02T09:43:00" u="1"/>
        <d v="2025-04-03T07:42:00" u="1"/>
        <d v="2025-04-03T07:23:00" u="1"/>
        <d v="2025-04-02T17:23:00" u="1"/>
        <d v="2025-04-03T14:41:00" u="1"/>
        <d v="2025-04-03T14:12:00" u="1"/>
        <d v="2025-04-03T13:50:00" u="1"/>
        <d v="2024-12-09T13:26:00" u="1"/>
        <d v="2025-04-03T07:53:00" u="1"/>
        <d v="2025-04-03T07:45:00" u="1"/>
        <d v="2025-04-02T13:47:00" u="1"/>
        <d v="2025-04-03T10:42:00" u="1"/>
        <d v="2025-04-02T13:46:00" u="1"/>
        <d v="2025-04-02T09:22:00" u="1"/>
        <d v="2025-04-03T11:37:00" u="1"/>
        <d v="2025-03-28T14:02:00" u="1"/>
        <d v="2025-04-02T12:55:00" u="1"/>
        <d v="2025-04-03T12:37:00" u="1"/>
        <d v="2025-04-02T11:52:00" u="1"/>
        <d v="2025-04-02T08:46:00" u="1"/>
        <d v="2025-03-27T12:35:00" u="1"/>
        <d v="2025-03-27T12:15:00" u="1"/>
        <d v="2025-03-27T11:56:00" u="1"/>
        <d v="2025-03-31T15:33:00" u="1"/>
        <d v="2025-03-25T09:17:00" u="1"/>
        <d v="2025-04-01T10:42:00" u="1"/>
        <d v="2025-04-01T10:43:00" u="1"/>
        <d v="2025-04-02T15:58:00" u="1"/>
        <d v="2025-04-02T16:05:00" u="1"/>
        <d v="2025-03-25T12:40:00" u="1"/>
        <d v="2025-04-02T12:31:00" u="1"/>
        <d v="2025-03-18T09:08:00" u="1"/>
        <d v="2025-03-18T09:14:00" u="1"/>
        <d v="2025-04-03T15:24:00" u="1"/>
        <d v="2025-04-03T00:26:00" u="1"/>
        <d v="2025-04-02T15:55:00" u="1"/>
        <d v="2025-04-02T14:45:00" u="1"/>
        <d v="2025-04-02T17:57:00" u="1"/>
        <d v="2025-04-01T08:40:00" u="1"/>
        <d v="2025-04-02T11:34:00" u="1"/>
        <d v="2025-04-03T16:30:00" u="1"/>
        <d v="2025-04-02T16:40:00" u="1"/>
        <d v="2025-04-03T14:03:00" u="1"/>
        <d v="2025-04-03T17:00:00" u="1"/>
        <d v="2025-04-03T16:51:00" u="1"/>
        <d v="2025-04-03T18:28:00" u="1"/>
        <d v="2025-04-02T16:16:00" u="1"/>
        <d v="2025-04-03T08:58:00" u="1"/>
        <d v="2025-04-03T08:44:00" u="1"/>
        <d v="2025-04-03T08:33:00" u="1"/>
        <d v="2025-04-02T13:03:00" u="1"/>
        <d v="2025-04-02T10:01:00" u="1"/>
        <d v="2025-04-03T14:20:00" u="1"/>
        <d v="2025-04-03T15:48:00" u="1"/>
        <d v="2025-04-03T11:47:00" u="1"/>
        <d v="2025-04-02T14:16:00" u="1"/>
        <d v="2025-04-03T15:38:00" u="1"/>
        <d v="2025-04-03T10:05:00" u="1"/>
        <d v="2025-04-02T10:08:00" u="1"/>
        <d v="2025-03-28T15:42:00" u="1"/>
        <d v="2025-03-07T00:00:00" u="1"/>
        <d v="2025-04-03T16:46:00" u="1"/>
        <d v="2025-04-03T14:44:00" u="1"/>
        <d v="2025-04-02T11:51:00" u="1"/>
        <d v="2025-04-02T14:39:00" u="1"/>
        <d v="2025-04-02T11:43:00" u="1"/>
        <d v="2025-04-02T08:00:00" u="1"/>
        <d v="2025-04-02T07:51:00" u="1"/>
        <d v="2025-04-02T10:10:00" u="1"/>
        <d v="2025-04-01T16:35:00" u="1"/>
        <d v="2025-04-02T08:03:00" u="1"/>
        <d v="2025-03-22T10:37:00" u="1"/>
        <d v="2025-03-24T13:47:00" u="1"/>
        <d v="2025-03-21T10:03:00" u="1"/>
        <d v="2025-03-25T18:47:00" u="1"/>
        <d v="2025-03-25T09:43:00" u="1"/>
        <d v="2025-03-07T08:32:00" u="1"/>
        <d v="2025-03-19T14:19:00" u="1"/>
        <d v="2025-03-20T14:51:00" u="1"/>
        <d v="2025-03-20T15:54:00" u="1"/>
        <d v="2025-03-21T07:25:00" u="1"/>
        <d v="2025-03-20T13:38:00" u="1"/>
        <d v="2025-03-21T12:24:00" u="1"/>
        <d v="2025-04-02T06:56:00" u="1"/>
        <d v="2025-04-02T11:55:00" u="1"/>
        <d v="2025-04-02T13:42:00" u="1"/>
        <d v="2025-04-02T13:50:00" u="1"/>
        <d v="2025-04-02T13:15:00" u="1"/>
        <d v="2025-03-27T14:37:00" u="1"/>
        <d v="2025-03-18T08:20:00" u="1"/>
        <d v="2025-03-24T14:00:00" u="1"/>
        <d v="2025-04-01T15:51:00" u="1"/>
        <d v="2025-04-02T19:07:00" u="1"/>
        <d v="2025-04-02T11:58:00" u="1"/>
        <d v="2025-04-01T17:50:00" u="1"/>
        <d v="2025-04-02T14:02:00" u="1"/>
        <d v="2025-03-31T11:44:00" u="1"/>
        <d v="2025-04-02T09:30:00" u="1"/>
        <d v="2025-04-02T18:04:00" u="1"/>
        <d v="2025-04-02T16:26:00" u="1"/>
        <d v="2025-04-01T09:05:00" u="1"/>
        <d v="2025-04-02T09:31:00" u="1"/>
        <d v="2025-04-02T13:56:00" u="1"/>
        <d v="2025-03-21T09:40:00" u="1"/>
        <d v="2025-04-01T18:16:00" u="1"/>
        <d v="2025-04-02T14:20:00" u="1"/>
        <d v="2025-04-02T07:16:00" u="1"/>
        <d v="2025-03-31T10:49:00" u="1"/>
        <d v="2025-03-28T09:33:00" u="1"/>
        <d v="2025-03-24T14:37:00" u="1"/>
        <d v="2025-03-31T21:06:00" u="1"/>
        <d v="2025-04-02T16:45:00" u="1"/>
        <d v="2025-03-25T10:58:00" u="1"/>
        <d v="2025-04-02T08:27:00" u="1"/>
        <d v="2025-03-25T11:22:00" u="1"/>
        <d v="2025-03-11T00:00:00" u="1"/>
        <d v="2025-02-20T00:00:00" u="1"/>
        <d v="2025-04-02T16:14:00" u="1"/>
        <d v="2025-04-01T09:43:00" u="1"/>
        <d v="2025-03-31T13:18:00" u="1"/>
        <d v="2025-03-28T09:41:00" u="1"/>
        <d v="2025-04-02T15:19:00" u="1"/>
        <d v="2025-04-02T06:38:00" u="1"/>
        <d v="2025-03-28T08:18:00" u="1"/>
        <d v="2025-04-02T15:07:00" u="1"/>
        <d v="2025-04-02T13:17:00" u="1"/>
        <d v="2025-04-02T05:48:00" u="1"/>
        <d v="2025-04-01T16:29:00" u="1"/>
        <d v="2025-04-01T16:27:00" u="1"/>
        <d v="2025-03-29T10:47:00" u="1"/>
        <d v="2025-04-02T14:56:00" u="1"/>
        <d v="2025-04-01T15:03:00" u="1"/>
        <d v="2025-04-01T15:07:00" u="1"/>
        <d v="2025-04-01T15:19:00" u="1"/>
        <d v="2025-03-14T09:59:00" u="1"/>
        <d v="2025-03-27T14:33:00" u="1"/>
        <d v="2025-04-01T17:22:00" u="1"/>
        <d v="2025-04-02T22:17:00" u="1"/>
        <d v="2025-04-02T12:10:00" u="1"/>
        <d v="2025-04-02T08:54:00" u="1"/>
        <d v="2025-03-18T12:59:00" u="1"/>
        <d v="2025-03-24T16:58:00" u="1"/>
        <d v="2025-03-19T10:06:00" u="1"/>
        <d v="2025-03-17T12:08:00" u="1"/>
        <d v="2025-03-18T12:53:00" u="1"/>
        <d v="2025-03-13T17:19:00" u="1"/>
        <d v="2025-03-18T12:54:00" u="1"/>
        <d v="2025-03-17T11:14:00" u="1"/>
        <d v="2025-04-02T08:15:00" u="1"/>
        <d v="2025-04-02T16:15:00" u="1"/>
        <d v="2025-03-31T11:24:00" u="1"/>
        <d v="2025-03-31T18:26:00" u="1"/>
        <d v="2025-03-27T18:39:00" u="1"/>
        <d v="2025-03-20T16:35:00" u="1"/>
        <d v="2025-03-21T06:45:00" u="1"/>
        <d v="2025-03-25T18:24:00" u="1"/>
        <d v="2025-03-31T15:02:00" u="1"/>
        <d v="2025-03-31T14:14:00" u="1"/>
        <d v="2025-03-31T08:42:00" u="1"/>
        <d v="2025-04-01T09:51:00" u="1"/>
        <d v="2025-04-01T08:38:00" u="1"/>
        <d v="2025-03-28T20:04:00" u="1"/>
        <d v="2025-03-31T17:55:00" u="1"/>
        <d v="2025-04-01T12:26:00" u="1"/>
        <d v="2025-04-01T08:44:00" u="1"/>
        <d v="2025-03-26T13:11:00" u="1"/>
        <d v="2025-04-01T11:03:00" u="1"/>
        <d v="2025-03-31T15:43:00" u="1"/>
        <d v="2025-03-31T14:19:00" u="1"/>
        <d v="2025-03-31T13:54:00" u="1"/>
        <d v="2025-03-31T12:29:00" u="1"/>
        <d v="2025-03-31T10:01:00" u="1"/>
        <d v="2025-03-29T12:33:00" u="1"/>
        <d v="2025-03-31T02:23:00" u="1"/>
        <d v="2025-04-01T03:48:00" u="1"/>
        <d v="2025-04-01T05:30:00" u="1"/>
        <d v="2025-03-27T17:47:00" u="1"/>
        <d v="2025-03-17T13:28:00" u="1"/>
        <d v="2025-03-26T17:03:00" u="1"/>
        <d v="2025-03-26T17:16:00" u="1"/>
        <d v="2025-03-27T17:35:00" u="1"/>
        <d v="2025-03-14T16:01:00" u="1"/>
        <d v="2025-03-31T18:52:00" u="1"/>
        <d v="2025-04-01T14:55:00" u="1"/>
        <d v="2025-03-31T17:36:00" u="1"/>
        <d v="2025-04-01T11:52:00" u="1"/>
        <d v="2025-04-01T13:19:00" u="1"/>
        <d v="2025-04-01T16:52:00" u="1"/>
        <d v="2025-03-31T17:23:00" u="1"/>
        <d v="2025-03-31T17:26:00" u="1"/>
        <d v="2025-03-31T17:27:00" u="1"/>
        <d v="2025-03-31T17:12:00" u="1"/>
        <d v="2025-04-01T16:26:00" u="1"/>
        <d v="2025-04-01T09:16:00" u="1"/>
        <d v="2025-04-01T19:10:00" u="1"/>
        <d v="2025-04-01T19:07:00" u="1"/>
        <d v="2025-04-01T19:33:00" u="1"/>
        <d v="2025-04-01T13:12:00" u="1"/>
        <d v="2025-04-01T13:18:00" u="1"/>
        <d v="2025-04-01T13:25:00" u="1"/>
        <d v="2025-03-31T21:15:00" u="1"/>
        <d v="2025-03-31T21:17:00" u="1"/>
        <d v="2025-03-31T21:19:00" u="1"/>
        <d v="2025-03-31T21:20:00" u="1"/>
        <d v="2025-03-31T21:23:00" u="1"/>
        <d v="2025-04-01T13:49:00" u="1"/>
        <d v="2025-03-27T13:06:00" u="1"/>
        <d v="2025-03-27T13:00:00" u="1"/>
        <d v="2025-03-27T13:18:00" u="1"/>
        <d v="2025-03-31T14:44:00" u="1"/>
        <d v="2025-04-01T12:45:00" u="1"/>
        <d v="2025-04-01T09:32:00" u="1"/>
        <d v="2025-04-01T09:28:00" u="1"/>
        <d v="2025-04-01T09:14:00" u="1"/>
        <d v="2025-04-01T14:14:00" u="1"/>
        <d v="2025-04-01T14:23:00" u="1"/>
        <d v="2025-03-31T17:37:00" u="1"/>
        <d v="2025-03-31T16:23:00" u="1"/>
        <d v="2025-04-01T18:47:00" u="1"/>
        <d v="2025-04-01T16:47:00" u="1"/>
        <d v="2025-04-01T18:54:00" u="1"/>
        <d v="2025-04-01T15:18:00" u="1"/>
        <d v="2025-03-31T15:57:00" u="1"/>
        <d v="2025-04-01T15:39:00" u="1"/>
        <d v="2025-04-01T06:18:00" u="1"/>
        <d v="2025-03-28T07:42:00" u="1"/>
        <d v="2025-04-01T12:04:00" u="1"/>
        <d v="2025-04-01T13:45:00" u="1"/>
        <d v="2025-04-01T06:06:00" u="1"/>
        <d v="2025-04-01T07:41:00" u="1"/>
        <d v="2025-04-01T08:35:00" u="1"/>
        <d v="2025-04-01T06:46:00" u="1"/>
        <d v="2025-04-01T11:43:00" u="1"/>
        <d v="2025-04-01T11:56:00" u="1"/>
        <d v="2025-04-01T12:18:00" u="1"/>
        <d v="2025-04-01T17:15:00" u="1"/>
        <d v="2025-03-31T13:01:00" u="1"/>
        <d v="2025-03-31T15:22:00" u="1"/>
        <d v="2025-04-01T11:41:00" u="1"/>
        <d v="2025-03-31T13:34:00" u="1"/>
        <d v="2025-03-19T11:39:00" u="1"/>
        <d v="2025-04-01T10:13:00" u="1"/>
        <d v="2025-04-01T08:54:00" u="1"/>
        <d v="2025-04-01T14:41:00" u="1"/>
        <d v="2025-02-04T13:19:00" u="1"/>
        <d v="2025-03-31T08:25:00" u="1"/>
        <d v="2025-04-01T12:19:00" u="1"/>
        <d v="2025-04-01T15:43:00" u="1"/>
        <d v="2025-04-01T17:29:00" u="1"/>
        <d v="2025-03-31T16:28:00" u="1"/>
        <d v="2025-03-24T13:40:00" u="1"/>
        <d v="2025-04-01T11:00:00" u="1"/>
        <d v="2025-04-01T15:30:00" u="1"/>
        <d v="2025-03-31T13:00:00" u="1"/>
        <d v="2025-04-01T08:59:00" u="1"/>
        <d v="2025-03-27T11:39:00" u="1"/>
        <d v="2025-03-31T15:35:00" u="1"/>
        <d v="2025-03-31T17:42:00" u="1"/>
        <d v="2025-03-27T13:04:00" u="1"/>
        <d v="2025-04-01T14:36:00" u="1"/>
        <d v="2025-04-01T18:19:00" u="1"/>
        <d v="2025-04-01T21:47:00" u="1"/>
        <d v="2025-04-01T14:33:00" u="1"/>
        <d v="2025-04-01T08:52:00" u="1"/>
        <d v="2025-03-31T12:22:00" u="1"/>
        <d v="2025-03-31T21:43:00" u="1"/>
        <d v="2025-03-31T17:38:00" u="1"/>
        <d v="2025-03-28T06:47:00" u="1"/>
        <d v="2025-03-31T12:20:00" u="1"/>
        <d v="2025-04-01T07:50:00" u="1"/>
        <d v="2025-04-01T12:09:00" u="1"/>
        <d v="2025-04-01T18:12:00" u="1"/>
        <d v="2025-03-31T15:26:00" u="1"/>
        <d v="2025-03-31T10:09:00" u="1"/>
        <d v="2025-03-31T12:15:00" u="1"/>
        <d v="2025-03-31T11:04:00" u="1"/>
        <d v="2025-03-31T11:03:00" u="1"/>
        <d v="2025-03-27T11:36:00" u="1"/>
        <d v="2025-03-31T16:22:00" u="1"/>
        <d v="2025-03-31T16:27:00" u="1"/>
        <d v="2025-03-19T07:12:00" u="1"/>
        <d v="2025-03-25T12:36:00" u="1"/>
        <d v="2025-03-25T14:51:00" u="1"/>
        <d v="2025-03-25T18:16:00" u="1"/>
        <d v="2025-03-20T09:15:00" u="1"/>
        <d v="2025-03-20T10:15:00" u="1"/>
        <d v="2025-03-19T14:10:00" u="1"/>
        <d v="2025-03-20T09:48:00" u="1"/>
        <d v="2025-03-21T09:20:00" u="1"/>
        <d v="2025-03-28T07:33:00" u="1"/>
        <d v="2025-03-21T14:08:00" u="1"/>
        <d v="2025-03-21T14:42:00" u="1"/>
        <d v="2025-03-24T13:42:00" u="1"/>
        <d v="2025-03-24T13:14:00" u="1"/>
        <d v="2025-03-24T13:30:00" u="1"/>
        <d v="2025-03-25T06:59:00" u="1"/>
        <d v="2025-03-25T06:24:00" u="1"/>
        <d v="2025-03-25T05:52:00" u="1"/>
        <d v="2025-03-25T06:15:00" u="1"/>
        <d v="2025-03-14T07:16:00" u="1"/>
        <d v="2025-02-28T07:00:00" u="1"/>
        <d v="2025-03-19T14:26:00" u="1"/>
        <d v="2025-03-19T14:40:00" u="1"/>
        <d v="2025-03-20T13:19:00" u="1"/>
        <d v="2025-02-28T12:48:00" u="1"/>
        <d v="2025-02-28T07:59:00" u="1"/>
        <d v="2025-03-21T12:43:00" u="1"/>
        <d v="2025-02-06T00:00:00" u="1"/>
        <d v="2025-03-25T15:19:00" u="1"/>
        <d v="2025-03-21T16:24:00" u="1"/>
        <d v="2025-03-21T16:30:00" u="1"/>
        <d v="2025-03-31T05:54:00" u="1"/>
        <d v="2025-03-31T08:50:00" u="1"/>
        <d v="2025-03-27T12:23:00" u="1"/>
        <d v="2025-03-19T15:19:00" u="1"/>
        <d v="2025-03-20T13:59:00" u="1"/>
        <d v="2025-03-31T19:30:00" u="1"/>
        <d v="2025-03-20T18:07:00" u="1"/>
        <d v="2025-03-31T14:42:00" u="1"/>
        <d v="2025-03-31T14:30:00" u="1"/>
        <d v="2025-03-31T11:59:00" u="1"/>
        <d v="2025-03-31T10:18:00" u="1"/>
        <d v="2025-03-31T17:13:00" u="1"/>
        <d v="2025-03-28T12:06:00" u="1"/>
        <d v="2025-03-18T13:20:00" u="1"/>
        <d v="2025-03-10T15:12:00" u="1"/>
        <d v="2025-03-28T11:02:00" u="1"/>
        <d v="2025-03-28T15:50:00" u="1"/>
        <d v="2025-03-13T13:27:00" u="1"/>
        <d v="2025-03-31T07:39:00" u="1"/>
        <d v="2025-03-30T15:40:00" u="1"/>
        <d v="2025-03-30T16:05:00" u="1"/>
        <d v="2025-03-20T00:00:00" u="1"/>
        <d v="2025-03-20T09:56:00" u="1"/>
        <d v="2025-03-20T09:53:00" u="1"/>
        <d v="2025-03-20T10:01:00" u="1"/>
        <d v="2025-03-18T08:21:00" u="1"/>
        <d v="2025-03-20T10:00:00" u="1"/>
        <d v="2025-03-31T06:07:00" u="1"/>
        <d v="2025-03-31T05:45:00" u="1"/>
        <d v="2025-03-31T07:43:00" u="1"/>
        <d v="2025-03-31T06:17:00" u="1"/>
        <d v="2025-03-31T08:16:00" u="1"/>
        <d v="2025-03-31T09:37:00" u="1"/>
        <d v="2025-03-27T07:43:00" u="1"/>
        <d v="2025-03-31T14:15:00" u="1"/>
        <d v="2025-03-20T15:57:00" u="1"/>
        <d v="2025-03-17T09:52:00" u="1"/>
        <d v="2025-03-31T19:41:00" u="1"/>
        <d v="2025-03-31T12:54:00" u="1"/>
        <d v="2025-03-31T15:55:00" u="1"/>
        <d v="2025-03-25T09:46:00" u="1"/>
        <d v="2025-02-20T07:13:00" u="1"/>
        <d v="2025-03-31T14:33:00" u="1"/>
        <d v="2025-03-27T06:52:00" u="1"/>
        <d v="2025-03-28T08:40:00" u="1"/>
        <d v="2025-03-31T15:31:00" u="1"/>
        <d v="2025-03-20T17:17:00" u="1"/>
        <d v="2025-03-31T09:24:00" u="1"/>
        <d v="2025-03-20T09:14:00" u="1"/>
        <d v="2025-03-26T14:28:00" u="1"/>
        <d v="2025-03-31T07:55:00" u="1"/>
        <d v="2025-03-31T07:46:00" u="1"/>
        <d v="2025-03-31T07:53:00" u="1"/>
        <d v="2025-03-26T14:30:00" u="1"/>
        <d v="2025-03-31T14:05:00" u="1"/>
        <d v="2025-03-27T11:10:00" u="1"/>
        <d v="2025-03-19T07:06:00" u="1"/>
        <d v="2025-03-28T06:54:00" u="1"/>
        <d v="2025-03-26T09:29:00" u="1"/>
        <d v="2025-03-28T15:00:00" u="1"/>
        <d v="2025-03-28T15:04:00" u="1"/>
        <d v="2025-03-31T13:50:00" u="1"/>
        <d v="2025-03-28T15:48:00" u="1"/>
        <d v="2025-03-28T15:52:00" u="1"/>
        <d v="2025-03-28T15:58:00" u="1"/>
        <d v="2025-03-27T08:47:00" u="1"/>
        <d v="2025-03-27T21:49:00" u="1"/>
        <d v="2025-03-27T21:55:00" u="1"/>
        <d v="2025-03-31T17:52:00" u="1"/>
        <d v="2025-03-31T17:30:00" u="1"/>
        <d v="2025-03-31T10:37:00" u="1"/>
        <d v="2025-03-28T15:32:00" u="1"/>
        <d v="2025-03-28T15:26:00" u="1"/>
        <d v="2025-03-31T18:43:00" u="1"/>
        <d v="2025-03-31T19:07:00" u="1"/>
        <d v="2025-03-31T22:16:00" u="1"/>
        <d v="2025-03-31T11:48:00" u="1"/>
        <d v="2025-03-31T11:21:00" u="1"/>
        <d v="2025-03-31T11:11:00" u="1"/>
        <d v="2025-03-31T16:17:00" u="1"/>
        <d v="2025-03-31T15:59:00" u="1"/>
        <d v="2025-03-31T15:30:00" u="1"/>
        <d v="2025-03-31T17:49:00" u="1"/>
        <d v="2025-03-31T17:44:00" u="1"/>
        <d v="2025-03-31T17:43:00" u="1"/>
        <d v="2025-03-31T17:18:00" u="1"/>
        <d v="2025-03-31T17:03:00" u="1"/>
        <d v="2025-03-31T16:59:00" u="1"/>
        <d v="2025-03-31T16:51:00" u="1"/>
        <d v="2025-03-31T16:41:00" u="1"/>
        <d v="2025-03-26T17:00:00" u="1"/>
        <d v="2025-03-31T08:56:00" u="1"/>
        <d v="2025-03-28T17:19:00" u="1"/>
        <d v="2025-03-25T21:57:00" u="1"/>
        <d v="2025-03-25T19:14:00" u="1"/>
        <d v="2025-03-25T19:15:00" u="1"/>
        <d v="2025-03-27T21:31:00" u="1"/>
        <d v="2025-03-28T16:24:00" u="1"/>
        <d v="2025-03-28T20:23:00" u="1"/>
        <d v="2025-03-26T12:30:00" u="1"/>
        <d v="2025-03-28T18:40:00" u="1"/>
        <d v="2025-03-28T19:03:00" u="1"/>
        <d v="2025-03-24T15:57:00" u="1"/>
        <d v="2025-03-19T15:25:00" u="1"/>
        <d v="2025-03-19T15:37:00" u="1"/>
        <d v="2025-03-21T11:47:00" u="1"/>
        <d v="2025-03-20T15:24:00" u="1"/>
        <d v="2025-03-21T06:03:00" u="1"/>
        <d v="2025-03-21T07:07:00" u="1"/>
        <d v="2025-03-21T07:15:00" u="1"/>
        <d v="2025-03-24T13:11:00" u="1"/>
        <d v="2025-03-24T13:20:00" u="1"/>
        <d v="2025-03-24T14:16:00" u="1"/>
        <d v="2025-03-17T12:59:00" u="1"/>
        <d v="2025-02-28T13:04:00" u="1"/>
        <d v="2025-02-21T07:31:00" u="1"/>
        <d v="2025-02-28T05:27:00" u="1"/>
        <d v="2025-02-28T07:22:00" u="1"/>
        <d v="2025-03-25T14:54:00" u="1"/>
        <d v="2025-03-25T07:21:00" u="1"/>
        <d v="2025-03-28T12:16:00" u="1"/>
        <d v="2025-03-28T18:10:00" u="1"/>
        <d v="2025-03-28T11:18:00" u="1"/>
        <d v="2025-03-25T19:28:00" u="1"/>
        <d v="2025-03-25T11:20:00" u="1"/>
        <d v="2025-03-25T15:51:00" u="1"/>
        <d v="2025-03-28T14:48:00" u="1"/>
        <d v="2025-03-27T15:17:00" u="1"/>
        <d v="2025-03-28T09:37:00" u="1"/>
        <d v="2025-03-27T09:29:00" u="1"/>
        <d v="2025-03-26T11:21:00" u="1"/>
        <d v="2025-03-27T01:08:00" u="1"/>
        <d v="2025-03-27T05:19:00" u="1"/>
        <d v="2025-03-26T01:58:00" u="1"/>
        <d v="2025-03-28T03:15:00" u="1"/>
        <d v="2025-03-28T12:22:00" u="1"/>
        <d v="2025-03-28T06:21:00" u="1"/>
        <d v="2025-03-28T05:32:00" u="1"/>
        <d v="2025-03-28T05:49:00" u="1"/>
        <d v="2025-03-28T05:54:00" u="1"/>
        <d v="2025-03-28T05:58:00" u="1"/>
        <d v="2025-03-28T04:46:00" u="1"/>
        <d v="2025-03-28T11:43:00" u="1"/>
        <d v="2025-03-28T11:53:00" u="1"/>
        <d v="2025-03-28T11:56:00" u="1"/>
        <d v="2025-03-11T12:07:00" u="1"/>
        <d v="2025-03-25T10:30:00" u="1"/>
        <d v="2025-03-25T10:05:00" u="1"/>
        <d v="2025-03-25T12:59:00" u="1"/>
        <d v="2025-03-25T12:41:00" u="1"/>
        <d v="2025-03-25T11:31:00" u="1"/>
        <d v="2025-03-24T14:45:00" u="1"/>
        <d v="2025-03-23T10:21:00" u="1"/>
        <d v="2025-03-21T10:12:00" u="1"/>
        <d v="2025-03-22T09:12:00" u="1"/>
        <d v="2025-03-31T07:25:00" u="1"/>
        <d v="2025-03-28T16:41:00" u="1"/>
        <d v="2025-03-28T19:34:00" u="1"/>
        <d v="2025-03-28T21:41:00" u="1"/>
        <d v="2025-03-28T22:22:00" u="1"/>
        <d v="2025-03-28T21:23:00" u="1"/>
        <d v="2025-03-28T21:25:00" u="1"/>
        <d v="2025-03-28T21:28:00" u="1"/>
        <d v="2025-03-28T21:29:00" u="1"/>
        <d v="2025-03-28T21:30:00" u="1"/>
        <d v="2025-03-28T21:35:00" u="1"/>
        <d v="2025-03-28T12:42:00" u="1"/>
        <d v="2025-03-20T10:14:00" u="1"/>
        <d v="2025-03-19T10:55:00" u="1"/>
        <d v="2025-03-29T17:38:00" u="1"/>
        <d v="2025-03-21T11:00:00" u="1"/>
        <d v="2025-03-30T10:40:00" u="1"/>
        <d v="2025-03-30T10:37:00" u="1"/>
        <d v="2025-03-26T18:24:00" u="1"/>
        <d v="2025-03-27T16:40:00" u="1"/>
        <d v="2025-03-28T10:20:00" u="1"/>
        <d v="2025-03-14T08:45:00" u="1"/>
        <d v="2025-03-20T19:25:00" u="1"/>
        <d v="2025-03-27T15:02:00" u="1"/>
        <d v="2025-03-28T13:26:00" u="1"/>
        <d v="2025-03-21T09:19:00" u="1"/>
        <d v="2025-03-21T10:05:00" u="1"/>
        <d v="2025-03-21T16:21:00" u="1"/>
        <d v="2025-02-19T23:00:00" u="1"/>
        <d v="2025-03-24T15:50:00" u="1"/>
        <d v="2025-03-19T11:40:00" u="1"/>
        <d v="2025-03-20T20:00:00" u="1"/>
        <d v="2025-03-28T14:54:00" u="1"/>
        <d v="2025-03-28T06:15:00" u="1"/>
        <d v="2025-03-27T15:13:00" u="1"/>
        <d v="2025-03-26T13:29:00" u="1"/>
        <d v="2025-03-27T09:50:00" u="1"/>
        <d v="2025-03-28T12:44:00" u="1"/>
        <d v="2025-03-28T09:14:00" u="1"/>
        <d v="2025-03-28T13:27:00" u="1"/>
        <d v="2025-03-28T08:41:00" u="1"/>
        <d v="2025-03-27T20:04:00" u="1"/>
        <d v="2025-03-27T12:53:00" u="1"/>
        <d v="2025-03-25T05:07:00" u="1"/>
        <d v="2025-03-28T13:42:00" u="1"/>
        <d v="2025-03-28T10:21:00" u="1"/>
        <d v="2025-03-28T06:31:00" u="1"/>
        <d v="2025-03-28T11:35:00" u="1"/>
        <d v="2025-03-28T08:17:00" u="1"/>
        <d v="2025-03-28T08:27:00" u="1"/>
        <d v="2025-03-28T12:14:00" u="1"/>
        <d v="2025-03-28T14:43:00" u="1"/>
        <d v="2025-03-27T00:00:00" u="1"/>
        <d v="2025-03-28T11:16:00" u="1"/>
        <d v="2025-03-21T17:05:00" u="1"/>
        <d v="2025-03-28T15:38:00" u="1"/>
        <d v="2025-03-30T22:39:00" u="1"/>
        <d v="2025-03-10T17:16:00" u="1"/>
        <d v="2025-03-28T17:30:00" u="1"/>
        <d v="2025-03-28T17:09:00" u="1"/>
        <d v="2025-03-30T19:12:00" u="1"/>
        <d v="2025-03-30T17:25:00" u="1"/>
        <d v="2025-03-30T14:46:00" u="1"/>
        <d v="2025-03-28T16:59:00" u="1"/>
        <d v="2025-03-28T14:19:00" u="1"/>
        <d v="2025-03-28T13:38:00" u="1"/>
        <d v="2025-03-28T19:31:00" u="1"/>
        <d v="2025-03-24T12:13:00" u="1"/>
        <d v="2025-03-28T17:47:00" u="1"/>
        <d v="2025-03-17T18:10:00" u="1"/>
        <d v="2025-03-28T18:06:00" u="1"/>
        <d v="2025-03-28T17:00:00" u="1"/>
        <d v="2025-03-28T15:17:00" u="1"/>
        <d v="2025-03-27T08:00:00" u="1"/>
        <d v="2025-03-28T10:39:00" u="1"/>
        <d v="2025-03-28T16:55:00" u="1"/>
        <d v="2025-03-28T15:25:00" u="1"/>
        <d v="2025-03-28T15:19:00" u="1"/>
        <d v="2025-03-25T13:36:00" u="1"/>
        <d v="2025-03-25T13:21:00" u="1"/>
        <d v="2025-03-25T11:52:00" u="1"/>
        <d v="2025-03-25T11:44:00" u="1"/>
        <d v="2025-03-25T11:37:00" u="1"/>
        <d v="2025-03-25T13:47:00" u="1"/>
        <d v="2025-03-26T16:44:00" u="1"/>
        <d v="2025-03-26T16:14:00" u="1"/>
        <d v="2025-03-27T16:34:00" u="1"/>
        <d v="2025-03-13T18:21:00" u="1"/>
        <d v="2025-03-27T11:52:00" u="1"/>
        <d v="2025-03-27T07:16:00" u="1"/>
        <d v="2025-03-27T10:16:00" u="1"/>
        <d v="2025-03-25T08:10:00" u="1"/>
        <d v="2025-03-27T13:02:00" u="1"/>
        <d v="2025-03-26T11:13:00" u="1"/>
        <d v="2025-03-26T06:36:00" u="1"/>
        <d v="2025-03-14T07:05:00" u="1"/>
        <d v="2025-03-21T15:14:00" u="1"/>
        <d v="2025-03-21T17:06:00" u="1"/>
        <d v="2025-03-22T14:09:00" u="1"/>
        <d v="2025-03-24T06:04:00" u="1"/>
        <d v="2025-03-24T06:19:00" u="1"/>
        <d v="2025-03-24T06:32:00" u="1"/>
        <d v="2025-03-24T06:27:00" u="1"/>
        <d v="2025-03-24T08:16:00" u="1"/>
        <d v="2025-03-24T08:14:00" u="1"/>
        <d v="2025-03-20T07:37:00" u="1"/>
        <d v="2025-03-20T06:40:00" u="1"/>
        <d v="2025-03-24T13:07:00" u="1"/>
        <d v="2025-03-24T11:14:00" u="1"/>
        <d v="2025-03-24T11:28:00" u="1"/>
        <d v="2025-03-24T11:36:00" u="1"/>
        <d v="2025-03-21T14:06:00" u="1"/>
        <d v="2025-03-21T14:39:00" u="1"/>
        <d v="2025-03-24T14:46:00" u="1"/>
        <d v="2025-03-24T13:03:00" u="1"/>
        <d v="2025-03-24T13:06:00" u="1"/>
        <d v="2025-03-24T13:37:00" u="1"/>
        <d v="2025-03-24T14:30:00" u="1"/>
        <d v="2025-03-27T11:26:00" u="1"/>
        <d v="2025-03-27T06:09:00" u="1"/>
        <d v="2025-03-26T14:26:00" u="1"/>
        <d v="2025-03-26T07:34:00" u="1"/>
        <d v="2025-03-26T14:11:00" u="1"/>
        <d v="2025-03-25T14:30:00" u="1"/>
        <d v="2025-03-24T16:54:00" u="1"/>
        <d v="2025-03-24T18:06:00" u="1"/>
        <d v="2025-03-25T15:01:00" u="1"/>
        <d v="2025-03-25T16:12:00" u="1"/>
        <d v="2025-03-26T06:25:00" u="1"/>
        <d v="2025-03-26T07:22:00" u="1"/>
        <d v="2025-03-26T07:28:00" u="1"/>
        <d v="2025-03-12T12:06:00" u="1"/>
        <d v="2025-03-12T12:39:00" u="1"/>
        <d v="2025-03-17T08:06:00" u="1"/>
        <d v="2025-03-12T09:29:00" u="1"/>
        <d v="2025-03-13T08:00:00" u="1"/>
        <d v="2025-03-17T15:41:00" u="1"/>
        <d v="2025-03-17T16:40:00" u="1"/>
        <d v="2025-03-18T07:29:00" u="1"/>
        <d v="2025-03-07T14:06:00" u="1"/>
        <d v="2025-03-07T10:59:00" u="1"/>
        <d v="2025-03-07T10:27:00" u="1"/>
        <d v="2025-03-07T08:34:00" u="1"/>
        <d v="2025-03-11T15:39:00" u="1"/>
        <d v="2025-03-11T15:14:00" u="1"/>
        <d v="2025-03-11T15:19:00" u="1"/>
        <d v="2025-03-11T09:24:00" u="1"/>
        <d v="2025-03-11T09:29:00" u="1"/>
        <d v="2025-03-11T11:42:00" u="1"/>
        <d v="2025-03-10T08:19:00" u="1"/>
        <d v="2025-03-17T14:45:00" u="1"/>
        <d v="2025-03-18T12:33:00" u="1"/>
        <d v="2025-03-18T12:00:00" u="1"/>
        <d v="2025-03-17T10:39:00" u="1"/>
        <d v="2025-03-18T13:40:00" u="1"/>
        <d v="2025-03-19T08:42:00" u="1"/>
        <d v="2025-03-19T09:29:00" u="1"/>
        <d v="2025-03-20T21:34:00" u="1"/>
        <d v="2025-03-21T05:58:00" u="1"/>
        <d v="2025-03-21T06:04:00" u="1"/>
        <d v="2025-03-21T06:41:00" u="1"/>
        <d v="2025-03-21T08:29:00" u="1"/>
        <d v="2025-03-19T10:46:00" u="1"/>
        <d v="2025-03-19T11:25:00" u="1"/>
        <d v="2025-03-19T13:40:00" u="1"/>
        <d v="2025-03-20T12:04:00" u="1"/>
        <d v="2025-03-20T12:09:00" u="1"/>
        <d v="2025-03-21T12:19:00" u="1"/>
        <d v="2025-03-21T12:23:00" u="1"/>
        <d v="2025-03-21T13:46:00" u="1"/>
        <d v="2025-03-21T14:00:00" u="1"/>
        <d v="2025-03-26T10:15:00" u="1"/>
        <d v="2025-03-24T21:50:00" u="1"/>
        <d v="2025-03-27T08:48:00" u="1"/>
        <d v="2025-03-25T17:22:00" u="1"/>
        <d v="2025-03-25T16:25:00" u="1"/>
        <d v="2025-03-25T04:51:00" u="1"/>
        <d v="2025-03-24T21:27:00" u="1"/>
        <d v="2025-03-24T14:58:00" u="1"/>
        <d v="2025-03-27T13:19:00" u="1"/>
        <d v="2025-03-24T17:51:00" u="1"/>
        <d v="2025-03-24T11:47:00" u="1"/>
        <d v="2025-03-25T12:44:00" u="1"/>
        <d v="2025-03-26T08:31:00" u="1"/>
        <d v="2025-03-27T13:01:00" u="1"/>
        <d v="2025-03-27T13:26:00" u="1"/>
        <d v="2025-03-27T13:29:00" u="1"/>
        <d v="2025-03-27T11:43:00" u="1"/>
        <d v="2025-03-25T14:56:00" u="1"/>
        <d v="2025-03-25T16:37:00" u="1"/>
        <d v="2025-03-25T15:02:00" u="1"/>
        <d v="2025-03-13T09:30:00" u="1"/>
        <d v="2025-03-27T10:34:00" u="1"/>
        <d v="2025-03-26T14:09:00" u="1"/>
        <d v="2025-03-27T19:02:00" u="1"/>
        <d v="2025-03-27T10:18:00" u="1"/>
      </sharedItems>
      <fieldGroup par="44"/>
    </cacheField>
    <cacheField name="Requisição" numFmtId="0">
      <sharedItems containsBlank="1" containsMixedTypes="1" containsNumber="1" containsInteger="1" minValue="265" maxValue="4801518571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25955518" maxValue="8282448174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67526" maxValue="170240"/>
    </cacheField>
    <cacheField name="Tarifa" numFmtId="0">
      <sharedItems containsString="0" containsBlank="1" containsNumber="1" minValue="-6945.82" maxValue="812176.87860000005" count="8000">
        <n v="16875"/>
        <n v="0"/>
        <n v="415"/>
        <n v="210"/>
        <n v="209"/>
        <n v="683.05"/>
        <n v="6420.23"/>
        <n v="708.9"/>
        <n v="1249.3699999999999"/>
        <n v="361.68"/>
        <n v="250"/>
        <n v="445.2"/>
        <n v="1302.01"/>
        <n v="540.54999999999995"/>
        <n v="126.14"/>
        <n v="2891.49"/>
        <n v="2454.2800000000002"/>
        <n v="220.45"/>
        <n v="399.8"/>
        <n v="2030.81"/>
        <n v="2272.06"/>
        <n v="824.25"/>
        <n v="1435.99"/>
        <n v="1450.44"/>
        <n v="1698.87"/>
        <n v="0.01"/>
        <n v="71.8"/>
        <n v="590.32000000000005"/>
        <n v="1893.59"/>
        <n v="1260"/>
        <n v="128.79"/>
        <n v="600.72"/>
        <n v="1805.52"/>
        <n v="2083.12"/>
        <n v="166.75"/>
        <n v="409.41"/>
        <n v="1147.8399999999999"/>
        <n v="365.4"/>
        <n v="1055.5999999999999"/>
        <n v="1070.25"/>
        <n v="548.91999999999996"/>
        <n v="713.2"/>
        <n v="473.92"/>
        <n v="1519.9"/>
        <n v="803.17"/>
        <n v="2550.5100000000002"/>
        <n v="1360.78"/>
        <n v="1150.24"/>
        <n v="1634.84"/>
        <n v="947.09"/>
        <n v="93.9"/>
        <n v="577.44000000000005"/>
        <n v="823.84"/>
        <n v="665.84"/>
        <n v="1821.6792"/>
        <n v="160.97999999999999"/>
        <n v="629.97"/>
        <n v="577.47"/>
        <n v="419.98"/>
        <n v="689.97"/>
        <n v="1073.44"/>
        <n v="916.32"/>
        <n v="1020"/>
        <n v="589.25440000000003"/>
        <n v="122.16"/>
        <n v="487"/>
        <n v="486"/>
        <n v="140.29"/>
        <n v="118.68"/>
        <n v="443.67"/>
        <n v="359.99"/>
        <n v="289.95999999999998"/>
        <n v="289.94"/>
        <n v="129.07"/>
        <n v="488"/>
        <n v="219"/>
        <n v="772"/>
        <n v="139"/>
        <n v="154.80000000000001"/>
        <n v="260"/>
        <n v="797.88"/>
        <n v="239"/>
        <n v="4717.96"/>
        <n v="318"/>
        <n v="304"/>
        <n v="185"/>
        <n v="185.02"/>
        <n v="666.6576"/>
        <n v="1030.4112"/>
        <n v="509.54399999999998"/>
        <n v="717"/>
        <n v="295"/>
        <n v="288.14"/>
        <n v="590"/>
        <n v="445.96"/>
        <n v="923.36"/>
        <n v="935.14400000000001"/>
        <n v="378.79"/>
        <n v="326"/>
        <n v="176.435"/>
        <n v="85.08"/>
        <n v="1639"/>
        <n v="2495"/>
        <n v="998"/>
        <n v="1694.54"/>
        <n v="1593.07"/>
        <n v="1092.3900000000001"/>
        <n v="501.93"/>
        <n v="978"/>
        <n v="489"/>
        <n v="1911.28"/>
        <n v="1175"/>
        <n v="350.74"/>
        <n v="1545.41"/>
        <n v="679.14"/>
        <n v="2520.9299999999998"/>
        <n v="154"/>
        <n v="863.09"/>
        <n v="1158.0999999999999"/>
        <n v="140"/>
        <n v="2522.4"/>
        <n v="275"/>
        <n v="1150"/>
        <n v="32068.2582"/>
        <n v="12428.341200000001"/>
        <n v="276"/>
        <n v="387.8"/>
        <n v="568.79999999999995"/>
        <n v="699.82"/>
        <n v="1530"/>
        <n v="720"/>
        <n v="524"/>
        <n v="125"/>
        <n v="215"/>
        <n v="249.9"/>
        <n v="1312.1901"/>
        <n v="5916.9395999999997"/>
        <n v="395"/>
        <n v="617.66999999999996"/>
        <n v="418"/>
        <n v="170"/>
        <n v="379.76"/>
        <n v="220"/>
        <n v="867"/>
        <n v="180"/>
        <n v="156"/>
        <n v="5247.06"/>
        <n v="1908.2203"/>
        <n v="1522.86"/>
        <n v="788.07299999999998"/>
        <n v="20908.410400000001"/>
        <n v="1789"/>
        <n v="520"/>
        <n v="699.89700000000005"/>
        <n v="3577"/>
        <n v="1196"/>
        <n v="1170"/>
        <n v="4010.72"/>
        <n v="338.91199999999998"/>
        <n v="1176"/>
        <n v="836"/>
        <n v="432"/>
        <n v="3391.92"/>
        <n v="230"/>
        <n v="3975.72"/>
        <n v="3973.41"/>
        <n v="4655"/>
        <n v="2665.18"/>
        <n v="588"/>
        <n v="236.66"/>
        <n v="290"/>
        <n v="251"/>
        <n v="1180.77"/>
        <n v="315"/>
        <n v="855"/>
        <n v="496.12"/>
        <n v="1042.5"/>
        <n v="990.24"/>
        <n v="1013.32"/>
        <n v="429.07"/>
        <n v="580"/>
        <n v="1160"/>
        <n v="1184"/>
        <n v="270"/>
        <n v="371.8"/>
        <n v="231"/>
        <n v="1080"/>
        <n v="795.99"/>
        <n v="999.99"/>
        <n v="205.71340000000001"/>
        <n v="1472.04"/>
        <n v="2131.75"/>
        <n v="4802.1138000000001"/>
        <n v="8388.1985999999997"/>
        <n v="15732"/>
        <n v="7475"/>
        <n v="97.02"/>
        <n v="1742.91"/>
        <n v="1732.87"/>
        <n v="530"/>
        <n v="1392.7398000000001"/>
        <n v="1719.9278999999999"/>
        <n v="453.09"/>
        <n v="2193.6976"/>
        <n v="791.26319999999998"/>
        <n v="1063.3692000000001"/>
        <n v="1256.269"/>
        <n v="985"/>
        <n v="1876"/>
        <n v="942.95"/>
        <n v="400"/>
        <n v="646"/>
        <n v="467.88"/>
        <n v="1215.06"/>
        <n v="991.9"/>
        <n v="2088"/>
        <n v="3341.86"/>
        <n v="14699.92"/>
        <n v="1559.86"/>
        <n v="7347.6480000000001"/>
        <n v="584"/>
        <n v="758"/>
        <n v="338"/>
        <n v="440"/>
        <n v="110"/>
        <n v="329.67"/>
        <n v="306"/>
        <n v="640"/>
        <n v="286.88"/>
        <n v="1616"/>
        <n v="550"/>
        <n v="1229.0001"/>
        <n v="263.75"/>
        <n v="2651.8"/>
        <n v="296.39999999999998"/>
        <n v="603.99990000000003"/>
        <n v="187"/>
        <n v="7945.89"/>
        <n v="7951.68"/>
        <n v="8009.52"/>
        <n v="649.39"/>
        <n v="3325.9807999999998"/>
        <n v="199.58500000000001"/>
        <n v="234.77"/>
        <n v="557.07749999999999"/>
        <n v="674.2835"/>
        <n v="741"/>
        <n v="340"/>
        <n v="50"/>
        <n v="2350"/>
        <n v="2497.9499999999998"/>
        <n v="1428.32"/>
        <n v="517.48479999999995"/>
        <n v="884.93439999999998"/>
        <n v="562.7328"/>
        <n v="375.34559999999999"/>
        <n v="870"/>
        <n v="8285.52"/>
        <n v="1220"/>
        <n v="914"/>
        <n v="574"/>
        <n v="480.48"/>
        <n v="4989.24"/>
        <n v="181.5"/>
        <n v="816"/>
        <n v="150"/>
        <n v="1800"/>
        <n v="1615.92"/>
        <n v="547.04"/>
        <n v="756"/>
        <n v="169"/>
        <n v="8521.7099999999991"/>
        <n v="537.69000000000005"/>
        <n v="425.4"/>
        <n v="155"/>
        <n v="310"/>
        <n v="2986.14"/>
        <n v="6145.5504000000001"/>
        <n v="1136.6207999999999"/>
        <n v="405.78719999999998"/>
        <n v="334.18560000000002"/>
        <n v="494.72640000000001"/>
        <n v="536.83839999999998"/>
        <n v="511.21280000000002"/>
        <n v="289.47519999999997"/>
        <n v="199.9872"/>
        <n v="402.62880000000001"/>
        <n v="468.45119999999997"/>
        <n v="345.87"/>
        <n v="249.8"/>
        <n v="1240"/>
        <n v="635.66719999999998"/>
        <m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660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186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494.05439999999999" u="1"/>
        <n v="171.12479999999999" u="1"/>
        <n v="279" u="1"/>
        <n v="1835.43" u="1"/>
        <n v="1776.1148000000001" u="1"/>
        <n v="2101.8845999999999" u="1"/>
        <n v="164.6848" u="1"/>
        <n v="205.1" u="1"/>
        <n v="153.16" u="1"/>
        <n v="1236.704" u="1"/>
        <n v="2871.8591999999999" u="1"/>
        <n v="327.12959999999998" u="1"/>
        <n v="409.98719999999997" u="1"/>
        <n v="163.56479999999999" u="1"/>
        <n v="260.39999999999998" u="1"/>
        <n v="715.62" u="1"/>
        <n v="294.87" u="1"/>
        <n v="887.38019999999995" u="1"/>
        <n v="1230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194.43199999999999" u="1"/>
        <n v="595.05989999999997" u="1"/>
        <n v="188.67519999999999" u="1"/>
        <n v="172" u="1"/>
        <n v="203.05600000000001" u="1"/>
        <n v="128.65" u="1"/>
        <n v="752.73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235" u="1"/>
        <n v="595.20000000000005" u="1"/>
        <n v="278.25" u="1"/>
        <n v="217" u="1"/>
        <n v="183.54" u="1"/>
        <n v="3209.0974999999999" u="1"/>
        <n v="5378.09" u="1"/>
        <n v="1124.42" u="1"/>
        <n v="175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1200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44.73759999999999" u="1"/>
        <n v="1002.0864" u="1"/>
        <n v="372.55680000000001" u="1"/>
        <n v="489.38400000000001" u="1"/>
        <n v="117.3592" u="1"/>
        <n v="506.76" u="1"/>
        <n v="1059.1199999999999" u="1"/>
        <n v="375" u="1"/>
        <n v="1146.47" u="1"/>
        <n v="259.12" u="1"/>
        <n v="17284.400000000001" u="1"/>
        <n v="278.13" u="1"/>
        <n v="3359.058" u="1"/>
        <n v="880.56100000000004" u="1"/>
        <n v="686.36749999999995" u="1"/>
        <n v="8173.25" u="1"/>
        <n v="2480.6880000000001" u="1"/>
        <n v="7561.26" u="1"/>
        <n v="1195.6400000000001" u="1"/>
        <n v="2487.65" u="1"/>
        <n v="2532.444" u="1"/>
        <n v="340.2" u="1"/>
        <n v="5202.66" u="1"/>
        <n v="264.5" u="1"/>
        <n v="713.17" u="1"/>
        <n v="802.59" u="1"/>
        <n v="2701.44" u="1"/>
        <n v="1828.6" u="1"/>
        <n v="886.32" u="1"/>
        <n v="1616.84" u="1"/>
        <n v="599.79999999999995" u="1"/>
        <n v="735.08" u="1"/>
        <n v="730.8" u="1"/>
        <n v="275.5" u="1"/>
        <n v="1193.2260000000001" u="1"/>
        <n v="18543.207999999999" u="1"/>
        <n v="1978.4939999999999" u="1"/>
        <n v="675" u="1"/>
        <n v="5435.5" u="1"/>
        <n v="21809.13" u="1"/>
        <n v="5511" u="1"/>
        <n v="5054.8" u="1"/>
        <n v="3896" u="1"/>
        <n v="1010" u="1"/>
        <n v="3889" u="1"/>
        <n v="86" u="1"/>
        <n v="1001" u="1"/>
        <n v="990" u="1"/>
        <n v="188" u="1"/>
        <n v="3893" u="1"/>
        <n v="600.6" u="1"/>
        <n v="1985.51" u="1"/>
        <n v="32241.1" u="1"/>
        <n v="24.8" u="1"/>
        <n v="6580.49" u="1"/>
        <n v="1308" u="1"/>
        <n v="1570" u="1"/>
        <n v="100" u="1"/>
        <n v="409" u="1"/>
        <n v="389" u="1"/>
        <n v="10620.388000000001" u="1"/>
        <n v="2779.92" u="1"/>
        <n v="6978.82" u="1"/>
        <n v="23202.29" u="1"/>
        <n v="214.35" u="1"/>
        <n v="1258.5" u="1"/>
        <n v="840" u="1"/>
        <n v="1674" u="1"/>
        <n v="570.96799999999996" u="1"/>
        <n v="1048.96" u="1"/>
        <n v="3053.68" u="1"/>
        <n v="2199.62" u="1"/>
        <n v="5535" u="1"/>
        <n v="2093.31" u="1"/>
        <n v="403.03199999999998" u="1"/>
        <n v="3270.37" u="1"/>
        <n v="11507.268" u="1"/>
        <n v="420" u="1"/>
        <n v="819" u="1"/>
        <n v="265" u="1"/>
        <n v="707.9" u="1"/>
        <n v="1344.8" u="1"/>
        <n v="196" u="1"/>
        <n v="4976.7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299" u="1"/>
        <n v="17762.86" u="1"/>
        <n v="41017.089999999997" u="1"/>
        <n v="30761.43" u="1"/>
        <n v="329.36959999999999" u="1"/>
        <n v="344.32" u="1"/>
        <n v="765" u="1"/>
        <n v="614.98080000000004" u="1"/>
        <n v="490.69439999999997" u="1"/>
        <n v="146.51840000000001" u="1"/>
        <n v="3665.0432000000001" u="1"/>
        <n v="506.65440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392.23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852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32" u="1"/>
        <n v="1061.27" u="1"/>
        <n v="752.86" u="1"/>
        <n v="740.94" u="1"/>
        <n v="3804.75" u="1"/>
        <n v="2716.3348999999998" u="1"/>
        <n v="579.29999999999995" u="1"/>
        <n v="223.61" u="1"/>
        <n v="136.63999999999999" u="1"/>
        <n v="122.36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560" u="1"/>
        <n v="864" u="1"/>
        <n v="2033.32" u="1"/>
        <n v="579.19680000000005" u="1"/>
        <n v="761.30880000000002" u="1"/>
        <n v="714.57119999999998" u="1"/>
        <n v="770.33600000000001" u="1"/>
        <n v="316.89280000000002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0.1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225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330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933" u="1"/>
        <n v="710" u="1"/>
        <n v="535.26" u="1"/>
        <n v="20916.060000000001" u="1"/>
        <n v="1188" u="1"/>
        <n v="1110" u="1"/>
        <n v="1719" u="1"/>
        <n v="446.67" u="1"/>
        <n v="2822.22" u="1"/>
        <n v="18428.32" u="1"/>
        <n v="2882.8" u="1"/>
        <n v="4894.63" u="1"/>
        <n v="512.87" u="1"/>
        <n v="329" u="1"/>
        <n v="6175.22" u="1"/>
        <n v="1493" u="1"/>
        <n v="354" u="1"/>
        <n v="2140.27" u="1"/>
        <n v="1163.54" u="1"/>
        <n v="1908.17" u="1"/>
        <n v="1339.48" u="1"/>
        <n v="1446.71" u="1"/>
        <n v="965.11" u="1"/>
        <n v="468.03" u="1"/>
        <n v="1551.92" u="1"/>
        <n v="594.91" u="1"/>
        <n v="785.74" u="1"/>
        <n v="1925.43" u="1"/>
        <n v="5505.8078999999998" u="1"/>
        <n v="16095.8" u="1"/>
        <n v="1990.37" u="1"/>
        <n v="2069.7941999999998" u="1"/>
        <n v="622.91" u="1"/>
        <n v="7776.63" u="1"/>
        <n v="3509.35" u="1"/>
        <n v="1835.78" u="1"/>
        <n v="1682.76" u="1"/>
        <n v="26697.21" u="1"/>
        <n v="2216.73" u="1"/>
        <n v="7396.1934000000001" u="1"/>
        <n v="12516.99" u="1"/>
        <n v="2444.5" u="1"/>
        <n v="5431.0240000000003" u="1"/>
        <n v="1480" u="1"/>
        <n v="750" u="1"/>
        <n v="75.53" u="1"/>
        <n v="2600" u="1"/>
        <n v="438" u="1"/>
        <n v="248.9" u="1"/>
        <n v="30.25" u="1"/>
        <n v="2407.34" u="1"/>
        <n v="751.7" u="1"/>
        <n v="3737.6" u="1"/>
        <n v="17418.84" u="1"/>
        <n v="9083.9599999999991" u="1"/>
        <n v="7547.71" u="1"/>
        <n v="6118.14" u="1"/>
        <n v="6278.5" u="1"/>
        <n v="661.93" u="1"/>
        <n v="6900.17" u="1"/>
        <n v="7181.88" u="1"/>
        <n v="2437.9" u="1"/>
        <n v="3478.85" u="1"/>
        <n v="25742.44" u="1"/>
        <n v="28258.95" u="1"/>
        <n v="450" u="1"/>
        <n v="1550.7234000000001" u="1"/>
        <n v="546.6" u="1"/>
        <n v="3130.98" u="1"/>
        <n v="3138.97" u="1"/>
        <n v="21775.17" u="1"/>
        <n v="6795.65" u="1"/>
        <n v="23537.52" u="1"/>
        <n v="7623.51" u="1"/>
        <n v="21690.9" u="1"/>
        <n v="35128.69" u="1"/>
        <n v="7892.78" u="1"/>
        <n v="7624.4" u="1"/>
        <n v="31226.080000000002" u="1"/>
        <n v="6105.02" u="1"/>
        <n v="11983.79" u="1"/>
        <n v="1136.44" u="1"/>
        <n v="15538.39" u="1"/>
        <n v="7398.53" u="1"/>
        <n v="1300.02" u="1"/>
        <n v="1367.64" u="1"/>
        <n v="23229.14" u="1"/>
        <n v="26877.97" u="1"/>
        <n v="1811.7692999999999" u="1"/>
        <n v="1008.23" u="1"/>
        <n v="3496.08" u="1"/>
        <n v="1161.51" u="1"/>
        <n v="288.79000000000002" u="1"/>
        <n v="13438.98" u="1"/>
        <n v="2420.5300000000002" u="1"/>
        <n v="383" u="1"/>
        <n v="790" u="1"/>
        <n v="169.9" u="1"/>
        <n v="937.3338" u="1"/>
        <n v="1226.848" u="1"/>
        <n v="6654.48" u="1"/>
        <n v="120" u="1"/>
        <n v="8756.08" u="1"/>
        <n v="56.05" u="1"/>
        <n v="94.01" u="1"/>
        <n v="897" u="1"/>
        <n v="536.44259999999997" u="1"/>
        <n v="1814.106" u="1"/>
        <n v="939.45600000000002" u="1"/>
        <n v="299.29000000000002" u="1"/>
        <n v="558.5" u="1"/>
        <n v="5.5199999999999999E-2" u="1"/>
        <n v="1612.2195999999999" u="1"/>
        <n v="4609.29" u="1"/>
        <n v="6452.25" u="1"/>
        <n v="1016.5" u="1"/>
        <n v="696.02" u="1"/>
        <n v="502.86" u="1"/>
        <n v="4165.3100000000004" u="1"/>
        <n v="4252.2" u="1"/>
        <n v="2889.73" u="1"/>
        <n v="656.18" u="1"/>
        <n v="24681.18" u="1"/>
        <n v="420.85" u="1"/>
        <n v="9452.4599999999991" u="1"/>
        <n v="904.31849999999997" u="1"/>
        <n v="2841.1444999999999" u="1"/>
        <n v="1495.6714999999999" u="1"/>
        <n v="8345.08" u="1"/>
        <n v="988.31" u="1"/>
        <n v="2505.0889999999999" u="1"/>
        <n v="1330.6864" u="1"/>
        <n v="1079.06" u="1"/>
        <n v="8400.02" u="1"/>
        <n v="1642.5713000000001" u="1"/>
        <n v="1422.74" u="1"/>
        <n v="3275.5313000000001" u="1"/>
        <n v="657.21050000000002" u="1"/>
        <n v="12532.06" u="1"/>
        <n v="11218.33" u="1"/>
        <n v="11865.27" u="1"/>
        <n v="4550.2299999999996" u="1"/>
        <n v="5328.98" u="1"/>
        <n v="19387.62" u="1"/>
        <n v="3732.39" u="1"/>
        <n v="16938.4912" u="1"/>
        <n v="7816.44" u="1"/>
        <n v="12065.72" u="1"/>
        <n v="941.23" u="1"/>
        <n v="8743.65" u="1"/>
        <n v="13053.26" u="1"/>
        <n v="2256.4499999999998" u="1"/>
        <n v="6709.48" u="1"/>
        <n v="5813.5922" u="1"/>
        <n v="557.6" u="1"/>
        <n v="8804.9940000000006" u="1"/>
        <n v="554.27" u="1"/>
        <n v="7605.75" u="1"/>
        <n v="29282.0841" u="1"/>
        <n v="20955.099999999999" u="1"/>
        <n v="42686.82" u="1"/>
        <n v="21964.21" u="1"/>
        <n v="4683.68" u="1"/>
        <n v="18404.23" u="1"/>
        <n v="6735.98" u="1"/>
        <n v="9077.7099999999991" u="1"/>
        <n v="992" u="1"/>
        <n v="1560" u="1"/>
        <n v="372.75" u="1"/>
        <n v="1516" u="1"/>
        <n v="793.01" u="1"/>
        <n v="179.33" u="1"/>
        <n v="26778.305" u="1"/>
        <n v="20189.71" u="1"/>
        <n v="2908.12" u="1"/>
        <n v="5815.63" u="1"/>
        <n v="7565.78" u="1"/>
        <n v="8369.4770000000008" u="1"/>
        <n v="248.62" u="1"/>
        <n v="536" u="1"/>
        <n v="3186.404" u="1"/>
        <n v="889.11" u="1"/>
        <n v="1908" u="1"/>
        <n v="850" u="1"/>
        <n v="656" u="1"/>
        <n v="214.08" u="1"/>
        <n v="1107" u="1"/>
        <n v="1697.73" u="1"/>
        <n v="649.87" u="1"/>
        <n v="648.05999999999995" u="1"/>
        <n v="474" u="1"/>
        <n v="992.27520000000004" u="1"/>
        <n v="1286.6559999999999" u="1"/>
        <n v="1809.64" u="1"/>
        <n v="2040.4608000000001" u="1"/>
        <n v="14071.86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2278.518" u="1"/>
        <n v="374.05759999999998" u="1"/>
        <n v="194.67" u="1"/>
        <n v="143" u="1"/>
        <n v="337.76960000000003" u="1"/>
        <n v="803.62049999999999" u="1"/>
        <n v="884.43150000000003" u="1"/>
        <n v="36683.4" u="1"/>
        <n v="887" u="1"/>
        <n v="7910" u="1"/>
        <n v="6025.88" u="1"/>
        <n v="1218.8800000000001" u="1"/>
        <n v="61" u="1"/>
        <n v="134.06" u="1"/>
        <n v="1370.3424" u="1"/>
        <n v="429.72" u="1"/>
        <n v="411.63740000000001" u="1"/>
        <n v="821.64" u="1"/>
        <n v="592.83000000000004" u="1"/>
        <n v="818.1" u="1"/>
        <n v="3886.95" u="1"/>
        <n v="469.19040000000001" u="1"/>
        <n v="1100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714" u="1"/>
        <n v="2535" u="1"/>
        <n v="11160" u="1"/>
        <n v="328.9" u="1"/>
        <n v="223" u="1"/>
        <n v="1345" u="1"/>
        <n v="179" u="1"/>
        <n v="630" u="1"/>
        <n v="242.55" u="1"/>
        <n v="668.1" u="1"/>
        <n v="1470" u="1"/>
        <n v="240.54" u="1"/>
        <n v="176" u="1"/>
        <n v="2217.4497000000001" u="1"/>
        <n v="701.96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848.73" u="1"/>
        <n v="112.48" u="1"/>
        <n v="455.52" u="1"/>
        <n v="459.24" u="1"/>
        <n v="285.43" u="1"/>
        <n v="272" u="1"/>
        <n v="1113.2483999999999" u="1"/>
        <n v="4316.1099999999997" u="1"/>
        <n v="1020.18" u="1"/>
        <n v="4431.16" u="1"/>
        <n v="2908.63" u="1"/>
        <n v="4972.1099999999997" u="1"/>
        <n v="1230.23" u="1"/>
        <n v="2153.11" u="1"/>
        <n v="1442.43" u="1"/>
        <n v="15344.18" u="1"/>
        <n v="547.54999999999995" u="1"/>
        <n v="2731" u="1"/>
        <n v="0.11" u="1"/>
        <n v="412.6" u="1"/>
        <n v="2218.7199999999998" u="1"/>
        <n v="2273.16" u="1"/>
        <n v="3352.42" u="1"/>
        <n v="9371.66" u="1"/>
        <n v="5429.75" u="1"/>
        <n v="2149.31" u="1"/>
        <n v="1642.77" u="1"/>
        <n v="18386.759999999998" u="1"/>
        <n v="19542.580000000002" u="1"/>
        <n v="766" u="1"/>
        <n v="399" u="1"/>
        <n v="412" u="1"/>
        <n v="1068" u="1"/>
        <n v="242" u="1"/>
        <n v="1193.06" u="1"/>
        <n v="485.91" u="1"/>
        <n v="3222.59" u="1"/>
        <n v="2294.48" u="1"/>
        <n v="24.28" u="1"/>
        <n v="600" u="1"/>
        <n v="282" u="1"/>
        <n v="595" u="1"/>
        <n v="300" u="1"/>
        <n v="664" u="1"/>
        <n v="952" u="1"/>
        <n v="268" u="1"/>
        <n v="649.95000000000005" u="1"/>
        <n v="226" u="1"/>
        <n v="335.6" u="1"/>
        <n v="5369.6" u="1"/>
        <n v="245" u="1"/>
        <n v="480" u="1"/>
        <n v="577" u="1"/>
        <n v="944.01" u="1"/>
        <n v="803.01" u="1"/>
        <n v="402" u="1"/>
        <n v="284.89999999999998" u="1"/>
        <n v="880" u="1"/>
        <n v="194.5" u="1"/>
        <n v="259.24259999999998" u="1"/>
        <n v="202.0256" u="1"/>
        <n v="4462.92" u="1"/>
        <n v="1701" u="1"/>
        <n v="661.51679999999999" u="1"/>
        <n v="3784.4351999999999" u="1"/>
        <n v="2977.0944" u="1"/>
        <n v="1379.9" u="1"/>
        <n v="728.76" u="1"/>
        <n v="1254.1500000000001" u="1"/>
        <n v="1112.76" u="1"/>
        <n v="1776.96" u="1"/>
        <n v="1480.85" u="1"/>
        <n v="829.32" u="1"/>
        <n v="340.1" u="1"/>
        <n v="540" u="1"/>
        <n v="675.53920000000005" u="1"/>
        <n v="236.81" u="1"/>
        <n v="1242.2828999999999" u="1"/>
        <n v="839.39949999999999" u="1"/>
        <n v="413" u="1"/>
        <n v="559.98" u="1"/>
        <n v="374.32" u="1"/>
        <n v="174.26" u="1"/>
        <n v="1284.05" u="1"/>
        <n v="214.5" u="1"/>
        <n v="1368.7" u="1"/>
        <n v="1388.1" u="1"/>
        <n v="324.39999999999998" u="1"/>
        <n v="385" u="1"/>
        <n v="4098" u="1"/>
        <n v="4593" u="1"/>
        <n v="1325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261.87" u="1"/>
        <n v="80.790000000000006" u="1"/>
        <n v="4866.6527999999998" u="1"/>
        <n v="594" u="1"/>
        <n v="1450" u="1"/>
        <n v="688.8" u="1"/>
        <n v="605" u="1"/>
        <n v="461.7" u="1"/>
        <n v="325.5" u="1"/>
        <n v="347" u="1"/>
        <n v="1910" u="1"/>
        <n v="810" u="1"/>
        <n v="302" u="1"/>
        <n v="200" u="1"/>
        <n v="562" u="1"/>
        <n v="405.6" u="1"/>
        <n v="842.35199999999998" u="1"/>
        <n v="285.11" u="1"/>
        <n v="569.84249999999997" u="1"/>
        <n v="629" u="1"/>
        <n v="1071" u="1"/>
        <n v="586.20000000000005" u="1"/>
        <n v="1154" u="1"/>
        <n v="3677.8" u="1"/>
        <n v="892.8" u="1"/>
        <n v="500" u="1"/>
        <n v="1319.75" u="1"/>
        <n v="651.61" u="1"/>
        <n v="3505.04" u="1"/>
        <n v="1002.84" u="1"/>
        <n v="1770.13" u="1"/>
        <n v="1548.14" u="1"/>
        <n v="33598.11" u="1"/>
        <n v="16837" u="1"/>
        <n v="422.28" u="1"/>
        <n v="439.52" u="1"/>
        <n v="506.33" u="1"/>
        <n v="327.07" u="1"/>
        <n v="965.87" u="1"/>
        <n v="545.97" u="1"/>
        <n v="1462.89" u="1"/>
        <n v="4065.07" u="1"/>
        <n v="907.32" u="1"/>
        <n v="2717.34" u="1"/>
        <n v="26896.19" u="1"/>
        <n v="1626.24" u="1"/>
        <n v="11253.66" u="1"/>
        <n v="1646.07" u="1"/>
        <n v="1260.1069" u="1"/>
        <n v="14169.97" u="1"/>
        <n v="25211.87" u="1"/>
        <n v="376.27" u="1"/>
        <n v="14543.01" u="1"/>
        <n v="150.77000000000001" u="1"/>
        <n v="284" u="1"/>
        <n v="1484.33" u="1"/>
        <n v="1560.05" u="1"/>
        <n v="547.85" u="1"/>
        <n v="900.9" u="1"/>
        <n v="228.23" u="1"/>
        <n v="10245.31" u="1"/>
        <n v="567.65" u="1"/>
        <n v="599.76" u="1"/>
        <n v="1375" u="1"/>
        <n v="15345.128000000001" u="1"/>
        <n v="91.77" u="1"/>
        <n v="280" u="1"/>
        <n v="657" u="1"/>
        <n v="346.5" u="1"/>
        <n v="706.02700000000004" u="1"/>
        <n v="529.46" u="1"/>
        <n v="1259.93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1240.47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58.73919999999998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155.96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430" u="1"/>
        <n v="572.91999999999996" u="1"/>
        <n v="286.45999999999998" u="1"/>
        <n v="602.08000000000004" u="1"/>
        <n v="1036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5999999999999" u="1"/>
        <n v="285" u="1"/>
        <n v="918" u="1"/>
        <n v="4410.3419999999996" u="1"/>
        <n v="3528.2736" u="1"/>
        <n v="377.35039999999998" u="1"/>
        <n v="5710.32" u="1"/>
        <n v="218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1428.42" u="1"/>
        <n v="4761.2700000000004" u="1"/>
        <n v="502.52" u="1"/>
        <n v="434.69" u="1"/>
        <n v="431.78" u="1"/>
        <n v="388.86399999999998" u="1"/>
        <n v="182.03280000000001" u="1"/>
        <n v="2977.4151000000002" u="1"/>
        <n v="822" u="1"/>
        <n v="1521" u="1"/>
        <n v="816.22400000000005" u="1"/>
        <n v="2746" u="1"/>
        <n v="714.54" u="1"/>
        <n v="8510.8799999999992" u="1"/>
        <n v="477.75" u="1"/>
        <n v="2132.3200000000002" u="1"/>
        <n v="4702.88" u="1"/>
        <n v="793.63499999999999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102.27" u="1"/>
        <n v="267.58" u="1"/>
        <n v="5503.9859999999999" u="1"/>
        <n v="570.91999999999996" u="1"/>
        <n v="11751.48" u="1"/>
        <n v="650" u="1"/>
        <n v="1886.1" u="1"/>
        <n v="2831.2919999999999" u="1"/>
        <n v="879" u="1"/>
        <n v="782.88" u="1"/>
        <n v="436.875" u="1"/>
        <n v="356.72" u="1"/>
        <n v="831.93600000000004" u="1"/>
        <n v="431.928" u="1"/>
        <n v="2892" u="1"/>
        <n v="836.79" u="1"/>
        <n v="501.32" u="1"/>
        <n v="446" u="1"/>
        <n v="2966.1" u="1"/>
        <n v="428.7" u="1"/>
        <n v="1798.5" u="1"/>
        <n v="775" u="1"/>
        <n v="1806.72" u="1"/>
        <n v="340.01" u="1"/>
        <n v="804.38" u="1"/>
        <n v="570" u="1"/>
        <n v="456" u="1"/>
        <n v="291.55" u="1"/>
        <n v="552.24" u="1"/>
        <n v="645.0499999999999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05" u="1"/>
        <n v="1191.9000000000001" u="1"/>
        <n v="756.25" u="1"/>
        <n v="2041.16" u="1"/>
        <n v="310.91000000000003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2999999998" u="1"/>
        <n v="3191.6217000000001" u="1"/>
        <n v="895" u="1"/>
        <n v="1206" u="1"/>
        <n v="4773.6899999999996" u="1"/>
        <n v="1142" u="1"/>
        <n v="322" u="1"/>
        <n v="255" u="1"/>
        <n v="258.88" u="1"/>
        <n v="2506.6799999999998" u="1"/>
        <n v="6.39" u="1"/>
        <n v="1439.46" u="1"/>
        <n v="163.464" u="1"/>
        <n v="946.4" u="1"/>
        <n v="211.232" u="1"/>
        <n v="2492.4720000000002" u="1"/>
        <n v="229" u="1"/>
        <n v="1808" u="1"/>
        <n v="4050" u="1"/>
        <n v="1350" u="1"/>
        <n v="5655.0479999999998" u="1"/>
        <n v="2420.64" u="1"/>
        <n v="518.45000000000005" u="1"/>
        <n v="3330" u="1"/>
        <n v="848" u="1"/>
        <n v="2299.9018000000001" u="1"/>
        <n v="193.75" u="1"/>
        <n v="1446.606" u="1"/>
        <n v="1958" u="1"/>
        <n v="2703.692" u="1"/>
        <n v="1323.44" u="1"/>
        <n v="470.3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0000000002" u="1"/>
        <n v="2424.114" u="1"/>
        <n v="318.54000000000002" u="1"/>
        <n v="843.35" u="1"/>
        <n v="159.04" u="1"/>
        <n v="301.91000000000003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799999999999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301.76" u="1"/>
        <n v="20355" u="1"/>
        <n v="99.71" u="1"/>
        <n v="63.7" u="1"/>
        <n v="232.74" u="1"/>
        <n v="223.92" u="1"/>
        <n v="115.76" u="1"/>
        <n v="4860.3847999999998" u="1"/>
        <n v="615" u="1"/>
        <n v="194" u="1"/>
        <n v="290.89999999999998" u="1"/>
        <n v="233.96799999999999" u="1"/>
        <n v="519" u="1"/>
        <n v="408" u="1"/>
        <n v="438.84" u="1"/>
        <n v="1594.88" u="1"/>
        <n v="1495.2" u="1"/>
        <n v="1368.5" u="1"/>
        <n v="951.3" u="1"/>
        <n v="786.68799999999999" u="1"/>
        <n v="610.62400000000002" u="1"/>
        <n v="574.33600000000001" u="1"/>
        <n v="430.75200000000001" u="1"/>
        <n v="336.1120000000000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0000000001" u="1"/>
        <n v="12637.35" u="1"/>
        <n v="1122.1600000000001" u="1"/>
        <n v="1851.75" u="1"/>
        <n v="715757.60340000002" u="1"/>
        <n v="2230" u="1"/>
        <n v="812176.87860000005" u="1"/>
        <n v="1118.05" u="1"/>
        <n v="3780.8" u="1"/>
        <n v="3770.41" u="1"/>
        <n v="3492.5201999999999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6999999998" u="1"/>
        <n v="1235.1686999999999" u="1"/>
        <n v="2097.6999999999998" u="1"/>
        <n v="584.07000000000005" u="1"/>
        <n v="22285.32" u="1"/>
        <n v="3447.4670000000001" u="1"/>
        <n v="630.69000000000005" u="1"/>
        <n v="931.73" u="1"/>
        <n v="1786.7212999999999" u="1"/>
        <n v="19657.91" u="1"/>
        <n v="421.59640000000002" u="1"/>
        <n v="547.98170000000005" u="1"/>
        <n v="688.88" u="1"/>
        <n v="1296.7515000000001" u="1"/>
        <n v="1259.5208" u="1"/>
        <n v="2283.4814999999999" u="1"/>
        <n v="680.80619999999999" u="1"/>
        <n v="1077.3794" u="1"/>
        <n v="561.97" u="1"/>
        <n v="1142.6774" u="1"/>
        <n v="1203.9090000000001" u="1"/>
        <n v="786.85" u="1"/>
        <n v="19370.669999999998" u="1"/>
        <n v="999.14020000000005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07" u="1"/>
        <n v="791.4479" u="1"/>
        <n v="2247.48" u="1"/>
        <n v="6094.73" u="1"/>
        <n v="1591.9627" u="1"/>
        <n v="2306.5457999999999" u="1"/>
        <n v="1008.1552" u="1"/>
        <n v="813.08109999999999" u="1"/>
        <n v="960.44309999999996" u="1"/>
        <n v="3374.35" u="1"/>
        <n v="595.30330000000004" u="1"/>
        <n v="1086.5459000000001" u="1"/>
        <n v="7232.34" u="1"/>
        <n v="3564.1934000000001" u="1"/>
        <n v="2409.92" u="1"/>
        <n v="2296.7800000000002" u="1"/>
        <n v="1779.96" u="1"/>
        <n v="8967.41" u="1"/>
        <n v="1236.0468000000001" u="1"/>
        <n v="2065.2600000000002" u="1"/>
        <n v="1008.8775000000001" u="1"/>
        <n v="693.5" u="1"/>
        <n v="2322.54" u="1"/>
        <n v="4121.7700000000004" u="1"/>
        <n v="4867.68" u="1"/>
        <n v="1094.9096999999999" u="1"/>
        <n v="511.92" u="1"/>
        <n v="418.9" u="1"/>
        <n v="603.72" u="1"/>
        <n v="492.3" u="1"/>
        <n v="2301.5700000000002" u="1"/>
        <n v="919.11" u="1"/>
        <n v="1259.8399999999999" u="1"/>
        <n v="1749.94" u="1"/>
        <n v="1219.44" u="1"/>
        <n v="6283.03" u="1"/>
        <n v="4240.72" u="1"/>
        <n v="2390.04" u="1"/>
        <n v="5443.42" u="1"/>
        <n v="3950.76" u="1"/>
        <n v="5603.1459000000004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29999999997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399999999998" u="1"/>
        <n v="4390.1509999999998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05" u="1"/>
        <n v="593.91" u="1"/>
        <n v="1288" u="1"/>
        <n v="6246.64" u="1"/>
        <n v="6893.3127000000004" u="1"/>
        <n v="493.24540000000002" u="1"/>
        <n v="4162.2" u="1"/>
        <n v="8928.8700000000008" u="1"/>
        <n v="1050" u="1"/>
        <n v="2051.34" u="1"/>
        <n v="737.1" u="1"/>
        <n v="1580.75" u="1"/>
        <n v="27309.48" u="1"/>
        <n v="852.11279999999999" u="1"/>
        <n v="228" u="1"/>
        <n v="7029.73" u="1"/>
        <n v="18338.02" u="1"/>
        <n v="1653.69" u="1"/>
        <n v="800.82" u="1"/>
        <n v="440.1" u="1"/>
        <n v="5466.6108000000004" u="1"/>
        <n v="3087.6" u="1"/>
        <n v="813.4" u="1"/>
        <n v="2138.7600000000002" u="1"/>
        <n v="2125.1799999999998" u="1"/>
        <n v="388.8" u="1"/>
        <n v="2810" u="1"/>
        <n v="644.58000000000004" u="1"/>
        <n v="2583.36" u="1"/>
        <n v="126.81" u="1"/>
        <n v="1005.1" u="1"/>
        <n v="339.3" u="1"/>
        <n v="774.24" u="1"/>
        <n v="640.29999999999995" u="1"/>
        <n v="1152.364" u="1"/>
        <n v="254" u="1"/>
        <n v="5838.6239999999998" u="1"/>
        <n v="1126.356" u="1"/>
        <n v="1574.34" u="1"/>
        <n v="366" u="1"/>
        <n v="5230.8" u="1"/>
        <n v="11395.28" u="1"/>
        <n v="3453.28" u="1"/>
        <n v="2950.55" u="1"/>
        <n v="13155.93" u="1"/>
        <n v="855.01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00000000002" u="1"/>
        <n v="354.61" u="1"/>
        <n v="444.14" u="1"/>
        <n v="453.9" u="1"/>
        <n v="876.28" u="1"/>
        <n v="491.83" u="1"/>
        <n v="622.96" u="1"/>
        <n v="180.32" u="1"/>
        <n v="611.12" u="1"/>
        <n v="774.32" u="1"/>
        <n v="519.29999999999995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0000000001" u="1"/>
        <n v="704.7" u="1"/>
        <n v="714.96" u="1"/>
        <n v="1053.94" u="1"/>
        <n v="917.32" u="1"/>
        <n v="881.59" u="1"/>
        <n v="2819.1" u="1"/>
        <n v="2003.3679999999999" u="1"/>
        <n v="1178.2736" u="1"/>
        <n v="2988.2898" u="1"/>
        <n v="11669.084000000001" u="1"/>
        <n v="5178.99" u="1"/>
        <n v="3307.72" u="1"/>
        <n v="669.76" u="1"/>
        <n v="2487" u="1"/>
        <n v="136.99" u="1"/>
        <n v="270.94" u="1"/>
        <n v="1345.3" u="1"/>
        <n v="384.06" u="1"/>
        <n v="851.4" u="1"/>
        <n v="247.5872" u="1"/>
        <n v="760.25599999999997" u="1"/>
        <n v="770" u="1"/>
        <n v="996" u="1"/>
        <n v="744" u="1"/>
        <n v="746.8" u="1"/>
        <n v="79.260000000000005" u="1"/>
        <n v="463.17599999999999" u="1"/>
        <n v="330.09480000000002" u="1"/>
        <n v="460.35359999999997" u="1"/>
        <n v="549.25919999999996" u="1"/>
        <n v="293.66399999999999" u="1"/>
        <n v="427.32479999999998" u="1"/>
        <n v="546.67200000000003" u="1"/>
        <n v="440.12639999999999" u="1"/>
        <n v="6677.634" u="1"/>
        <n v="239.43" u="1"/>
        <n v="434.26" u="1"/>
        <n v="1662" u="1"/>
        <n v="1828.2" u="1"/>
        <n v="646.79999999999995" u="1"/>
        <n v="4851" u="1"/>
        <n v="676.2" u="1"/>
        <n v="294.58" u="1"/>
        <n v="542" u="1"/>
        <n v="637.41" u="1"/>
        <n v="189.33600000000001" u="1"/>
        <n v="708.45600000000002" u="1"/>
        <n v="397.82400000000001" u="1"/>
        <n v="407.28" u="1"/>
        <n v="111.85" u="1"/>
        <n v="268.3" u="1"/>
        <n v="178.51" u="1"/>
        <n v="9474.16" u="1"/>
        <n v="316.39999999999998" u="1"/>
        <n v="1311.8" u="1"/>
        <n v="616.9" u="1"/>
        <n v="130" u="1"/>
        <n v="1014.83" u="1"/>
        <n v="191.73" u="1"/>
        <n v="122" u="1"/>
        <n v="1994.91" u="1"/>
        <n v="780.63" u="1"/>
        <n v="730.32" u="1"/>
        <n v="330.7" u="1"/>
        <n v="653.9" u="1"/>
        <n v="15.68" u="1"/>
        <n v="294.32" u="1"/>
        <n v="893.73" u="1"/>
        <n v="461.6" u="1"/>
        <n v="640.79999999999995" u="1"/>
        <n v="444.51" u="1"/>
        <n v="487.71" u="1"/>
        <n v="2108.64" u="1"/>
        <n v="16773.900000000001" u="1"/>
        <n v="942" u="1"/>
        <n v="1126.6400000000001" u="1"/>
        <n v="303.83999999999997" u="1"/>
        <n v="392.09" u="1"/>
        <n v="207.77" u="1"/>
        <n v="513.32000000000005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399999999999" u="1"/>
        <n v="1166.5920000000001" u="1"/>
        <n v="827.00800000000004" u="1"/>
        <n v="3092.32" u="1"/>
        <n v="1647" u="1"/>
        <n v="6041.52" u="1"/>
        <n v="2821.46" u="1"/>
        <n v="6403.56" u="1"/>
        <n v="187.02879999999999" u="1"/>
        <n v="510" u="1"/>
        <n v="586.07360000000006" u="1"/>
        <n v="630.09" u="1"/>
        <n v="763.91" u="1"/>
        <n v="699" u="1"/>
        <n v="633.6" u="1"/>
        <n v="207.96" u="1"/>
        <n v="1181.25" u="1"/>
        <n v="104.99" u="1"/>
        <n v="498.51" u="1"/>
        <n v="1081.5840000000001" u="1"/>
        <n v="1350.72" u="1"/>
        <n v="1054.8800000000001" u="1"/>
        <n v="213.33" u="1"/>
        <n v="736" u="1"/>
        <n v="396.54719999999998" u="1"/>
        <n v="571.79999999999995" u="1"/>
        <n v="1997.856" u="1"/>
        <n v="248.75" u="1"/>
        <n v="514.67999999999995" u="1"/>
        <n v="167.44" u="1"/>
        <n v="502.32" u="1"/>
        <n v="288.54000000000002" u="1"/>
        <n v="235.53" u="1"/>
        <n v="575.01" u="1"/>
        <n v="262.67" u="1"/>
        <n v="104.51" u="1"/>
        <n v="518.05999999999995" u="1"/>
        <n v="800" u="1"/>
        <n v="226.33" u="1"/>
        <n v="223.14" u="1"/>
        <n v="127.94" u="1"/>
        <n v="595.65" u="1"/>
        <n v="380" u="1"/>
        <n v="5000" u="1"/>
        <n v="303.072" u="1"/>
        <n v="643.91039999999998" u="1"/>
        <n v="542.93119999999999" u="1"/>
        <n v="777.63199999999995" u="1"/>
        <n v="705.37599999999998" u="1"/>
        <n v="450.47519999999997" u="1"/>
        <n v="479.64" u="1"/>
        <n v="321.95519999999999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41.9" u="1"/>
        <n v="278.3" u="1"/>
        <n v="162.86000000000001" u="1"/>
        <n v="525.50400000000002" u="1"/>
        <n v="152.096" u="1"/>
        <n v="1051.008" u="1"/>
        <n v="1218" u="1"/>
        <n v="341.57760000000002" u="1"/>
        <n v="612" u="1"/>
        <n v="192.55600000000001" u="1"/>
        <n v="363.83199999999999" u="1"/>
        <n v="1124.76" u="1"/>
        <n v="4978.4531999999999" u="1"/>
        <n v="1033.76" u="1"/>
        <n v="666.9" u="1"/>
        <n v="1112.56" u="1"/>
        <n v="2721.96" u="1"/>
        <n v="295.92" u="1"/>
        <n v="434.8" u="1"/>
        <n v="630.82000000000005" u="1"/>
        <n v="928.95" u="1"/>
        <n v="1281.52" u="1"/>
        <n v="4974.0200000000004" u="1"/>
        <n v="906.59" u="1"/>
        <n v="1171.18" u="1"/>
        <n v="1554.89" u="1"/>
        <n v="361.7" u="1"/>
        <n v="1145.96" u="1"/>
        <n v="582.28800000000001" u="1"/>
        <n v="183.9" u="1"/>
        <n v="762" u="1"/>
        <n v="751.27" u="1"/>
        <n v="7593.96" u="1"/>
        <n v="648.67999999999995" u="1"/>
        <n v="321.44" u="1"/>
        <n v="578.79999999999995" u="1"/>
        <n v="2412" u="1"/>
        <n v="8442.82" u="1"/>
        <n v="1613.4" u="1"/>
        <n v="19179.900000000001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07" u="1"/>
        <n v="7511.5304999999998" u="1"/>
        <n v="25526.080000000002" u="1"/>
        <n v="1334" u="1"/>
        <n v="2001" u="1"/>
        <n v="940.76" u="1"/>
        <n v="557.08000000000004" u="1"/>
        <n v="27459.54" u="1"/>
        <n v="5395.7352000000001" u="1"/>
        <n v="597.48" u="1"/>
        <n v="922.6" u="1"/>
        <n v="485.33" u="1"/>
        <n v="341.62240000000003" u="1"/>
        <n v="1208.24" u="1"/>
        <n v="3095.9414999999999" u="1"/>
        <n v="1432.7371000000001" u="1"/>
        <n v="1792.3409999999999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499999999996" u="1"/>
        <n v="980" u="1"/>
        <n v="314.31" u="1"/>
        <n v="5320.02" u="1"/>
        <n v="441.07" u="1"/>
        <n v="1922.75" u="1"/>
        <n v="294.79000000000002" u="1"/>
        <n v="1131.0867000000001" u="1"/>
        <n v="147.9" u="1"/>
        <n v="1851.5237" u="1"/>
        <n v="1899.56" u="1"/>
        <n v="2079.8836000000001" u="1"/>
        <n v="581.29999999999995" u="1"/>
        <n v="2407.5837999999999" u="1"/>
        <n v="2183.6790000000001" u="1"/>
        <n v="28230.73" u="1"/>
        <n v="6350.87" u="1"/>
        <n v="1377.88" u="1"/>
        <n v="495.9" u="1"/>
        <n v="272.2" u="1"/>
        <n v="935.64800000000002" u="1"/>
        <n v="597.40800000000002" u="1"/>
        <n v="568.67999999999995" u="1"/>
        <n v="162.875" u="1"/>
        <n v="166.88" u="1"/>
        <n v="550.73009999999999" u="1"/>
        <n v="449.90660000000003" u="1"/>
        <n v="168.88480000000001" u="1"/>
        <n v="289.28859999999997" u="1"/>
        <n v="204.99359999999999" u="1"/>
        <n v="192.76320000000001" u="1"/>
        <n v="2084.6896000000002" u="1"/>
        <n v="2558.34" u="1"/>
        <n v="269.67360000000002" u="1"/>
        <n v="415.68" u="1"/>
        <n v="449.36" u="1"/>
        <n v="195.7" u="1"/>
        <n v="391.4" u="1"/>
        <n v="674.04" u="1"/>
        <n v="737.19" u="1"/>
        <n v="260.92" u="1"/>
        <n v="782.8" u="1"/>
        <n v="826.8" u="1"/>
        <n v="325.26" u="1"/>
        <n v="300.13" u="1"/>
        <n v="434.42" u="1"/>
        <n v="541.42200000000003" u="1"/>
        <n v="414.36" u="1"/>
        <n v="5819.16" u="1"/>
        <n v="565.41" u="1"/>
        <n v="627.51" u="1"/>
        <n v="2838" u="1"/>
        <n v="327.94" u="1"/>
        <n v="3962.28" u="1"/>
        <n v="478.54" u="1"/>
        <n v="339.42720000000003" u="1"/>
        <n v="287.7534" u="1"/>
        <n v="431.63249999999999" u="1"/>
        <n v="518.98500000000001" u="1"/>
        <n v="556.04010000000005" u="1"/>
        <n v="1946.8512000000001" u="1"/>
        <n v="1000.0001999999999" u="1"/>
        <n v="370.6934" u="1"/>
        <n v="568.65599999999995" u="1"/>
        <n v="546.24" u="1"/>
        <n v="108" u="1"/>
        <n v="419.50659999999999" u="1"/>
        <n v="1378.88" u="1"/>
        <n v="530.70000000000005" u="1"/>
        <n v="571.54999999999995" u="1"/>
        <n v="2909.12" u="1"/>
        <n v="521.20000000000005" u="1"/>
        <n v="1157.1999000000001" u="1"/>
        <n v="2994.6" u="1"/>
        <n v="330.38" u="1"/>
        <n v="318.58" u="1"/>
        <n v="1644.2295999999999" u="1"/>
        <n v="185.47" u="1"/>
        <n v="903.76" u="1"/>
        <n v="177.95" u="1"/>
        <n v="694.86990000000003" u="1"/>
        <n v="622.55499999999995" u="1"/>
        <n v="308.02" u="1"/>
        <n v="22460" u="1"/>
        <n v="503.30399999999997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" u="1"/>
        <n v="54" u="1"/>
        <n v="2019" u="1"/>
        <n v="871.52570000000003" u="1"/>
        <n v="3388.6" u="1"/>
        <n v="15144.81" u="1"/>
        <n v="11428.22" u="1"/>
        <n v="1127.8" u="1"/>
        <n v="179.9" u="1"/>
        <n v="785" u="1"/>
        <n v="35480.22" u="1"/>
        <n v="29598.223999999998" u="1"/>
        <n v="1667.85" u="1"/>
        <n v="8327.16" u="1"/>
        <n v="262.5" u="1"/>
        <n v="198" u="1"/>
        <n v="475" u="1"/>
        <n v="314.10000000000002" u="1"/>
        <n v="144000" u="1"/>
        <n v="8400" u="1"/>
        <n v="21600" u="1"/>
        <n v="152400" u="1"/>
        <n v="502.05" u="1"/>
        <n v="414.2208" u="1"/>
        <n v="566.02560000000005" u="1"/>
        <n v="579.99" u="1"/>
        <n v="234" u="1"/>
        <n v="1447.2" u="1"/>
        <n v="8207.0288" u="1"/>
        <n v="7195.4966999999997" u="1"/>
        <n v="420.84" u="1"/>
        <n v="783.78" u="1"/>
        <n v="276.3" u="1"/>
        <n v="388.04" u="1"/>
        <n v="1012.88" u="1"/>
        <n v="1046.1600000000001" u="1"/>
        <n v="323.83999999999997" u="1"/>
        <n v="1482.2080000000001" u="1"/>
        <n v="4212.72" u="1"/>
        <n v="3155.6" u="1"/>
        <n v="385.25" u="1"/>
        <n v="224.68" u="1"/>
        <n v="1566" u="1"/>
        <n v="112.34" u="1"/>
        <n v="2476.4549999999999" u="1"/>
        <n v="389.44" u="1"/>
        <n v="1211.94" u="1"/>
        <n v="912" u="1"/>
        <n v="257.93" u="1"/>
        <n v="3700" u="1"/>
        <n v="702.16800000000001" u="1"/>
        <n v="488.76799999999997" u="1"/>
        <n v="465" u="1"/>
        <n v="6400" u="1"/>
        <n v="424.03199999999998" u="1"/>
        <n v="308.55" u="1"/>
        <n v="963.6" u="1"/>
        <n v="906.67" u="1"/>
        <n v="2799.76" u="1"/>
        <n v="333.48" u="1"/>
        <n v="286.94400000000002" u="1"/>
        <n v="1049.31" u="1"/>
        <n v="286.66000000000003" u="1"/>
        <n v="562.67499999999995" u="1"/>
        <n v="190.91" u="1"/>
        <n v="3484" u="1"/>
        <n v="249" u="1"/>
        <n v="672.35" u="1"/>
        <n v="158.5" u="1"/>
        <n v="2991.8429999999998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00000000001" u="1"/>
        <n v="583.17999999999995" u="1"/>
        <n v="1096.19" u="1"/>
        <n v="895.83" u="1"/>
        <n v="623.91" u="1"/>
        <n v="650.86" u="1"/>
        <n v="7710.87" u="1"/>
        <n v="6377.8717999999999" u="1"/>
        <n v="291.33999999999997" u="1"/>
        <n v="292.98" u="1"/>
        <n v="1281.8" u="1"/>
        <n v="1281.8009" u="1"/>
        <n v="1389.08" u="1"/>
        <n v="1389.0881999999999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6999999999996" u="1"/>
        <n v="1486.8" u="1"/>
        <n v="1702.92" u="1"/>
        <n v="570.82000000000005" u="1"/>
        <n v="2225" u="1"/>
        <n v="467" u="1"/>
        <n v="1172" u="1"/>
        <n v="2934" u="1"/>
        <n v="3372" u="1"/>
        <n v="374.3" u="1"/>
        <n v="458.82" u="1"/>
        <n v="37.76" u="1"/>
        <n v="40.119999999999997" u="1"/>
        <n v="108.73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332" u="1"/>
        <n v="2444.288" u="1"/>
        <n v="667.77" u="1"/>
        <n v="8075.4696000000004" u="1"/>
        <n v="387.5" u="1"/>
        <n v="651.16480000000001" u="1"/>
        <n v="541" u="1"/>
        <n v="3940.625" u="1"/>
        <n v="2021.21" u="1"/>
        <n v="684.58" u="1"/>
        <n v="383.42" u="1"/>
        <n v="970" u="1"/>
        <n v="658.23" u="1"/>
        <n v="189" u="1"/>
        <n v="513.37440000000004" u="1"/>
        <n v="207.1104" u="1"/>
        <n v="582.04" u="1"/>
        <n v="943.37599999999998" u="1"/>
        <n v="586.53989999999999" u="1"/>
        <n v="2046.5196000000001" u="1"/>
        <n v="299.39" u="1"/>
        <n v="397.47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732.99990000000003" u="1"/>
        <n v="914.04" u="1"/>
        <n v="14802.37" u="1"/>
        <n v="16451.36" u="1"/>
        <n v="448.1" u="1"/>
        <n v="984" u="1"/>
        <n v="1130.5" u="1"/>
        <n v="802.6" u="1"/>
        <n v="170.36320000000001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1403.6" u="1"/>
        <n v="950" u="1"/>
        <n v="97" u="1"/>
        <n v="602" u="1"/>
        <n v="7564" u="1"/>
        <n v="915" u="1"/>
        <n v="8302.0604999999996" u="1"/>
        <n v="1465.85" u="1"/>
        <n v="812" u="1"/>
        <n v="205.97" u="1"/>
        <n v="706.66" u="1"/>
        <n v="515.51" u="1"/>
        <n v="475.99" u="1"/>
        <n v="456.89" u="1"/>
        <n v="1716.1" u="1"/>
        <n v="2235.13" u="1"/>
        <n v="39197.68" u="1"/>
        <n v="605.79999999999995" u="1"/>
        <n v="2451" u="1"/>
        <n v="326.8" u="1"/>
        <n v="434" u="1"/>
        <n v="8699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378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825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1019" u="1"/>
        <n v="338.01600000000002" u="1"/>
        <n v="949.8" u="1"/>
        <n v="1166.53" u="1"/>
        <n v="1478.34" u="1"/>
        <n v="606.36" u="1"/>
        <n v="522.24" u="1"/>
        <n v="921.7" u="1"/>
        <n v="525.63" u="1"/>
        <n v="1380.2864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101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0000000000005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421.49" u="1"/>
        <n v="1646.52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868" u="1"/>
        <n v="544.4" u="1"/>
        <n v="201.59" u="1"/>
        <n v="1132.0512000000001" u="1"/>
        <n v="175.9632" u="1"/>
        <n v="6265.7201999999997" u="1"/>
        <n v="808.10239999999999" u="1"/>
        <n v="583.29600000000005" u="1"/>
        <n v="147.31360000000001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367.9567999999999" u="1"/>
        <n v="1672.8" u="1"/>
        <n v="134.80000000000001" u="1"/>
        <n v="215.1" u="1"/>
        <n v="1055.3499999999999" u="1"/>
        <n v="527.91999999999996" u="1"/>
        <n v="533.57000000000005" u="1"/>
        <n v="761.64" u="1"/>
        <n v="587.1" u="1"/>
        <n v="936.15" u="1"/>
        <n v="1120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954.2" u="1"/>
        <n v="491.91" u="1"/>
        <n v="984.2" u="1"/>
        <n v="1096" u="1"/>
        <n v="900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441" u="1"/>
        <n v="891.16" u="1"/>
        <n v="758.7" u="1"/>
        <n v="1596.68" u="1"/>
        <n v="448" u="1"/>
        <n v="429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79999999999995" u="1"/>
        <n v="1184.22" u="1"/>
        <n v="2099.58" u="1"/>
        <n v="3065.27" u="1"/>
        <n v="2184.21" u="1"/>
        <n v="584.73" u="1"/>
        <n v="98.35" u="1"/>
        <n v="765.25" u="1"/>
        <n v="690" u="1"/>
        <n v="851.46" u="1"/>
        <n v="224.72800000000001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09999999997" u="1"/>
        <n v="238" u="1"/>
        <n v="524.4500000000000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09.89999999999998" u="1"/>
        <n v="359.91" u="1"/>
        <n v="315.12" u="1"/>
        <n v="850.89" u="1"/>
        <n v="3967.67" u="1"/>
        <n v="993.15" u="1"/>
        <n v="598" u="1"/>
        <n v="3353" u="1"/>
        <n v="207.11" u="1"/>
        <n v="294.62720000000002" u="1"/>
        <n v="293.32659999999998" u="1"/>
        <n v="487.73009999999999" u="1"/>
        <n v="1299.7" u="1"/>
        <n v="1000.83" u="1"/>
        <n v="1334.48" u="1"/>
        <n v="369" u="1"/>
        <n v="9074.4" u="1"/>
        <n v="898.72" u="1"/>
        <n v="67.72" u="1"/>
        <n v="1195.2" u="1"/>
        <n v="69.599999999999994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892.89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506" u="1"/>
        <n v="261.45" u="1"/>
        <n v="135.5" u="1"/>
        <n v="777.7279999999999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772.4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698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1700" u="1"/>
        <n v="2546.8200000000002" u="1"/>
        <n v="631.05999999999995" u="1"/>
        <n v="482.97" u="1"/>
        <n v="630.9" u="1"/>
        <n v="1538.85" u="1"/>
        <n v="1048.26" u="1"/>
        <n v="598.5" u="1"/>
        <n v="378.9" u="1"/>
        <n v="431.9" u="1"/>
        <n v="667159.17839999998" u="1"/>
        <n v="2110.92" u="1"/>
        <n v="3662.49" u="1"/>
        <n v="12295.79" u="1"/>
        <n v="1000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513.88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00000001" u="1"/>
        <n v="1258" u="1"/>
        <n v="796.62" u="1"/>
        <n v="25717.0144" u="1"/>
        <n v="438.77120000000002" u="1"/>
        <n v="760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1035.18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352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233.184" u="1"/>
        <n v="1337.5" u="1"/>
        <n v="335.88799999999998" u="1"/>
        <n v="449.45600000000002" u="1"/>
        <n v="748.11519999999996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305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1173" u="1"/>
        <n v="268.57600000000002" u="1"/>
        <n v="660.31650000000002" u="1"/>
        <n v="537.06989999999996" u="1"/>
        <n v="549" u="1"/>
        <n v="512" u="1"/>
        <n v="504" u="1"/>
        <n v="496.2" u="1"/>
        <n v="715.64" u="1"/>
        <n v="1178.3" u="1"/>
        <n v="603.18719999999996" u="1"/>
        <n v="2148.328" u="1"/>
        <n v="292" u="1"/>
        <n v="490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266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876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415.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21488.9" u="1"/>
        <n v="174.61" u="1"/>
        <n v="139.5" u="1"/>
        <n v="293.76" u="1"/>
        <n v="252.68" u="1"/>
        <n v="260.95999999999998" u="1"/>
        <n v="710.04" u="1"/>
        <n v="309.70999999999998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702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940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470" u="1"/>
        <n v="751.74" u="1"/>
        <n v="534" u="1"/>
        <n v="679.39200000000005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149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1590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841.16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269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044" u="1"/>
        <n v="1417.78" u="1"/>
        <n v="844" u="1"/>
        <n v="1104" u="1"/>
        <n v="1093.6199999999999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700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945" u="1"/>
        <n v="3185.28" u="1"/>
        <n v="533.58000000000004" u="1"/>
        <n v="619.65" u="1"/>
        <n v="67431.44" u="1"/>
        <n v="972.16" u="1"/>
        <n v="402.53" u="1"/>
        <n v="450.44009999999997" u="1"/>
        <n v="2200" u="1"/>
        <n v="1037.2991999999999" u="1"/>
        <n v="188.68" u="1"/>
        <n v="1008" u="1"/>
        <n v="251.56700000000001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0000000003" u="1"/>
        <n v="940.46" u="1"/>
        <n v="1864.8" u="1"/>
        <n v="7504.65" u="1"/>
        <n v="1911.15" u="1"/>
        <n v="344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404" u="1"/>
        <n v="208.98" u="1"/>
        <n v="1110.5999999999999" u="1"/>
        <n v="551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354.1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169.84800000000001" u="1"/>
        <n v="561.08640000000003" u="1"/>
        <n v="844.42399999999998" u="1"/>
        <n v="654.25919999999996" u="1"/>
        <n v="800.66560000000004" u="1"/>
        <n v="1343.1" u="1"/>
        <n v="675.2" u="1"/>
        <n v="365.20499999999998" u="1"/>
        <n v="245.67" u="1"/>
        <n v="201.53" u="1"/>
        <n v="701.12" u="1"/>
        <n v="313.89999999999998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399999999999" u="1"/>
        <n v="592.47990000000004" u="1"/>
        <n v="440.13" u="1"/>
        <n v="495" u="1"/>
        <n v="269.5" u="1"/>
        <n v="1062.48" u="1"/>
        <n v="644.41999999999996" u="1"/>
        <n v="2711.72" u="1"/>
        <n v="223.45" u="1"/>
        <n v="37557.06" u="1"/>
        <n v="829.74" u="1"/>
        <n v="407.54" u="1"/>
        <n v="834.12" u="1"/>
        <n v="1079.57" u="1"/>
        <n v="807.78240000000005" u="1"/>
        <n v="519.45749999999998" u="1"/>
        <n v="837.9" u="1"/>
        <n v="704.35" u="1"/>
        <n v="571.87199999999996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620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445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956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485.9" u="1"/>
        <n v="561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4280.44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000000000002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8999999998" u="1"/>
        <n v="425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49" u="1"/>
        <n v="669.6" u="1"/>
        <n v="631.80999999999995" u="1"/>
        <n v="499.19" u="1"/>
        <n v="489.33" u="1"/>
        <n v="870.49109999999996" u="1"/>
        <n v="665.74" u="1"/>
        <n v="1340.78" u="1"/>
        <n v="346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414" u="1"/>
        <n v="2002.48" u="1"/>
        <n v="563.64" u="1"/>
        <n v="751.29" u="1"/>
        <n v="196.06" u="1"/>
        <n v="313.52999999999997" u="1"/>
        <n v="665.6" u="1"/>
        <n v="212.94" u="1"/>
        <n v="1302" u="1"/>
        <n v="978.5" u="1"/>
        <n v="5670" u="1"/>
        <n v="342" u="1"/>
        <n v="3478.6080000000002" u="1"/>
        <n v="6110.1" u="1"/>
        <n v="314" u="1"/>
        <n v="1297.31" u="1"/>
        <n v="2263.6" u="1"/>
        <n v="499.36" u="1"/>
        <n v="530.45000000000005" u="1"/>
        <n v="1652.89" u="1"/>
        <n v="519.91999999999996" u="1"/>
        <n v="343.73" u="1"/>
        <n v="7062.21" u="1"/>
        <n v="2055.1999999999998" u="1"/>
        <n v="311.83999999999997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780" u="1"/>
        <n v="410.14" u="1"/>
        <n v="638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1860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  <n v="1142.4000000000001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499999999998" u="1"/>
        <n v="1467" u="1"/>
        <n v="2508" u="1"/>
        <n v="398.89" u="1"/>
        <n v="3166.64" u="1"/>
        <n v="1031.6300000000001" u="1"/>
        <n v="15092.3" u="1"/>
        <n v="1406.8" u="1"/>
        <n v="644" u="1"/>
        <n v="759" u="1"/>
        <n v="361.2" u="1"/>
        <n v="513" u="1"/>
        <n v="423" u="1"/>
        <n v="3412.76" u="1"/>
        <n v="1432.6959999999999" u="1"/>
        <n v="2131.7130000000002" u="1"/>
        <n v="1367.66" u="1"/>
        <n v="519.6" u="1"/>
        <n v="15979.32" u="1"/>
        <n v="637.20000000000005" u="1"/>
        <n v="1050.0255999999999" u="1"/>
        <n v="793.44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49999999998" u="1"/>
        <n v="751.52" u="1"/>
        <n v="816.27" u="1"/>
        <n v="851.06" u="1"/>
        <n v="3903.68" u="1"/>
        <n v="3992.97" u="1"/>
        <n v="4351.32" u="1"/>
        <n v="2269.5100000000002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89999999998" u="1"/>
        <n v="1162.1199999999999" u="1"/>
        <n v="229.5" u="1"/>
        <n v="894.11009999999999" u="1"/>
        <n v="1076.6099999999999" u="1"/>
        <n v="802.73" u="1"/>
        <n v="473.45" u="1"/>
        <n v="1301.3599999999999" u="1"/>
        <n v="3163.4" u="1"/>
        <n v="741.53" u="1"/>
        <n v="1344.0744" u="1"/>
        <n v="106.2" u="1"/>
        <n v="797.39" u="1"/>
        <n v="983.21" u="1"/>
        <n v="30097.93" u="1"/>
        <n v="30097.934499999999" u="1"/>
        <n v="32889.74" u="1"/>
        <n v="32889.749100000001" u="1"/>
        <n v="58247.23" u="1"/>
        <n v="2586.17" u="1"/>
        <n v="241" u="1"/>
        <n v="1287.73" u="1"/>
        <n v="377" u="1"/>
        <n v="2179.2399999999998" u="1"/>
        <n v="1368.92" u="1"/>
        <n v="955.38" u="1"/>
        <n v="821.73" u="1"/>
        <n v="26496.89" u="1"/>
        <n v="476" u="1"/>
        <n v="420.04" u="1"/>
        <n v="1776.05" u="1"/>
        <n v="832.39" u="1"/>
        <n v="21202.990600000001" u="1"/>
        <n v="2499.5" u="1"/>
        <n v="4757.22" u="1"/>
        <n v="2041.19" u="1"/>
        <n v="893.56" u="1"/>
        <n v="732" u="1"/>
        <n v="56.4" u="1"/>
        <n v="392.49" u="1"/>
        <n v="1299.3655000000001" u="1"/>
        <n v="601.6" u="1"/>
        <n v="26917.15" u="1"/>
        <n v="25985.184499999999" u="1"/>
        <n v="3807.4194000000002" u="1"/>
        <n v="684.09400000000005" u="1"/>
        <n v="2833.0264000000002" u="1"/>
        <n v="1363.4309000000001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599999999997" u="1"/>
        <n v="557.9" u="1"/>
        <n v="883.60209999999995" u="1"/>
        <n v="522" u="1"/>
        <n v="895.74" u="1"/>
        <n v="1358" u="1"/>
        <n v="287.44" u="1"/>
        <n v="2231.3694" u="1"/>
        <n v="2259.3899000000001" u="1"/>
        <n v="1295.4392" u="1"/>
        <n v="1034.8399999999999" u="1"/>
        <n v="1930.1" u="1"/>
        <n v="3727.8" u="1"/>
        <n v="1007.76" u="1"/>
        <n v="885.82" u="1"/>
        <n v="528.87" u="1"/>
        <n v="417.9" u="1"/>
        <n v="565.41999999999996" u="1"/>
        <n v="681.8" u="1"/>
        <n v="899.89" u="1"/>
        <n v="1075.2" u="1"/>
        <n v="754.70079999999996" u="1"/>
        <n v="8903.76" u="1"/>
        <n v="5027.53" u="1"/>
        <n v="4169.5367999999999" u="1"/>
        <n v="3006.04" u="1"/>
        <n v="2519.808" u="1"/>
        <n v="1400.16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5" u="1"/>
        <n v="3705.9" u="1"/>
        <n v="1431" u="1"/>
        <n v="32961.96" u="1"/>
        <n v="3134.58" u="1"/>
        <n v="454.92" u="1"/>
        <n v="862.76" u="1"/>
        <n v="1341.8498999999999" u="1"/>
        <n v="2349.4499999999998" u="1"/>
        <n v="1002.6840999999999" u="1"/>
        <n v="12306.84" u="1"/>
        <n v="215.25" u="1"/>
        <n v="11349.764999999999" u="1"/>
        <n v="1548.18" u="1"/>
        <n v="3219.06" u="1"/>
        <n v="440.31" u="1"/>
        <n v="4721.1000000000004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00000000003" u="1"/>
        <n v="1781.59" u="1"/>
        <n v="1497.78" u="1"/>
        <n v="1784.2" u="1"/>
        <n v="664.94" u="1"/>
        <n v="747.9" u="1"/>
        <n v="1062" u="1"/>
        <n v="462.68" u="1"/>
        <n v="1229.42" u="1"/>
        <n v="2498.48" u="1"/>
        <n v="3533.5962" u="1"/>
        <n v="914.55" u="1"/>
        <n v="2064.8000000000002" u="1"/>
        <n v="440.8" u="1"/>
        <n v="2212" u="1"/>
        <n v="1976.09" u="1"/>
        <n v="1320" u="1"/>
        <n v="922.58709999999996" u="1"/>
        <n v="908.19979999999998" u="1"/>
        <n v="1365.6934000000001" u="1"/>
        <n v="821.39" u="1"/>
        <n v="1027.0999999999999" u="1"/>
        <n v="3817.76" u="1"/>
        <n v="3421.73" u="1"/>
        <n v="268.57" u="1"/>
        <n v="1095.1199999999999" u="1"/>
        <n v="3365.26" u="1"/>
        <n v="1224.22" u="1"/>
        <n v="988.10879999999997" u="1"/>
        <n v="1037.5455999999999" u="1"/>
        <n v="342.24959999999999" u="1"/>
        <n v="1046.1695999999999" u="1"/>
        <n v="828.44159999999999" u="1"/>
        <n v="8830" u="1"/>
        <n v="5760" u="1"/>
        <n v="8352" u="1"/>
        <n v="1014.72" u="1"/>
        <n v="2900" u="1"/>
        <n v="5724" u="1"/>
        <n v="133.19999999999999" u="1"/>
        <n v="291.39" u="1"/>
        <n v="2060.8224" u="1"/>
        <n v="2960" u="1"/>
        <n v="706.68" u="1"/>
        <n v="223.01439999999999" u="1"/>
        <n v="379.904" u="1"/>
        <n v="975" u="1"/>
        <n v="171.74" u="1"/>
        <n v="423.84" u="1"/>
        <n v="2490" u="1"/>
        <n v="326.56" u="1"/>
        <n v="4342.1288999999997" u="1"/>
        <n v="7636.23" u="1"/>
        <n v="1565.0274999999999" u="1"/>
        <n v="11157.38" u="1"/>
        <n v="10902.83" u="1"/>
        <n v="1285" u="1"/>
        <n v="1412" u="1"/>
        <n v="2415.54" u="1"/>
        <n v="804.1" u="1"/>
        <n v="251.4736" u="1"/>
        <n v="1209.3900000000001" u="1"/>
        <n v="863.91" u="1"/>
        <n v="1791.99" u="1"/>
        <n v="1589.04" u="1"/>
        <n v="5864.58" u="1"/>
        <n v="1724.88" u="1"/>
        <n v="1032.7" u="1"/>
        <n v="753.9840000000000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00000000004" u="1"/>
        <n v="228.76" u="1"/>
        <n v="253.58" u="1"/>
        <n v="804.94" u="1"/>
        <n v="2320" u="1"/>
        <n v="5031.1400000000003" u="1"/>
        <n v="4143.1415999999999" u="1"/>
        <n v="2388" u="1"/>
        <n v="517.85" u="1"/>
        <n v="733.7" u="1"/>
        <n v="34" u="1"/>
        <n v="352.92099999999999" u="1"/>
        <n v="680.12" u="1"/>
        <n v="1461.152" u="1"/>
        <n v="94.4" u="1"/>
        <n v="93.27" u="1"/>
        <n v="668" u="1"/>
        <n v="1045.1300000000001" u="1"/>
        <n v="2706.88" u="1"/>
        <n v="820" u="1"/>
        <n v="2461.8000000000002" u="1"/>
        <n v="199" u="1"/>
        <n v="8938.9500000000007" u="1"/>
        <n v="6553.8" u="1"/>
        <n v="6812.6" u="1"/>
        <n v="314.94" u="1"/>
        <n v="599.4375" u="1"/>
        <n v="1306.68" u="1"/>
        <n v="200.92" u="1"/>
        <n v="597.15750000000003" u="1"/>
        <n v="1681.0596" u="1"/>
        <n v="555.92319999999995" u="1"/>
        <n v="270.8272" u="1"/>
        <n v="693.50400000000002" u="1"/>
        <n v="936.80160000000001" u="1"/>
        <n v="372.09379999999999" u="1"/>
        <n v="509" u="1"/>
        <n v="1215.99" u="1"/>
        <n v="5093.8500000000004" u="1"/>
        <n v="1112.26" u="1"/>
        <n v="65.55" u="1"/>
        <n v="69.900000000000006" u="1"/>
        <n v="2218.4699999999998" u="1"/>
        <n v="402.97" u="1"/>
        <n v="3046.51" u="1"/>
        <n v="617.9" u="1"/>
        <n v="1637.49" u="1"/>
        <n v="4909.8280000000004" u="1"/>
        <n v="1287.8900000000001" u="1"/>
        <n v="2517.73" u="1"/>
        <n v="363" u="1"/>
        <n v="2222.6093999999998" u="1"/>
        <n v="1982.69" u="1"/>
        <n v="919.44" u="1"/>
        <n v="790.88" u="1"/>
        <n v="3406.14" u="1"/>
        <n v="786.2" u="1"/>
        <n v="1412.95" u="1"/>
        <n v="10826.55" u="1"/>
        <n v="1056.5899999999999" u="1"/>
        <n v="983.43" u="1"/>
        <n v="652.74" u="1"/>
        <n v="867.41" u="1"/>
        <n v="411.27" u="1"/>
        <n v="66.3" u="1"/>
        <n v="1016.9" u="1"/>
        <n v="2155.62" u="1"/>
        <n v="1739.25" u="1"/>
        <n v="194.57" u="1"/>
        <n v="2465.71" u="1"/>
        <n v="450.18" u="1"/>
        <n v="572.88" u="1"/>
        <n v="649.79999999999995" u="1"/>
        <n v="3445.32" u="1"/>
        <n v="285.24" u="1"/>
        <n v="1963.76" u="1"/>
        <n v="3694.04" u="1"/>
        <n v="3459.93" u="1"/>
        <n v="3459.9348" u="1"/>
        <n v="285.33" u="1"/>
        <n v="1080.4000000000001" u="1"/>
        <n v="1959.4" u="1"/>
        <n v="2235.15" u="1"/>
        <n v="0.86" u="1"/>
        <n v="175.05" u="1"/>
        <n v="2862" u="1"/>
        <n v="801" u="1"/>
        <n v="531.41999999999996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0000000003" u="1"/>
        <n v="572.94000000000005" u="1"/>
        <n v="1574.8096" u="1"/>
        <n v="245.17" u="1"/>
        <n v="482.14" u="1"/>
        <n v="1630.7469000000001" u="1"/>
        <n v="910.62" u="1"/>
        <n v="263.95999999999998" u="1"/>
        <n v="819.82" u="1"/>
        <n v="1227.78" u="1"/>
        <n v="639.79999999999995" u="1"/>
        <n v="2748.5639999999999" u="1"/>
        <n v="22499.94" u="1"/>
        <n v="70.819999999999993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0000000002" u="1"/>
        <n v="269.96480000000003" u="1"/>
        <n v="2866.248" u="1"/>
        <n v="485.2" u="1"/>
        <n v="334.04" u="1"/>
        <n v="1178.26" u="1"/>
        <n v="543.1" u="1"/>
        <n v="641.91" u="1"/>
        <n v="373.8784" u="1"/>
        <n v="1443.7360000000001" u="1"/>
        <n v="675.16959999999995" u="1"/>
        <n v="752.65" u="1"/>
        <n v="444.64" u="1"/>
        <n v="93.514399999999995" u="1"/>
        <n v="632.45000000000005" u="1"/>
        <n v="1013.3088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5999999999998" u="1"/>
        <n v="3607.23" u="1"/>
        <n v="84.4" u="1"/>
        <n v="5793.43" u="1"/>
        <n v="1253.56" u="1"/>
        <n v="1611.72" u="1"/>
        <n v="2194.4" u="1"/>
        <n v="1012.8" u="1"/>
        <n v="2363.1999999999998" u="1"/>
        <n v="5193.32" u="1"/>
        <n v="2532" u="1"/>
        <n v="1350.4" u="1"/>
        <n v="2514.13" u="1"/>
        <n v="2683.56" u="1"/>
        <n v="218.2" u="1"/>
        <n v="575.9" u="1"/>
        <n v="4297.3500000000004" u="1"/>
        <n v="14647.39" u="1"/>
        <n v="290.24" u="1"/>
        <n v="744.46" u="1"/>
        <n v="433.8" u="1"/>
        <n v="16727.151999999998" u="1"/>
        <n v="488.4" u="1"/>
        <n v="1098" u="1"/>
        <n v="146.30000000000001" u="1"/>
        <n v="2067" u="1"/>
        <n v="395.03" u="1"/>
        <n v="201.75" u="1"/>
        <n v="723" u="1"/>
        <n v="2191" u="1"/>
        <n v="577.20799999999997" u="1"/>
        <n v="470.79989999999998" u="1"/>
        <n v="273" u="1"/>
        <n v="29889.529200000001" u="1"/>
        <n v="507" u="1"/>
        <n v="10284.794400000001" u="1"/>
        <n v="477" u="1"/>
        <n v="4100" u="1"/>
        <n v="9514.56" u="1"/>
        <n v="1755.8688" u="1"/>
        <n v="287.56" u="1"/>
        <n v="1135.6500000000001" u="1"/>
        <n v="3446.78" u="1"/>
        <n v="954" u="1"/>
        <n v="8772.0972000000002" u="1"/>
        <n v="4797.3119999999999" u="1"/>
        <n v="405.68770000000001" u="1"/>
        <n v="4614.13" u="1"/>
        <n v="730.61009999999999" u="1"/>
        <n v="671.64" u="1"/>
        <n v="1260.5501999999999" u="1"/>
        <n v="1540.9856" u="1"/>
        <n v="1196.94" u="1"/>
        <n v="273.8" u="1"/>
        <n v="318.22660000000002" u="1"/>
        <n v="408.9" u="1"/>
        <n v="3575" u="1"/>
        <n v="12113.73" u="1"/>
        <n v="83.6" u="1"/>
        <n v="357.36" u="1"/>
        <n v="2120" u="1"/>
        <n v="17453.559000000001" u="1"/>
        <n v="1720.56" u="1"/>
        <n v="5610.28" u="1"/>
        <n v="1052.79" u="1"/>
        <n v="3978.0990000000002" u="1"/>
        <n v="726.48" u="1"/>
        <n v="247.36" u="1"/>
        <n v="429.34" u="1"/>
        <n v="5967.442" u="1"/>
        <n v="1328.32" u="1"/>
        <n v="2392.9920000000002" u="1"/>
        <n v="516.6" u="1"/>
        <n v="2146.7600000000002" u="1"/>
        <n v="898.52" u="1"/>
        <n v="1433.152" u="1"/>
        <n v="200.47" u="1"/>
        <n v="211.11" u="1"/>
        <n v="150.76" u="1"/>
        <n v="2388.3000000000002" u="1"/>
        <n v="4110" u="1"/>
        <n v="692.28" u="1"/>
        <n v="200.58" u="1"/>
        <n v="518.94000000000005" u="1"/>
        <n v="4060.3359999999998" u="1"/>
        <n v="988.35" u="1"/>
        <n v="195.96" u="1"/>
        <n v="1428.9495999999999" u="1"/>
        <n v="880.99199999999996" u="1"/>
        <n v="919.51739999999995" u="1"/>
        <n v="1782.693" u="1"/>
        <n v="399.7466" u="1"/>
        <n v="1115.79" u="1"/>
        <n v="2072.5803999999998" u="1"/>
        <n v="2366.4" u="1"/>
        <n v="3669.3" u="1"/>
        <n v="1920" u="1"/>
        <n v="410.09339999999997" u="1"/>
        <n v="873.01760000000002" u="1"/>
        <n v="565.35360000000003" u="1"/>
        <n v="478.44659999999999" u="1"/>
        <n v="441.1232" u="1"/>
        <n v="229.09" u="1"/>
        <n v="775.98080000000004" u="1"/>
        <n v="485.41919999999999" u="1"/>
        <n v="436.29599999999999" u="1"/>
        <n v="405.38400000000001" u="1"/>
        <n v="402.2928" u="1"/>
        <n v="164.63" u="1"/>
        <n v="153.67519999999999" u="1"/>
        <n v="173.15" u="1"/>
        <n v="536.61599999999999" u="1"/>
        <n v="268.1952" u="1"/>
        <n v="1149.4559999999999" u="1"/>
        <n v="553.62990000000002" u="1"/>
        <n v="961.18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09999999998" u="1"/>
        <n v="4737.8095999999996" u="1"/>
        <n v="3183.57" u="1"/>
        <n v="21858.79" u="1"/>
        <n v="2583.13" u="1"/>
        <n v="2916.07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39999999997" u="1"/>
        <n v="1089.1315999999999" u="1"/>
        <n v="8268.7054000000007" u="1"/>
        <n v="1659.84" u="1"/>
        <n v="788" u="1"/>
        <n v="367.41" u="1"/>
        <n v="105" u="1"/>
        <n v="85" u="1"/>
        <n v="118.98" u="1"/>
        <n v="1206.25" u="1"/>
        <n v="4600.7299999999996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000000001" u="1"/>
        <n v="1216.5999999999999" u="1"/>
        <n v="295.5" u="1"/>
        <n v="2709.4" u="1"/>
        <n v="2193.69" u="1"/>
        <n v="2856.3231999999998" u="1"/>
        <n v="2739.96" u="1"/>
        <n v="1969.6624999999999" u="1"/>
        <n v="8807.99" u="1"/>
        <n v="413.14" u="1"/>
        <n v="1313.75" u="1"/>
        <n v="1872.68" u="1"/>
        <n v="843.21079999999995" u="1"/>
        <n v="9131.2595999999994" u="1"/>
        <n v="1710.5616" u="1"/>
        <n v="311.13839999999999" u="1"/>
        <n v="1328" u="1"/>
        <n v="1672.69" u="1"/>
        <n v="363.63" u="1"/>
        <n v="14108.843999999999" u="1"/>
        <n v="476.16" u="1"/>
        <n v="4566.37" u="1"/>
        <n v="441.21" u="1"/>
        <n v="2183.96" u="1"/>
        <n v="4138.92" u="1"/>
        <n v="1261.44" u="1"/>
        <n v="6248.37" u="1"/>
        <n v="1309.24" u="1"/>
        <n v="96.57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6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00000000001" u="1"/>
        <n v="1885.76" u="1"/>
        <n v="843.8" u="1"/>
        <n v="218.26" u="1"/>
        <n v="1742.43" u="1"/>
        <n v="3562.5" u="1"/>
        <n v="5410.15" u="1"/>
        <n v="2572.6799999999998" u="1"/>
        <n v="89" u="1"/>
        <n v="7212.0439999999999" u="1"/>
        <n v="664.13739999999996" u="1"/>
        <n v="926.00990000000002" u="1"/>
        <n v="3466.7919999999999" u="1"/>
        <n v="2030.0719999999999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0000000001" u="1"/>
        <n v="1376.8679999999999" u="1"/>
        <n v="2230.6799999999998" u="1"/>
        <n v="532.72" u="1"/>
        <n v="152.63" u="1"/>
        <n v="2886.2" u="1"/>
        <n v="3415.5" u="1"/>
        <n v="268.37" u="1"/>
        <n v="326.16000000000003" u="1"/>
        <n v="1202.82" u="1"/>
        <n v="543.35" u="1"/>
        <n v="6807.42" u="1"/>
        <n v="2105.86" u="1"/>
        <n v="2774.8521000000001" u="1"/>
        <n v="4402.8599999999997" u="1"/>
        <n v="1507.8" u="1"/>
        <n v="2122.2600000000002" u="1"/>
        <n v="756.08860000000004" u="1"/>
        <n v="1034.7850000000001" u="1"/>
        <n v="30234.1" u="1"/>
        <n v="837.71349999999995" u="1"/>
        <n v="1467.67" u="1"/>
        <n v="1822.23" u="1"/>
        <n v="785.54" u="1"/>
        <n v="4510.66" u="1"/>
        <n v="3228.7640000000001" u="1"/>
        <n v="1410" u="1"/>
        <n v="698.61" u="1"/>
        <n v="2183.9" u="1"/>
        <n v="1256.32" u="1"/>
        <n v="296.41000000000003" u="1"/>
        <n v="2071" u="1"/>
        <n v="1959.6" u="1"/>
        <n v="2440" u="1"/>
        <n v="1115.3800000000001" u="1"/>
        <n v="14142.51" u="1"/>
        <n v="591.21" u="1"/>
        <n v="728.24220000000003" u="1"/>
        <n v="644.72" u="1"/>
        <n v="429.82" u="1"/>
        <n v="1974.7650000000001" u="1"/>
        <n v="351.35" u="1"/>
        <n v="4248.3023999999996" u="1"/>
        <n v="6116.5739999999996" u="1"/>
        <n v="10805.45" u="1"/>
        <n v="1233.829" u="1"/>
        <n v="934.65390000000002" u="1"/>
        <n v="17013.28" u="1"/>
        <n v="3976" u="1"/>
        <n v="2606.59" u="1"/>
        <n v="5810.62" u="1"/>
        <n v="640.82000000000005" u="1"/>
        <n v="64.989999999999995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00000000002" u="1"/>
        <n v="5008.6589999999997" u="1"/>
        <n v="749.34" u="1"/>
        <n v="723.5" u="1"/>
        <n v="643.98" u="1"/>
        <n v="13881" u="1"/>
        <n v="349.26" u="1"/>
        <n v="1800.45" u="1"/>
        <n v="2079.7199999999998" u="1"/>
        <n v="293.7" u="1"/>
        <n v="1852.0319999999999" u="1"/>
        <n v="4636.5" u="1"/>
        <n v="7727.0599000000002" u="1"/>
        <n v="9545.5892000000003" u="1"/>
        <n v="2246.6799999999998" u="1"/>
        <n v="2411.88" u="1"/>
        <n v="4138.9101000000001" u="1"/>
        <n v="571.20000000000005" u="1"/>
        <n v="2537.8000000000002" u="1"/>
        <n v="947.8" u="1"/>
        <n v="2672.27" u="1"/>
        <n v="16684.55" u="1"/>
        <n v="9450" u="1"/>
        <n v="1446.4079999999999" u="1"/>
        <n v="3292" u="1"/>
        <n v="3744.0374999999999" u="1"/>
        <n v="1443.45" u="1"/>
        <n v="1599.66" u="1"/>
        <n v="1840.55" u="1"/>
        <n v="882" u="1"/>
        <n v="1891.8" u="1"/>
        <n v="4019.64" u="1"/>
        <n v="995" u="1"/>
        <n v="307.33999999999997" u="1"/>
        <n v="862.86" u="1"/>
        <n v="2766.348" u="1"/>
        <n v="598.79999999999995" u="1"/>
        <n v="1058.52" u="1"/>
        <n v="528.73" u="1"/>
        <n v="1419" u="1"/>
        <n v="2097.7399999999998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899999999999" u="1"/>
        <n v="39.44" u="1"/>
        <n v="42.43" u="1"/>
        <n v="2396.46" u="1"/>
        <n v="15225.04" u="1"/>
        <n v="14730" u="1"/>
        <n v="479.42270000000002" u="1"/>
        <n v="304.24" u="1"/>
        <n v="608.48" u="1"/>
        <n v="320.25" u="1"/>
        <n v="411.92" u="1"/>
        <n v="2635.92" u="1"/>
        <n v="92.46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00000000002" u="1"/>
        <n v="3546.77" u="1"/>
        <n v="672.6" u="1"/>
        <n v="1305.2840000000001" u="1"/>
        <n v="8809.3459999999995" u="1"/>
        <n v="1581" u="1"/>
        <n v="5020.5302000000001" u="1"/>
        <n v="3747.96" u="1"/>
        <n v="312.56" u="1"/>
        <n v="4766.1499999999996" u="1"/>
        <n v="950.26" u="1"/>
        <n v="17460.72" u="1"/>
        <n v="16714.5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000000000002" u="1"/>
        <n v="3218.6" u="1"/>
        <n v="339.2" u="1"/>
        <n v="683.37" u="1"/>
        <n v="986.32799999999997" u="1"/>
        <n v="896.89599999999996" u="1"/>
        <n v="561.4" u="1"/>
        <n v="339.69600000000003" u="1"/>
        <n v="634.52" u="1"/>
        <n v="1519.2" u="1"/>
        <n v="3090.8501000000001" u="1"/>
        <n v="1210.98" u="1"/>
        <n v="2915.25" u="1"/>
        <n v="663.49919999999997" u="1"/>
        <n v="265.33" u="1"/>
        <n v="2668.62" u="1"/>
        <n v="2027.56" u="1"/>
        <n v="847.84" u="1"/>
        <n v="212.54" u="1"/>
        <n v="220.69" u="1"/>
        <n v="3345.52" u="1"/>
        <n v="212.685" u="1"/>
        <n v="260.09339999999997" u="1"/>
        <n v="973.16" u="1"/>
        <n v="175.87" u="1"/>
        <n v="176.97120000000001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0000000005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0000000004" u="1"/>
        <n v="396.34559999999999" u="1"/>
        <n v="650.60799999999995" u="1"/>
        <n v="16275" u="1"/>
        <n v="610.49350000000004" u="1"/>
        <n v="263.33999999999997" u="1"/>
        <n v="627.00959999999998" u="1"/>
        <n v="1188.9801" u="1"/>
        <n v="23259.85" u="1"/>
        <n v="12570.76" u="1"/>
        <n v="19994.07" u="1"/>
        <n v="23494.799999999999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59999999998" u="1"/>
        <n v="2554.15" u="1"/>
        <n v="521.94240000000002" u="1"/>
        <n v="500.19" u="1"/>
        <n v="150.05760000000001" u="1"/>
        <n v="371.01" u="1"/>
        <n v="656.45439999999996" u="1"/>
        <n v="524.47360000000003" u="1"/>
        <n v="2504.4992000000002" u="1"/>
        <n v="594.09" u="1"/>
        <n v="948.90049999999997" u="1"/>
        <n v="989.73590000000002" u="1"/>
        <n v="957.94929999999999" u="1"/>
        <n v="864.90959999999995" u="1"/>
        <n v="524.9434" u="1"/>
        <n v="706.72" u="1"/>
        <n v="1854.11" u="1"/>
        <n v="1916.9426000000001" u="1"/>
        <n v="2720.19" u="1"/>
        <n v="750.58" u="1"/>
        <n v="959.39940000000001" u="1"/>
        <n v="1566.5355999999999" u="1"/>
        <n v="2288.9854" u="1"/>
        <n v="1369.7834" u="1"/>
        <n v="4753.95" u="1"/>
        <n v="543" u="1"/>
        <n v="1296" u="1"/>
        <n v="515.20000000000005" u="1"/>
        <n v="1284.9223" u="1"/>
        <n v="2490.5520999999999" u="1"/>
        <n v="1065.6641999999999" u="1"/>
        <n v="2148.9618" u="1"/>
        <n v="1455.3404" u="1"/>
        <n v="3034.77" u="1"/>
        <n v="2616.9445999999998" u="1"/>
        <n v="27338.61" u="1"/>
        <n v="4353.7822999999999" u="1"/>
        <n v="475.29129999999998" u="1"/>
        <n v="3626.7" u="1"/>
        <n v="2452.1529" u="1"/>
        <n v="2882.58" u="1"/>
        <n v="859.28309999999999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0000000002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00000000001" u="1"/>
        <n v="1368" u="1"/>
        <n v="3332.64" u="1"/>
        <n v="3902.96" u="1"/>
        <n v="2274.9699999999998" u="1"/>
        <n v="283.5" u="1"/>
        <n v="1054.23" u="1"/>
        <n v="565" u="1"/>
        <n v="4875" u="1"/>
        <n v="856" u="1"/>
        <n v="2659.8" u="1"/>
        <n v="1788.9" u="1"/>
        <n v="1055.6500000000001" u="1"/>
        <n v="3109.51" u="1"/>
        <n v="1185.8" u="1"/>
        <n v="867.84" u="1"/>
        <n v="37124.22" u="1"/>
        <n v="4258.5" u="1"/>
        <n v="704.34" u="1"/>
        <n v="4367.8" u="1"/>
        <n v="8270.18" u="1"/>
        <n v="319.89999999999998" u="1"/>
        <n v="1134.8" u="1"/>
        <n v="712.9" u="1"/>
        <n v="4032.8" u="1"/>
        <n v="3781.27" u="1"/>
        <n v="260.89999999999998" u="1"/>
        <n v="375.8" u="1"/>
        <n v="879.45" u="1"/>
        <n v="22008.51" u="1"/>
        <n v="1960" u="1"/>
        <n v="11259.25" u="1"/>
        <n v="1865.0001" u="1"/>
        <n v="79.989999999999995" u="1"/>
        <n v="115.99" u="1"/>
        <n v="128.55000000000001" u="1"/>
        <n v="160.78" u="1"/>
        <n v="567.9" u="1"/>
        <n v="248" u="1"/>
        <n v="459.92" u="1"/>
        <n v="39429.699999999997" u="1"/>
        <n v="1182.3" u="1"/>
        <n v="147" u="1"/>
        <n v="1022.08" u="1"/>
        <n v="272.22000000000003" u="1"/>
        <n v="546" u="1"/>
        <n v="170.37" u="1"/>
        <n v="468.96" u="1"/>
        <n v="251.83" u="1"/>
        <n v="1606.7" u="1"/>
        <n v="1088.9000000000001" u="1"/>
        <n v="1015.81" u="1"/>
        <n v="367.64" u="1"/>
        <n v="1522.05" u="1"/>
        <n v="2642.97" u="1"/>
        <n v="451" u="1"/>
        <n v="393.35520000000002" u="1"/>
        <n v="1078.2239999999999" u="1"/>
        <n v="951.44" u="1"/>
        <n v="1407.6666" u="1"/>
        <n v="229.42" u="1"/>
        <n v="350.24" u="1"/>
        <n v="3370.12" u="1"/>
        <n v="1747.72" u="1"/>
        <n v="10148.850399999999" u="1"/>
        <n v="1212.0999999999999" u="1"/>
        <n v="509.6" u="1"/>
        <n v="914.1" u="1"/>
        <n v="626.79" u="1"/>
        <n v="658.14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29999999999995" u="1"/>
        <n v="1719.9" u="1"/>
        <n v="4236.28" u="1"/>
        <n v="5874" u="1"/>
        <n v="770.48159999999996" u="1"/>
        <n v="13876.096" u="1"/>
        <n v="8674.18" u="1"/>
        <n v="917.21280000000002" u="1"/>
        <n v="2987.82" u="1"/>
        <n v="523.32000000000005" u="1"/>
        <n v="574.6" u="1"/>
        <n v="596" u="1"/>
        <n v="2032.8" u="1"/>
        <n v="2444.04" u="1"/>
        <n v="1733.4" u="1"/>
        <n v="1475" u="1"/>
        <n v="39579.325100000002" u="1"/>
        <n v="985.59" u="1"/>
        <n v="407.64" u="1"/>
        <n v="6701.75" u="1"/>
        <n v="5896.86" u="1"/>
        <n v="16582.412" u="1"/>
        <n v="710.34" u="1"/>
        <n v="1560.4159999999999" u="1"/>
        <n v="5858.48" u="1"/>
        <n v="843.23" u="1"/>
        <n v="1865.6" u="1"/>
        <n v="356.3775" u="1"/>
        <n v="237.73" u="1"/>
        <n v="580.98" u="1"/>
        <n v="334.97" u="1"/>
        <n v="542.05759999999998" u="1"/>
        <n v="235.14400000000001" u="1"/>
        <n v="813.08640000000003" u="1"/>
        <n v="374.36970000000002" u="1"/>
        <n v="1551.9503999999999" u="1"/>
        <n v="670.51" u="1"/>
        <n v="444.63" u="1"/>
        <n v="333.22" u="1"/>
        <n v="678.88800000000003" u="1"/>
        <n v="459.5" u="1"/>
        <n v="216.73" u="1"/>
        <n v="2251.5" u="1"/>
        <n v="753.02" u="1"/>
        <n v="778.09" u="1"/>
        <n v="798.30240000000003" u="1"/>
        <n v="572.00639999999999" u="1"/>
        <n v="378.40320000000003" u="1"/>
        <n v="314.3766" u="1"/>
        <n v="265.88" u="1"/>
        <n v="638.11" u="1"/>
        <n v="1275.29" u="1"/>
        <n v="2218.8795" u="1"/>
        <n v="718.48" u="1"/>
        <n v="295.44" u="1"/>
        <n v="603.3501" u="1"/>
        <n v="596.16989999999998" u="1"/>
        <n v="385.64" u="1"/>
        <n v="393.8134" u="1"/>
        <n v="1395.8" u="1"/>
        <n v="1855" u="1"/>
        <n v="588.46500000000003" u="1"/>
        <n v="585.57000000000005" u="1"/>
        <n v="590.85599999999999" u="1"/>
        <n v="1107.5440000000001" u="1"/>
        <n v="1144.3920000000001" u="1"/>
        <n v="335.31959999999998" u="1"/>
        <n v="558.46559999999999" u="1"/>
        <n v="192.67" u="1"/>
        <n v="2378.9247999999998" u="1"/>
        <n v="457.93439999999998" u="1"/>
        <n v="934.81600000000003" u="1"/>
        <n v="332.08" u="1"/>
        <n v="857.15" u="1"/>
        <n v="695.46" u="1"/>
        <n v="466.46" u="1"/>
        <n v="512.79999999999995" u="1"/>
        <n v="2565" u="1"/>
        <n v="803.84" u="1"/>
        <n v="640.71" u="1"/>
        <n v="392.7" u="1"/>
        <n v="7127.21" u="1"/>
        <n v="575.57000000000005" u="1"/>
        <n v="5573.55" u="1"/>
        <n v="7128.63" u="1"/>
        <n v="5517.68" u="1"/>
        <n v="1042.04" u="1"/>
        <n v="704.21" u="1"/>
        <n v="742.67" u="1"/>
        <n v="2143.7800000000002" u="1"/>
        <n v="507.8" u="1"/>
        <n v="4239.7299999999996" u="1"/>
        <n v="2012.8" u="1"/>
        <n v="1994.55" u="1"/>
        <n v="2267.91" u="1"/>
        <n v="1269.6300000000001" u="1"/>
        <n v="1229.8" u="1"/>
        <n v="1196.77" u="1"/>
        <n v="1319.89" u="1"/>
        <n v="462.8" u="1"/>
        <n v="768.42" u="1"/>
        <n v="945.98" u="1"/>
        <n v="1451.28" u="1"/>
        <n v="5235.1499999999996" u="1"/>
        <n v="3042.35" u="1"/>
        <n v="1745.17" u="1"/>
        <n v="996.39" u="1"/>
        <n v="799.43" u="1"/>
        <n v="347.58" u="1"/>
        <n v="430.23" u="1"/>
        <n v="596.74" u="1"/>
        <n v="7664.35" u="1"/>
        <n v="3177.45" u="1"/>
        <n v="31891.23" u="1"/>
        <n v="1638.71" u="1"/>
        <n v="1134.4100000000001" u="1"/>
        <n v="907.19" u="1"/>
        <n v="569" u="1"/>
        <n v="3217.85" u="1"/>
        <n v="2076.48" u="1"/>
        <n v="3483.6698999999999" u="1"/>
        <n v="5606.9004999999997" u="1"/>
        <n v="556.05600000000004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" u="1"/>
        <n v="715.56" u="1"/>
        <n v="512.49" u="1"/>
        <n v="2035.88" u="1"/>
        <n v="1191.6500000000001" u="1"/>
        <n v="491.54" u="1"/>
        <n v="25918.17" u="1"/>
        <n v="390" u="1"/>
        <n v="3408.7368000000001" u="1"/>
        <n v="1496.07" u="1"/>
        <n v="1525.1279999999999" u="1"/>
        <n v="519.53" u="1"/>
        <n v="947.27" u="1"/>
        <n v="793.88" u="1"/>
        <n v="57077.89" u="1"/>
        <n v="9398.42" u="1"/>
        <n v="7843.42" u="1"/>
        <n v="16939.849999999999" u="1"/>
        <n v="3842.72" u="1"/>
        <n v="5414.01" u="1"/>
        <n v="665" u="1"/>
        <n v="167" u="1"/>
        <n v="687.43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0000000001" u="1"/>
        <n v="1976.9775999999999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00000000001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08" u="1"/>
        <n v="1035" u="1"/>
        <n v="1368.2" u="1"/>
        <n v="905.8" u="1"/>
        <n v="2724.6239999999998" u="1"/>
        <n v="3571.7759999999998" u="1"/>
        <n v="1590.36" u="1"/>
        <n v="1987.92" u="1"/>
        <n v="2420.1923000000002" u="1"/>
        <n v="1716.35" u="1"/>
        <n v="1306.5581" u="1"/>
        <n v="579.75800000000004" u="1"/>
        <n v="818.62170000000003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0000000002" u="1"/>
        <n v="1122.05" u="1"/>
        <n v="1483.22" u="1"/>
        <n v="1169.8425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79999999999" u="1"/>
        <n v="1165.3599999999999" u="1"/>
        <n v="7290.72" u="1"/>
        <n v="1187.3599999999999" u="1"/>
        <n v="6860.4480000000003" u="1"/>
        <n v="167.47" u="1"/>
        <n v="538" u="1"/>
        <n v="279.2" u="1"/>
        <n v="2015.82" u="1"/>
        <n v="2632.1997999999999" u="1"/>
        <n v="1386.14" u="1"/>
        <n v="4042.5" u="1"/>
        <n v="692.22" u="1"/>
        <n v="6983.9279999999999" u="1"/>
        <n v="17227.013999999999" u="1"/>
        <n v="9229.48" u="1"/>
        <n v="2102.828" u="1"/>
        <n v="5579.4089999999997" u="1"/>
        <n v="10557.54" u="1"/>
        <n v="1246.0999999999999" u="1"/>
        <n v="15867.954" u="1"/>
        <n v="313.88" u="1"/>
        <n v="6380.4" u="1"/>
        <n v="3881.5920000000001" u="1"/>
        <n v="6153.84" u="1"/>
        <n v="1061.97" u="1"/>
        <n v="707.98" u="1"/>
        <n v="628" u="1"/>
        <n v="6634.1549999999997" u="1"/>
        <n v="3344.28" u="1"/>
        <n v="233.87" u="1"/>
        <n v="3337.13" u="1"/>
        <n v="2092.89" u="1"/>
        <n v="7475.74" u="1"/>
        <n v="4765.7" u="1"/>
        <n v="741.46" u="1"/>
        <n v="1109.8900000000001" u="1"/>
        <n v="2742.24" u="1"/>
        <n v="401.94" u="1"/>
        <n v="3061.6" u="1"/>
        <n v="130.38" u="1"/>
        <n v="2097.39" u="1"/>
        <n v="14516.28" u="1"/>
        <n v="727.38019999999995" u="1"/>
        <n v="765.2" u="1"/>
        <n v="478.97" u="1"/>
        <n v="1340" u="1"/>
        <n v="1065.8" u="1"/>
        <n v="2107.4299999999998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399999999996" u="1"/>
        <n v="7680.87" u="1"/>
        <n v="4515.8900000000003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00000000001" u="1"/>
        <n v="374" u="1"/>
        <n v="4058.1" u="1"/>
        <n v="1993.741" u="1"/>
        <n v="800.52" u="1"/>
        <n v="1336.62" u="1"/>
        <n v="745.82" u="1"/>
        <n v="3635.424" u="1"/>
        <n v="4514.34" u="1"/>
        <n v="4038.6028000000001" u="1"/>
        <n v="1289.1738" u="1"/>
        <n v="7212.2" u="1"/>
        <n v="2025.56" u="1"/>
        <n v="1216.3499999999999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00000000001" u="1"/>
        <n v="434.28" u="1"/>
        <n v="994.04" u="1"/>
        <n v="576.88" u="1"/>
        <n v="960.89" u="1"/>
        <n v="700.92" u="1"/>
        <n v="2416.4" u="1"/>
        <n v="1615.9" u="1"/>
        <n v="2395.0500000000002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00000000004" u="1"/>
        <n v="2153.88" u="1"/>
        <n v="480.74" u="1"/>
        <n v="539.19000000000005" u="1"/>
        <n v="962.67" u="1"/>
        <n v="349.91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00000000001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3999999999997" u="1"/>
        <n v="2638.192" u="1"/>
        <n v="854.81" u="1"/>
        <n v="1983.92" u="1"/>
        <n v="347.6" u="1"/>
        <n v="1021.86" u="1"/>
        <n v="2759.18" u="1"/>
        <n v="96.51" u="1"/>
        <n v="60.9" u="1"/>
        <n v="779.33" u="1"/>
        <n v="501.54" u="1"/>
        <n v="235.3" u="1"/>
        <n v="2066.2600000000002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4539.2299999999996" u="1"/>
        <n v="29895.371999999999" u="1"/>
        <n v="33799.54" u="1"/>
        <n v="4067.14" u="1"/>
        <n v="3024.47" u="1"/>
        <n v="9112.5540000000001" u="1"/>
        <n v="334.00639999999999" u="1"/>
        <n v="835.29399999999998" u="1"/>
        <n v="368.31420000000003" u="1"/>
        <n v="3099.96" u="1"/>
        <n v="630.05999999999995" u="1"/>
        <n v="3341.59" u="1"/>
        <n v="554.19000000000005" u="1"/>
        <n v="2035.4" u="1"/>
        <n v="1128.03" u="1"/>
        <n v="446.9" u="1"/>
        <n v="718.81" u="1"/>
        <n v="441.52" u="1"/>
        <n v="595.85" u="1"/>
        <n v="762.03" u="1"/>
        <n v="2397.77" u="1"/>
        <n v="1663.84" u="1"/>
        <n v="3433.01" u="1"/>
        <n v="2710.02" u="1"/>
        <n v="4254" u="1"/>
        <n v="594.41999999999996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000000001" u="1"/>
        <n v="619.06320000000005" u="1"/>
        <n v="149.32400000000001" u="1"/>
        <n v="601.02" u="1"/>
        <n v="1014" u="1"/>
        <n v="490.52" u="1"/>
        <n v="1349.04" u="1"/>
        <n v="1820" u="1"/>
        <n v="367.01" u="1"/>
        <n v="437.41" u="1"/>
        <n v="347.23" u="1"/>
        <n v="91.15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7785" u="1"/>
        <n v="899.6" u="1"/>
        <n v="218.94" u="1"/>
        <n v="1203.0899999999999" u="1"/>
        <n v="120.32" u="1"/>
        <n v="368.05439999999999" u="1"/>
        <n v="318.4384" u="1"/>
        <n v="465.6" u="1"/>
        <n v="2100" u="1"/>
        <n v="1061" u="1"/>
        <n v="1935" u="1"/>
        <n v="592.93920000000003" u="1"/>
        <n v="206.61760000000001" u="1"/>
        <n v="1141" u="1"/>
        <n v="8645.56" u="1"/>
        <n v="545.09280000000001" u="1"/>
        <n v="2767.2860000000001" u="1"/>
        <n v="1599.472" u="1"/>
        <n v="1196.6475" u="1"/>
        <n v="2787.3" u="1"/>
        <n v="1173.3599999999999" u="1"/>
        <n v="853.36" u="1"/>
        <n v="737.81119999999999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000000000004" u="1"/>
        <n v="5464.62" u="1"/>
        <n v="2306.11" u="1"/>
        <n v="1902.1128000000001" u="1"/>
        <n v="420.5" u="1"/>
        <n v="1221.79" u="1"/>
        <n v="2821.78" u="1"/>
        <n v="583.65" u="1"/>
        <n v="315.61" u="1"/>
        <n v="978.19" u="1"/>
        <n v="2109.9699999999998" u="1"/>
        <n v="424.04" u="1"/>
        <n v="436.61009999999999" u="1"/>
        <n v="1307.8900000000001" u="1"/>
        <n v="424.87" u="1"/>
        <n v="3846" u="1"/>
        <n v="905" u="1"/>
        <n v="1503.0300999999999" u="1"/>
        <n v="532.44799999999998" u="1"/>
        <n v="792.69119999999998" u="1"/>
        <n v="117.92" u="1"/>
        <n v="26.13" u="1"/>
        <n v="453.75" u="1"/>
        <n v="420.03" u="1"/>
        <n v="582.08799999999997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0000000001" u="1"/>
        <n v="695.72" u="1"/>
        <n v="174.81" u="1"/>
        <n v="1619.2175999999999" u="1"/>
        <n v="2045.34" u="1"/>
        <n v="2972.64" u="1"/>
        <n v="4903.1400000000003" u="1"/>
        <n v="1149.8" u="1"/>
        <n v="1241.3699999999999" u="1"/>
        <n v="930" u="1"/>
        <n v="1532.9" u="1"/>
        <n v="8157.74" u="1"/>
        <n v="13708.38" u="1"/>
        <n v="12867.37" u="1"/>
        <n v="494.58" u="1"/>
        <n v="469.77" u="1"/>
        <n v="434.43" u="1"/>
        <n v="726.79039999999998" u="1"/>
        <n v="601.31200000000001" u="1"/>
        <n v="863.08" u="1"/>
        <n v="1424.96" u="1"/>
        <n v="812.7" u="1"/>
        <n v="383.95" u="1"/>
        <n v="409.24799999999999" u="1"/>
        <n v="195.16" u="1"/>
        <n v="170.5" u="1"/>
        <n v="2890.98" u="1"/>
        <n v="2634.9" u="1"/>
        <n v="1517.6895999999999" u="1"/>
        <n v="500.23680000000002" u="1"/>
        <n v="713.976" u="1"/>
        <n v="1002.25" u="1"/>
        <n v="330.1" u="1"/>
        <n v="496.28" u="1"/>
        <n v="187.59" u="1"/>
        <n v="3492.2622000000001" u="1"/>
        <n v="886.25" u="1"/>
        <n v="1356.3620000000001" u="1"/>
        <n v="2998.4717999999998" u="1"/>
        <n v="611.32000000000005" u="1"/>
        <n v="3124.7444999999998" u="1"/>
        <n v="1226.68" u="1"/>
        <n v="1866.68" u="1"/>
        <n v="756.75990000000002" u="1"/>
        <n v="862.74720000000002" u="1"/>
        <n v="1665.24" u="1"/>
        <n v="14527.37" u="1"/>
        <n v="9116.52" u="1"/>
        <n v="1624" u="1"/>
        <n v="1932" u="1"/>
        <n v="19746.580000000002" u="1"/>
        <n v="364.72" u="1"/>
        <n v="6614.45" u="1"/>
        <n v="408.14" u="1"/>
        <n v="408.3" u="1"/>
        <n v="3273.06" u="1"/>
        <n v="788.9" u="1"/>
        <n v="313.86660000000001" u="1"/>
        <n v="3120.06" u="1"/>
        <n v="404.1" u="1"/>
        <n v="1219.2768000000001" u="1"/>
        <n v="14441.36" u="1"/>
        <n v="13240.28" u="1"/>
        <n v="556.72" u="1"/>
        <n v="925.36" u="1"/>
        <n v="2572.5100000000002" u="1"/>
        <n v="237.67" u="1"/>
        <n v="802.8" u="1"/>
        <n v="644.9" u="1"/>
        <n v="2163.77" u="1"/>
        <n v="1527.79" u="1"/>
        <n v="557.91" u="1"/>
        <n v="1297.3599999999999" u="1"/>
        <n v="941.67" u="1"/>
        <n v="739.88" u="1"/>
        <n v="1913.49" u="1"/>
        <n v="3199.36" u="1"/>
        <n v="3099.38" u="1"/>
        <n v="8148.14" u="1"/>
        <n v="927.9" u="1"/>
        <n v="241.97499999999999" u="1"/>
        <n v="329.8" u="1"/>
        <n v="214.56" u="1"/>
        <n v="8432.64" u="1"/>
        <n v="2950.5" u="1"/>
        <n v="438.78" u="1"/>
        <n v="877.56" u="1"/>
        <n v="907.2" u="1"/>
        <n v="212.5" u="1"/>
        <n v="403.95" u="1"/>
        <n v="1429.68" u="1"/>
        <n v="494.15" u="1"/>
        <n v="484.26" u="1"/>
        <n v="809.02080000000001" u="1"/>
        <n v="6555.9059999999999" u="1"/>
        <n v="84.924000000000007" u="1"/>
        <n v="4746.6000000000004" u="1"/>
        <n v="215.22" u="1"/>
        <n v="2106" u="1"/>
        <n v="2901" u="1"/>
        <n v="1534" u="1"/>
        <n v="845.9" u="1"/>
        <n v="574.9" u="1"/>
        <n v="637.26" u="1"/>
        <n v="303.94" u="1"/>
        <n v="534.20000000000005" u="1"/>
        <n v="790.32" u="1"/>
        <n v="525.15" u="1"/>
        <n v="131.5" u="1"/>
        <n v="4512.8999999999996" u="1"/>
        <n v="1132.82" u="1"/>
        <n v="18702.88" u="1"/>
        <n v="19764.045399999999" u="1"/>
        <n v="1921.77" u="1"/>
        <n v="804.96" u="1"/>
        <n v="650.88" u="1"/>
        <n v="2058.462" u="1"/>
        <n v="34176.559999999998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0000000002" u="1"/>
        <n v="1162.6500000000001" u="1"/>
        <n v="2161.04" u="1"/>
        <n v="548.35199999999998" u="1"/>
        <n v="702.91200000000003" u="1"/>
        <n v="1524.992" u="1"/>
        <n v="606.28" u="1"/>
        <n v="514.28" u="1"/>
        <n v="2406.8000000000002" u="1"/>
        <n v="198.93" u="1"/>
        <n v="547.23199999999997" u="1"/>
        <n v="194.65600000000001" u="1"/>
        <n v="1606.1130000000001" u="1"/>
        <n v="568.35990000000004" u="1"/>
        <n v="1280.43" u="1"/>
        <n v="566.4" u="1"/>
        <n v="2890.5504000000001" u="1"/>
        <n v="527.79" u="1"/>
        <n v="204.45599999999999" u="1"/>
        <n v="724.78399999999999" u="1"/>
        <n v="264.23039999999997" u="1"/>
        <n v="594.21600000000001" u="1"/>
        <n v="694.25850000000003" u="1"/>
        <n v="2496.0749999999998" u="1"/>
        <n v="1428.99" u="1"/>
        <n v="2307.5003999999999" u="1"/>
        <n v="696.23199999999997" u="1"/>
        <n v="221.49" u="1"/>
        <n v="4195.54" u="1"/>
        <n v="2649.54" u="1"/>
        <n v="585.27840000000003" u="1"/>
        <n v="601.74239999999998" u="1"/>
        <n v="901.56" u="1"/>
        <n v="407.74720000000002" u="1"/>
        <n v="265.22719999999998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79999999999995" u="1"/>
        <n v="862.44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0000000000005" u="1"/>
        <n v="2406.6558" u="1"/>
        <n v="1485.9280000000001" u="1"/>
        <n v="670.56659999999999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099999999997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3999999999" u="1"/>
        <n v="3045.94" u="1"/>
        <n v="6212.74" u="1"/>
        <n v="50821.03" u="1"/>
        <n v="6874.64" u="1"/>
        <n v="710.58" u="1"/>
        <n v="1581.38" u="1"/>
        <n v="563.20000000000005" u="1"/>
        <n v="1224" u="1"/>
        <n v="2258.6729999999998" u="1"/>
        <n v="2606" u="1"/>
        <n v="258.55" u="1"/>
        <n v="264.10000000000002" u="1"/>
        <n v="528.20000000000005" u="1"/>
        <n v="215.28" u="1"/>
        <n v="4133.5200000000004" u="1"/>
        <n v="1349.24" u="1"/>
        <n v="345.8" u="1"/>
        <n v="1299.04" u="1"/>
        <n v="1054.8900000000001" u="1"/>
        <n v="982.61" u="1"/>
        <n v="1698.0319999999999" u="1"/>
        <n v="1022.1792" u="1"/>
        <n v="1124.8800000000001" u="1"/>
        <n v="774" u="1"/>
        <n v="2079.83" u="1"/>
        <n v="3480.8" u="1"/>
        <n v="1091.58" u="1"/>
        <n v="2719.78" u="1"/>
        <n v="17610" u="1"/>
        <n v="2269.2321000000002" u="1"/>
        <n v="395.30399999999997" u="1"/>
        <n v="1637.8879999999999" u="1"/>
        <n v="990.36" u="1"/>
        <n v="537.52" u="1"/>
        <n v="275.2" u="1"/>
        <n v="2019.66" u="1"/>
        <n v="850.34" u="1"/>
        <n v="505.89" u="1"/>
        <n v="521.38" u="1"/>
        <n v="630.42999999999995" u="1"/>
        <n v="1711.82" u="1"/>
        <n v="2227.84" u="1"/>
        <n v="219.39" u="1"/>
        <n v="1247.94" u="1"/>
        <n v="539.62" u="1"/>
        <n v="159.45500000000001" u="1"/>
        <n v="265.66660000000002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69999999997" u="1"/>
        <n v="1674.55" u="1"/>
        <n v="219.56" u="1"/>
        <n v="439.81" u="1"/>
        <n v="730.56" u="1"/>
        <n v="458.07" u="1"/>
        <n v="4374" u="1"/>
        <n v="331.58" u="1"/>
        <n v="322.16000000000003" u="1"/>
        <n v="211.22" u="1"/>
        <n v="650.70000000000005" u="1"/>
        <n v="768.21" u="1"/>
        <n v="1167.93" u="1"/>
        <n v="1493.5" u="1"/>
        <n v="4036.3" u="1"/>
        <n v="15492.45" u="1"/>
        <n v="1256.52" u="1"/>
        <n v="357.39" u="1"/>
        <n v="1874.5440000000001" u="1"/>
        <n v="50.97" u="1"/>
        <n v="410.75" u="1"/>
        <n v="188.78" u="1"/>
        <n v="1472.7439999999999" u="1"/>
        <n v="232.57919999999999" u="1"/>
        <n v="66.989999999999995" u="1"/>
        <n v="359.29599999999999" u="1"/>
        <n v="41.41" u="1"/>
        <n v="250.78" u="1"/>
        <n v="180.05500000000001" u="1"/>
        <n v="1717.87" u="1"/>
        <n v="204.25" u="1"/>
        <n v="7419.9840000000004" u="1"/>
        <n v="659.22" u="1"/>
        <n v="588.38" u="1"/>
        <n v="621.27" u="1"/>
        <n v="426.98009999999999" u="1"/>
        <n v="863.18" u="1"/>
        <n v="1547.39" u="1"/>
        <n v="1085.5039999999999" u="1"/>
        <n v="751" u="1"/>
        <n v="186.91" u="1"/>
        <n v="621.096" u="1"/>
        <n v="466.33440000000002" u="1"/>
        <n v="670.07360000000006" u="1"/>
        <n v="290.34660000000002" u="1"/>
        <n v="3748.41" u="1"/>
        <n v="795.2" u="1"/>
        <n v="1066.8599999999999" u="1"/>
        <n v="1271.8900000000001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00000000002" u="1"/>
        <n v="517.89" u="1"/>
        <n v="959.67" u="1"/>
        <n v="987.79" u="1"/>
        <n v="4170.8500000000004" u="1"/>
        <n v="3732.88" u="1"/>
        <n v="4527.5626000000002" u="1"/>
        <n v="1239.5899999999999" u="1"/>
        <n v="2267" u="1"/>
        <n v="1634.87" u="1"/>
        <n v="1152.79" u="1"/>
        <n v="9113.02" u="1"/>
        <n v="1627.01" u="1"/>
        <n v="1104.67" u="1"/>
        <n v="3396.6039999999998" u="1"/>
        <n v="3173.6480000000001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719.32" u="1"/>
        <n v="1980" u="1"/>
        <n v="344.25" u="1"/>
        <n v="1848.04" u="1"/>
        <n v="93.41" u="1"/>
        <n v="767.47500000000002" u="1"/>
        <n v="420.69" u="1"/>
        <n v="522.14400000000001" u="1"/>
        <n v="1735.232" u="1"/>
        <n v="227.39" u="1"/>
        <n v="325" u="1"/>
        <n v="27970.86" u="1"/>
        <n v="1425.53" u="1"/>
        <n v="2727.77" u="1"/>
        <n v="902.09" u="1"/>
        <n v="730.43" u="1"/>
        <n v="4607.2647999999999" u="1"/>
        <n v="2339.56" u="1"/>
        <n v="1321.8194000000001" u="1"/>
        <n v="673.95" u="1"/>
        <n v="345" u="1"/>
        <n v="2974.65" u="1"/>
        <n v="452.1" u="1"/>
        <n v="373.63" u="1"/>
        <n v="2454.7399999999998" u="1"/>
        <n v="2801.6765" u="1"/>
        <n v="2421.79" u="1"/>
        <n v="1335.6369999999999" u="1"/>
        <n v="1172.8570999999999" u="1"/>
        <n v="721.995" u="1"/>
        <n v="1134" u="1"/>
        <n v="252.07" u="1"/>
        <n v="584.92039999999997" u="1"/>
        <n v="871.11" u="1"/>
        <n v="693.6" u="1"/>
        <n v="931.32510000000002" u="1"/>
        <n v="1488.56" u="1"/>
        <n v="426.5" u="1"/>
        <n v="242.16" u="1"/>
        <n v="909.8" u="1"/>
        <n v="462.73" u="1"/>
        <n v="568.16" u="1"/>
        <n v="165.18" u="1"/>
        <n v="128.32" u="1"/>
        <n v="593.79999999999995" u="1"/>
        <n v="99.6" u="1"/>
        <n v="102.15" u="1"/>
        <n v="626.5" u="1"/>
        <n v="158.54" u="1"/>
        <n v="106.25" u="1"/>
        <n v="154.41" u="1"/>
        <n v="75.819999999999993" u="1"/>
        <n v="86.62" u="1"/>
        <n v="94.92" u="1"/>
        <n v="20.87" u="1"/>
        <n v="76.599999999999994" u="1"/>
        <n v="80.53" u="1"/>
        <n v="157.44" u="1"/>
        <n v="55.74" u="1"/>
        <n v="207.35" u="1"/>
        <n v="78" u="1"/>
        <n v="115.2" u="1"/>
        <n v="65.569999999999993" u="1"/>
        <n v="244.99" u="1"/>
        <n v="95.67" u="1"/>
        <n v="136.9" u="1"/>
        <n v="126.37" u="1"/>
        <n v="92.43" u="1"/>
        <n v="7600.02" u="1"/>
        <n v="375.04" u="1"/>
        <n v="936.8" u="1"/>
        <n v="828.9" u="1"/>
        <n v="264.91000000000003" u="1"/>
        <n v="1289.07" u="1"/>
        <n v="231.1" u="1"/>
        <n v="3070.02" u="1"/>
        <n v="977.06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199999999995" u="1"/>
        <n v="227.15100000000001" u="1"/>
        <n v="19.86" u="1"/>
        <n v="35620.385000000002" u="1"/>
        <n v="457.68" u="1"/>
        <n v="1584.92" u="1"/>
        <n v="942.48" u="1"/>
        <n v="1877.82" u="1"/>
        <n v="1146.9000000000001" u="1"/>
        <n v="487.44" u="1"/>
        <n v="1875.37" u="1"/>
        <n v="552.35" u="1"/>
        <n v="767.12" u="1"/>
        <n v="66.680000000000007" u="1"/>
        <n v="426.56" u="1"/>
        <n v="2106.3200000000002" u="1"/>
        <n v="2192.8000000000002" u="1"/>
        <n v="783.12" u="1"/>
        <n v="188.72" u="1"/>
        <n v="1074.4000000000001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000000000001" u="1"/>
        <n v="1214.94" u="1"/>
        <n v="3540.87" u="1"/>
        <n v="1706.8828000000001" u="1"/>
        <n v="1296.1500000000001" u="1"/>
        <n v="3105" u="1"/>
        <n v="400.29" u="1"/>
        <n v="1362.09" u="1"/>
        <n v="702.79" u="1"/>
        <n v="35076.339999999997" u="1"/>
        <n v="1027.3800000000001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0000000001" u="1"/>
        <n v="226.79" u="1"/>
        <n v="644.64" u="1"/>
        <n v="772.2" u="1"/>
        <n v="5977.29" u="1"/>
        <n v="9002.69" u="1"/>
        <n v="739.4452" u="1"/>
        <n v="275.02999999999997" u="1"/>
        <n v="212" u="1"/>
        <n v="1365.34" u="1"/>
        <n v="1142.624" u="1"/>
        <n v="795.29" u="1"/>
        <n v="955.13599999999997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07" u="1"/>
        <n v="670.72" u="1"/>
        <n v="715.08" u="1"/>
        <n v="560.51199999999994" u="1"/>
        <n v="420.23520000000002" u="1"/>
        <n v="567.77279999999996" u="1"/>
        <n v="1590.32" u="1"/>
        <n v="424.25" u="1"/>
        <n v="1122" u="1"/>
        <n v="2069.06" u="1"/>
        <n v="1005.56" u="1"/>
        <n v="330.27" u="1"/>
        <n v="283.29000000000002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" u="1"/>
        <n v="13161.35" u="1"/>
        <n v="954.79" u="1"/>
        <n v="1488.18" u="1"/>
        <n v="1631.09" u="1"/>
        <n v="3680.8" u="1"/>
        <n v="2242.1799999999998" u="1"/>
        <n v="656.9" u="1"/>
        <n v="863.04" u="1"/>
        <n v="1774.89" u="1"/>
        <n v="2578.8000000000002" u="1"/>
        <n v="858.42" u="1"/>
        <n v="1848.23" u="1"/>
        <n v="609.79999999999995" u="1"/>
        <n v="406.8" u="1"/>
        <n v="609.9" u="1"/>
        <n v="1654.78" u="1"/>
        <n v="1376.78" u="1"/>
        <n v="1816.5" u="1"/>
        <n v="2076.5100000000002" u="1"/>
        <n v="1716.17" u="1"/>
        <n v="654.52" u="1"/>
        <n v="823.9" u="1"/>
        <n v="500.8" u="1"/>
        <n v="3289.46" u="1"/>
        <n v="263.61" u="1"/>
        <n v="657.81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09999999996" u="1"/>
        <n v="323.13339999999999" u="1"/>
        <n v="1276.9792" u="1"/>
        <n v="1008.44" u="1"/>
        <n v="833.64" u="1"/>
        <n v="2136.4299999999998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0000000001" u="1"/>
        <n v="244.56" u="1"/>
        <n v="617.87" u="1"/>
        <n v="1255.1300000000001" u="1"/>
        <n v="572.05999999999995" u="1"/>
        <n v="1155.3399999999999" u="1"/>
        <n v="1155.3599999999999" u="1"/>
        <n v="929.7" u="1"/>
        <n v="929.71" u="1"/>
        <n v="3354.59" u="1"/>
        <n v="2321.8000000000002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0000000001" u="1"/>
        <n v="684.88" u="1"/>
        <n v="207.67" u="1"/>
        <n v="1413.9398000000001" u="1"/>
        <n v="140.44" u="1"/>
        <n v="168.89" u="1"/>
        <n v="468.94" u="1"/>
        <n v="75.180000000000007" u="1"/>
        <n v="160.76" u="1"/>
        <n v="74.849999999999994" u="1"/>
        <n v="44.59" u="1"/>
        <n v="72.8" u="1"/>
        <n v="718.82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0000000003" u="1"/>
        <n v="1472.0160000000001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000000001" u="1"/>
        <n v="5294.8" u="1"/>
        <n v="5363.3670000000002" u="1"/>
        <n v="6325.69" u="1"/>
        <n v="278.89999999999998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07" u="1"/>
        <n v="974.06" u="1"/>
        <n v="985.16" u="1"/>
        <n v="1165.33" u="1"/>
        <n v="861.84" u="1"/>
        <n v="766.75199999999995" u="1"/>
        <n v="563.5499999999999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5" u="1"/>
        <n v="588.81989999999996" u="1"/>
        <n v="718.63679999999999" u="1"/>
        <n v="189.64" u="1"/>
        <n v="164.59" u="1"/>
        <n v="2331.7199999999998" u="1"/>
        <n v="97.92" u="1"/>
        <n v="70.59" u="1"/>
        <n v="355.572" u="1"/>
        <n v="1830" u="1"/>
        <n v="480.22980000000001" u="1"/>
        <n v="1016.4" u="1"/>
        <n v="139.24" u="1"/>
        <n v="143.47999999999999" u="1"/>
        <n v="303.86" u="1"/>
        <n v="311.27999999999997" u="1"/>
        <n v="183.43" u="1"/>
        <n v="185.26" u="1"/>
        <n v="945.33600000000001" u="1"/>
        <n v="196.672" u="1"/>
        <n v="502.42500000000001" u="1"/>
        <n v="156.21" u="1"/>
        <n v="613.32000000000005" u="1"/>
        <n v="2124" u="1"/>
        <n v="2732.96" u="1"/>
        <n v="424.8" u="1"/>
        <n v="597.83010000000002" u="1"/>
        <n v="217.67500000000001" u="1"/>
        <n v="5475.2510000000002" u="1"/>
        <n v="284.65339999999998" u="1"/>
        <n v="1449.57" u="1"/>
        <n v="7672.9380000000001" u="1"/>
        <n v="886.3116" u="1"/>
        <n v="730.15" u="1"/>
        <n v="631.39" u="1"/>
        <n v="752.81920000000002" u="1"/>
        <n v="814.29600000000005" u="1"/>
        <n v="718.36800000000005" u="1"/>
        <n v="790.47199999999998" u="1"/>
        <n v="618.20640000000003" u="1"/>
        <n v="429.8" u="1"/>
        <n v="851.45" u="1"/>
        <n v="390.18" u="1"/>
        <n v="798.81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599999999997" u="1"/>
        <n v="5157.7700000000004" u="1"/>
        <n v="598.41" u="1"/>
        <n v="455" u="1"/>
        <n v="1257.3430000000001" u="1"/>
        <n v="1713" u="1"/>
        <n v="23047.56" u="1"/>
        <n v="175.99" u="1"/>
        <n v="227.32" u="1"/>
        <n v="616.16" u="1"/>
        <n v="2266.7399999999998" u="1"/>
        <n v="411.74" u="1"/>
        <n v="1086.8900000000001" u="1"/>
        <n v="3239.2559999999999" u="1"/>
        <n v="424" u="1"/>
        <n v="3257.75" u="1"/>
        <n v="135.55000000000001" u="1"/>
        <n v="41.36" u="1"/>
        <n v="3220.02" u="1"/>
        <n v="2997.28" u="1"/>
        <n v="2992.08" u="1"/>
        <n v="2174.8337999999999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0000000002" u="1"/>
        <n v="1139.8399999999999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7999999999999" u="1"/>
        <n v="80.069999999999993" u="1"/>
        <n v="42.8" u="1"/>
        <n v="89.99" u="1"/>
        <n v="86.99" u="1"/>
        <n v="44.48" u="1"/>
        <n v="41.96" u="1"/>
        <n v="91.5" u="1"/>
        <n v="97.75" u="1"/>
        <n v="214.03200000000001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39999999996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5" u="1"/>
        <n v="1396.56" u="1"/>
        <n v="1034" u="1"/>
        <n v="347.25" u="1"/>
        <n v="108.61" u="1"/>
        <n v="138.06" u="1"/>
        <n v="1045.3399999999999" u="1"/>
        <n v="856.16" u="1"/>
        <n v="1278.4000000000001" u="1"/>
        <n v="2679.9" u="1"/>
        <n v="1520.68" u="1"/>
        <n v="5367.8861999999999" u="1"/>
        <n v="2303.3719999999998" u="1"/>
        <n v="613.67999999999995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" u="1"/>
        <n v="81.180000000000007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09999999999" u="1"/>
        <n v="12083.57" u="1"/>
        <n v="5008.6000000000004" u="1"/>
        <n v="195.3" u="1"/>
        <n v="457.94" u="1"/>
        <n v="1323.74" u="1"/>
        <n v="216.84" u="1"/>
        <n v="481.34" u="1"/>
        <n v="297.14" u="1"/>
        <n v="297.25" u="1"/>
        <n v="80.739999999999995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7999999999999" u="1"/>
        <n v="364.6" u="1"/>
        <n v="195.47" u="1"/>
        <n v="82.58" u="1"/>
        <n v="197.07" u="1"/>
        <n v="198.02" u="1"/>
        <n v="443.32" u="1"/>
        <n v="735.24" u="1"/>
        <n v="635.26859999999999" u="1"/>
        <n v="1201.48" u="1"/>
        <n v="839" u="1"/>
        <n v="91.82" u="1"/>
        <n v="84.98" u="1"/>
        <n v="80.55" u="1"/>
        <n v="73.41" u="1"/>
        <n v="85.99" u="1"/>
        <n v="58.56" u="1"/>
        <n v="76.14" u="1"/>
        <n v="80.430000000000007" u="1"/>
        <n v="41.25" u="1"/>
        <n v="152.88" u="1"/>
        <n v="88.95" u="1"/>
        <n v="39.340000000000003" u="1"/>
        <n v="76.05" u="1"/>
        <n v="94.99" u="1"/>
        <n v="99.99" u="1"/>
        <n v="94.74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05" u="1"/>
        <n v="98.99" u="1"/>
        <n v="58.64" u="1"/>
        <n v="45.51" u="1"/>
        <n v="82.49" u="1"/>
        <n v="95.8" u="1"/>
        <n v="91.99" u="1"/>
        <n v="75.900000000000006" u="1"/>
        <n v="77.400000000000006" u="1"/>
        <n v="37.409999999999997" u="1"/>
        <n v="110.97" u="1"/>
        <n v="78.42" u="1"/>
        <n v="34.450000000000003" u="1"/>
        <n v="93.03" u="1"/>
        <n v="349.99" u="1"/>
        <n v="104.76" u="1"/>
        <n v="143.11000000000001" u="1"/>
        <n v="39.799999999999997" u="1"/>
        <n v="88.52" u="1"/>
        <n v="88.34" u="1"/>
        <n v="89.43" u="1"/>
        <n v="107.53" u="1"/>
        <n v="869.25" u="1"/>
        <n v="59" u="1"/>
        <n v="59.12" u="1"/>
        <n v="272.08999999999997" u="1"/>
        <n v="700.35" u="1"/>
        <n v="461.19" u="1"/>
        <n v="2830.98" u="1"/>
        <n v="780.16459999999995" u="1"/>
        <n v="6440" u="1"/>
        <n v="25.61" u="1"/>
        <n v="133.11000000000001" u="1"/>
        <n v="1178.6199999999999" u="1"/>
        <n v="189.55" u="1"/>
        <n v="208.82" u="1"/>
        <n v="1528.1365000000001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00000000005" u="1"/>
        <n v="132.49" u="1"/>
        <n v="1361.6" u="1"/>
        <n v="1053.9000000000001" u="1"/>
        <n v="1395.85" u="1"/>
        <n v="2128.08" u="1"/>
        <n v="957.56" u="1"/>
        <n v="366.23" u="1"/>
        <n v="622.4" u="1"/>
        <n v="3058.63" u="1"/>
        <n v="1165.46" u="1"/>
        <n v="835.72" u="1"/>
        <n v="1045" u="1"/>
        <n v="1672" u="1"/>
        <n v="226.01499999999999" u="1"/>
        <n v="2967.28" u="1"/>
        <n v="3274.24" u="1"/>
        <n v="1463" u="1"/>
        <n v="731.96" u="1"/>
        <n v="1790.61" u="1"/>
        <n v="1250.3599999999999" u="1"/>
        <n v="4164.57" u="1"/>
        <n v="23840.87" u="1"/>
        <n v="1448.9" u="1"/>
        <n v="492" u="1"/>
        <n v="574.5376" u="1"/>
        <n v="2140.1632" u="1"/>
        <n v="370.10399999999998" u="1"/>
        <n v="6113.65" u="1"/>
        <n v="2124.63" u="1"/>
        <n v="2123.5500000000002" u="1"/>
        <n v="273.26" u="1"/>
        <n v="2098.14" u="1"/>
        <n v="549.94000000000005" u="1"/>
        <n v="920.04" u="1"/>
        <n v="1966.5" u="1"/>
        <n v="100.72" u="1"/>
        <n v="518.46" u="1"/>
        <n v="2134.6799999999998" u="1"/>
        <n v="2501.4" u="1"/>
        <n v="691.29" u="1"/>
        <n v="402.88" u="1"/>
        <n v="2666.8020000000001" u="1"/>
        <n v="5067.49" u="1"/>
        <n v="23689.03" u="1"/>
        <n v="102.31" u="1"/>
        <n v="2624.58" u="1"/>
        <n v="1230.0999999999999" u="1"/>
        <n v="886.48739999999998" u="1"/>
        <n v="3463.08" u="1"/>
        <n v="1265.02" u="1"/>
        <n v="2633.4" u="1"/>
        <n v="291" u="1"/>
        <n v="1383.86" u="1"/>
        <n v="2012.864" u="1"/>
        <n v="178.49440000000001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447.81" u="1"/>
        <n v="458" u="1"/>
        <n v="458.32" u="1"/>
        <n v="213.215" u="1"/>
        <n v="552.61500000000001" u="1"/>
        <n v="205" u="1"/>
        <n v="215.19" u="1"/>
        <n v="497.49990000000003" u="1"/>
        <n v="335.53339999999997" u="1"/>
        <n v="390.83" u="1"/>
        <n v="211.42240000000001" u="1"/>
        <n v="700.86239999999998" u="1"/>
        <n v="680.23500000000001" u="1"/>
        <n v="643.73119999999994" u="1"/>
        <n v="498.13119999999998" u="1"/>
        <n v="648.12159999999994" u="1"/>
        <n v="499.36320000000001" u="1"/>
        <n v="1370.96" u="1"/>
        <n v="1524.54" u="1"/>
        <n v="1144.82" u="1"/>
        <n v="3282.3" u="1"/>
        <n v="5989.2" u="1"/>
        <n v="22379.38" u="1"/>
        <n v="1605.89" u="1"/>
        <n v="320.39999999999998" u="1"/>
        <n v="164.48" u="1"/>
        <n v="1509.04" u="1"/>
        <n v="1382.42" u="1"/>
        <n v="13.5" u="1"/>
        <n v="351.36" u="1"/>
        <n v="141.16" u="1"/>
        <n v="3421.41" u="1"/>
        <n v="743.22" u="1"/>
        <n v="1192.8900000000001" u="1"/>
        <n v="1207.8900000000001" u="1"/>
        <n v="1130.1600000000001" u="1"/>
        <n v="2482.9499999999998" u="1"/>
        <n v="724.14" u="1"/>
        <n v="125.6" u="1"/>
        <n v="583.29" u="1"/>
        <n v="835.2" u="1"/>
        <n v="147.31" u="1"/>
        <n v="1505.53" u="1"/>
        <n v="621.33000000000004" u="1"/>
        <n v="507.6" u="1"/>
        <n v="21663.18" u="1"/>
        <n v="280.54000000000002" u="1"/>
        <n v="194.43" u="1"/>
        <n v="9844.98" u="1"/>
        <n v="43720.38" u="1"/>
        <n v="4845.1099999999997" u="1"/>
        <n v="13850.1" u="1"/>
        <n v="7848.39" u="1"/>
        <n v="295.63" u="1"/>
        <n v="22628.54" u="1"/>
        <n v="619.02" u="1"/>
        <n v="3064.21" u="1"/>
        <n v="1499.07" u="1"/>
        <n v="3024.6" u="1"/>
        <n v="549.20000000000005" u="1"/>
        <n v="2014.27" u="1"/>
        <n v="4685.68" u="1"/>
        <n v="994.43430000000001" u="1"/>
        <n v="974.97" u="1"/>
        <n v="1517.895" u="1"/>
        <n v="762.49599999999998" u="1"/>
        <n v="1361.52" u="1"/>
        <n v="11067" u="1"/>
        <n v="1585.75" u="1"/>
        <n v="2195.7800000000002" u="1"/>
        <n v="1686.24" u="1"/>
        <n v="565.83000000000004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0999999999" u="1"/>
        <n v="1548.2061000000001" u="1"/>
        <n v="779.35249999999996" u="1"/>
        <n v="1483.1247000000001" u="1"/>
        <n v="1369.05" u="1"/>
        <n v="3899.22" u="1"/>
        <n v="161.30000000000001" u="1"/>
        <n v="3122.8" u="1"/>
        <n v="1056.98" u="1"/>
        <n v="1546.9" u="1"/>
        <n v="1835.68" u="1"/>
        <n v="151.53" u="1"/>
        <n v="843.18" u="1"/>
        <n v="471.55439999999999" u="1"/>
        <n v="2621.87" u="1"/>
        <n v="265.89999999999998" u="1"/>
        <n v="1009.51" u="1"/>
        <n v="2197.34" u="1"/>
        <n v="172.99" u="1"/>
        <n v="1828.1953000000001" u="1"/>
        <n v="919.69" u="1"/>
        <n v="1706.5591999999999" u="1"/>
        <n v="1760.7357" u="1"/>
        <n v="4473.6099999999997" u="1"/>
        <n v="17237.52" u="1"/>
        <n v="4953.7" u="1"/>
        <n v="12518.08" u="1"/>
        <n v="981.38879999999995" u="1"/>
        <n v="784" u="1"/>
        <n v="21120.518" u="1"/>
        <n v="35076.348700000002" u="1"/>
        <n v="3992.27" u="1"/>
        <n v="1575" u="1"/>
        <n v="455.7" u="1"/>
        <n v="1255" u="1"/>
        <n v="3556" u="1"/>
        <n v="2528.9899999999998" u="1"/>
        <n v="1241.8" u="1"/>
        <n v="1953" u="1"/>
        <n v="1243.8" u="1"/>
        <n v="600.55999999999995" u="1"/>
        <n v="435.8" u="1"/>
        <n v="824.68" u="1"/>
        <n v="3508.9423999999999" u="1"/>
        <n v="2228.1383999999998" u="1"/>
        <n v="1951.5715" u="1"/>
        <n v="860.09519999999998" u="1"/>
        <n v="1070.4785999999999" u="1"/>
        <n v="202" u="1"/>
        <n v="1797" u="1"/>
        <n v="1878.6015" u="1"/>
        <n v="4142.9799999999996" u="1"/>
        <n v="381.67160000000001" u="1"/>
        <n v="332.58" u="1"/>
        <n v="2869.6714999999999" u="1"/>
        <n v="1460.8508999999999" u="1"/>
        <n v="2225.52" u="1"/>
        <n v="724.17" u="1"/>
        <n v="2792.35" u="1"/>
        <n v="6.14" u="1"/>
        <n v="76" u="1"/>
        <n v="504.94" u="1"/>
        <n v="2016" u="1"/>
        <n v="3437.64" u="1"/>
        <n v="1251.3956000000001" u="1"/>
        <n v="1346.43" u="1"/>
        <n v="900.8" u="1"/>
        <n v="3753.8" u="1"/>
        <n v="3295.74" u="1"/>
        <n v="2820.07" u="1"/>
        <n v="3182.49" u="1"/>
        <n v="4127.3100000000004" u="1"/>
        <n v="2840.1469999999999" u="1"/>
        <n v="3425.99" u="1"/>
        <n v="12996.12" u="1"/>
        <n v="22385.040000000001" u="1"/>
        <n v="3548.2116000000001" u="1"/>
        <n v="2478.4870999999998" u="1"/>
        <n v="1106.8" u="1"/>
        <n v="3332.93" u="1"/>
        <n v="2298.7199999999998" u="1"/>
        <n v="436.49" u="1"/>
        <n v="795" u="1"/>
        <n v="1439.53" u="1"/>
        <n v="855.40499999999997" u="1"/>
        <n v="417.42399999999998" u="1"/>
        <n v="421.00799999999998" u="1"/>
        <n v="2186.54" u="1"/>
        <n v="8195.1299999999992" u="1"/>
        <n v="380.56" u="1"/>
        <n v="2356.31" u="1"/>
        <n v="652.95000000000005" u="1"/>
        <n v="624.37" u="1"/>
        <n v="970.2" u="1"/>
        <n v="9850.44" u="1"/>
        <n v="400.1" u="1"/>
        <n v="1982.75" u="1"/>
        <n v="944.48" u="1"/>
        <n v="1013.2" u="1"/>
        <n v="3567.31" u="1"/>
        <n v="341.24250000000001" u="1"/>
        <n v="100.42" u="1"/>
        <n v="587.94989999999996" u="1"/>
        <n v="521.57280000000003" u="1"/>
        <n v="616.69439999999997" u="1"/>
        <n v="1428.46" u="1"/>
        <n v="574.55999999999995" u="1"/>
        <n v="1956.65" u="1"/>
        <n v="3901.77" u="1"/>
        <n v="20312.71" u="1"/>
        <n v="2495.61" u="1"/>
        <n v="2262.6999999999998" u="1"/>
        <n v="316.89999999999998" u="1"/>
        <n v="1756.9" u="1"/>
        <n v="468.72" u="1"/>
        <n v="573.6" u="1"/>
        <n v="348.15" u="1"/>
        <n v="390.95" u="1"/>
        <n v="1214.9000000000001" u="1"/>
        <n v="7875.32" u="1"/>
        <n v="7387.49" u="1"/>
        <n v="848.82" u="1"/>
        <n v="489.92" u="1"/>
        <n v="14864.08" u="1"/>
        <n v="388.88" u="1"/>
        <n v="2571.9699999999998" u="1"/>
        <n v="3801.68" u="1"/>
        <n v="3530.3850000000002" u="1"/>
        <n v="1914.3" u="1"/>
        <n v="2250" u="1"/>
        <n v="1800.0640000000001" u="1"/>
        <n v="1039.6400000000001" u="1"/>
        <n v="674.8" u="1"/>
        <n v="13279.27" u="1"/>
        <n v="963" u="1"/>
        <n v="29417.85" u="1"/>
        <n v="9033.36" u="1"/>
        <n v="366.48" u="1"/>
        <n v="990.32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000000000004" u="1"/>
        <n v="395.31" u="1"/>
        <n v="2054.7800000000002" u="1"/>
        <n v="2700.8" u="1"/>
        <n v="2301.4699999999998" u="1"/>
        <n v="98.43" u="1"/>
        <n v="130.29" u="1"/>
        <n v="404.18" u="1"/>
        <n v="3787.91" u="1"/>
        <n v="4832.6954999999998" u="1"/>
        <n v="1381.67" u="1"/>
        <n v="1654" u="1"/>
        <n v="1697.34" u="1"/>
        <n v="4582.26" u="1"/>
        <n v="7003.32" u="1"/>
        <n v="1061.0237999999999" u="1"/>
        <n v="7310.76" u="1"/>
        <n v="892" u="1"/>
        <n v="1177.6128000000001" u="1"/>
        <n v="1374.48" u="1"/>
        <n v="937" u="1"/>
        <n v="1256.8499999999999" u="1"/>
        <n v="402.9" u="1"/>
        <n v="2813.74" u="1"/>
        <n v="2734.3463000000002" u="1"/>
        <n v="4628.6000000000004" u="1"/>
        <n v="568.52" u="1"/>
        <n v="2656.35" u="1"/>
        <n v="1138.04" u="1"/>
        <n v="728.65" u="1"/>
        <n v="2047.4" u="1"/>
        <n v="6656" u="1"/>
        <n v="5712.5249999999996" u="1"/>
        <n v="3607.4560000000001" u="1"/>
        <n v="3967.95" u="1"/>
        <n v="3159.45" u="1"/>
        <n v="1937.7824000000001" u="1"/>
        <n v="1388.9829" u="1"/>
        <n v="316.73" u="1"/>
        <n v="408.91199999999998" u="1"/>
        <n v="1062.6559999999999" u="1"/>
        <n v="596.48009999999999" u="1"/>
        <n v="414.84800000000001" u="1"/>
        <n v="351.56799999999998" u="1"/>
        <n v="499.98" u="1"/>
        <n v="311.12" u="1"/>
        <n v="850.77" u="1"/>
        <n v="141.58000000000001" u="1"/>
        <n v="21335.88" u="1"/>
        <n v="2135.88" u="1"/>
        <n v="125.69" u="1"/>
        <n v="684.43200000000002" u="1"/>
        <n v="992.32" u="1"/>
        <n v="194.6112" u="1"/>
        <n v="1966.41" u="1"/>
        <n v="250.92" u="1"/>
        <n v="1437" u="1"/>
        <n v="3204.4" u="1"/>
        <n v="157.304" u="1"/>
        <n v="214.8" u="1"/>
        <n v="465.95249999999999" u="1"/>
        <n v="405.2466" u="1"/>
        <n v="439.7799" u="1"/>
        <n v="611.96799999999996" u="1"/>
        <n v="1383.7760000000001" u="1"/>
        <n v="167.34" u="1"/>
        <n v="569.29" u="1"/>
        <n v="2162.19" u="1"/>
        <n v="611.16750000000002" u="1"/>
        <n v="410.07" u="1"/>
        <n v="282.35199999999998" u="1"/>
        <n v="337.76" u="1"/>
        <n v="183.45" u="1"/>
        <n v="807.9" u="1"/>
        <n v="1125.8" u="1"/>
        <n v="886.24" u="1"/>
        <n v="4901.08" u="1"/>
        <n v="578.98" u="1"/>
        <n v="1199" u="1"/>
        <n v="617.04999999999995" u="1"/>
        <n v="2387.4699999999998" u="1"/>
        <n v="1752.7" u="1"/>
        <n v="539.85" u="1"/>
        <n v="1516.01" u="1"/>
        <n v="3689.69" u="1"/>
        <n v="1122.0999999999999" u="1"/>
        <n v="501.98" u="1"/>
        <n v="887.27" u="1"/>
        <n v="1818.68" u="1"/>
        <n v="1856" u="1"/>
        <n v="1176.9100000000001" u="1"/>
        <n v="1155.93" u="1"/>
        <n v="860.78" u="1"/>
        <n v="2352.7199999999998" u="1"/>
        <n v="250.97" u="1"/>
        <n v="1073.25" u="1"/>
        <n v="1015.12" u="1"/>
        <n v="684.16660000000002" u="1"/>
        <n v="4299.1400000000003" u="1"/>
        <n v="193.78" u="1"/>
        <n v="2665.35" u="1"/>
        <n v="3171.92" u="1"/>
        <n v="629.13" u="1"/>
        <n v="472" u="1"/>
        <n v="1746.34" u="1"/>
        <n v="606.15" u="1"/>
        <n v="1179.9000000000001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00000000001" u="1"/>
        <n v="2862.0540000000001" u="1"/>
        <n v="515.77" u="1"/>
        <n v="937.18" u="1"/>
        <n v="573.78" u="1"/>
        <n v="1017" u="1"/>
        <n v="213.34" u="1"/>
        <n v="3628" u="1"/>
        <n v="1033.1099999999999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69999999997" u="1"/>
        <n v="202.81" u="1"/>
        <n v="10097.84" u="1"/>
        <n v="11145.081200000001" u="1"/>
        <n v="1141.6400000000001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5" u="1"/>
        <n v="167.25" u="1"/>
        <n v="1749.67" u="1"/>
        <n v="1053.5999999999999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7999999998" u="1"/>
        <n v="616.01880000000006" u="1"/>
        <n v="5148" u="1"/>
        <n v="226.01" u="1"/>
        <n v="2857.89" u="1"/>
        <n v="1339.44" u="1"/>
        <n v="1770" u="1"/>
        <n v="9608" u="1"/>
        <n v="4714.8999999999996" u="1"/>
        <n v="4077.7175999999999" u="1"/>
        <n v="592.20000000000005" u="1"/>
        <n v="2748.36" u="1"/>
        <n v="720.52" u="1"/>
        <n v="1902" u="1"/>
        <n v="1855.28" u="1"/>
        <n v="4573.41" u="1"/>
        <n v="6206.3680000000004" u="1"/>
        <n v="10525.156199999999" u="1"/>
        <n v="3483.09" u="1"/>
        <n v="488.55" u="1"/>
        <n v="404.25" u="1"/>
        <n v="1063" u="1"/>
        <n v="401.3" u="1"/>
        <n v="1254" u="1"/>
        <n v="574.91" u="1"/>
        <n v="3104.64" u="1"/>
        <n v="725.45740000000001" u="1"/>
        <n v="849.83" u="1"/>
        <n v="453.24" u="1"/>
        <n v="120.87" u="1"/>
        <n v="4027.05" u="1"/>
        <n v="513.69000000000005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599999999996" u="1"/>
        <n v="304.42" u="1"/>
        <n v="293.8" u="1"/>
        <n v="542.58000000000004" u="1"/>
        <n v="283.60000000000002" u="1"/>
        <n v="378.02" u="1"/>
        <n v="575.17999999999995" u="1"/>
        <n v="643.44000000000005" u="1"/>
        <n v="482.58" u="1"/>
        <n v="755.28" u="1"/>
        <n v="262.14" u="1"/>
        <n v="126.24" u="1"/>
        <n v="3000" u="1"/>
        <n v="107.97" u="1"/>
        <n v="135.69999999999999" u="1"/>
        <n v="404.91739999999999" u="1"/>
        <n v="109.16" u="1"/>
        <n v="157.06" u="1"/>
        <n v="743.32" u="1"/>
        <n v="274.35000000000002" u="1"/>
        <n v="3292.8" u="1"/>
        <n v="770.5" u="1"/>
        <n v="925.68" u="1"/>
        <n v="2769.84" u="1"/>
        <n v="2853.73" u="1"/>
        <n v="232.48" u="1"/>
        <n v="3625.6696999999999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00000000003" u="1"/>
        <n v="964.54399999999998" u="1"/>
        <n v="630.55999999999995" u="1"/>
        <n v="318.5" u="1"/>
        <n v="-113.4" u="1"/>
        <n v="-283.5" u="1"/>
        <n v="-6945.82" u="1"/>
        <n v="-56.7" u="1"/>
        <n v="9.4499999999999993" u="1"/>
        <n v="-396.9" u="1"/>
        <n v="-18.899999999999999" u="1"/>
        <n v="-3591" u="1"/>
        <n v="-226.8" u="1"/>
        <n v="-529.20000000000005" u="1"/>
        <n v="359.16" u="1"/>
        <n v="3719.1" u="1"/>
        <n v="-2721.6" u="1"/>
        <n v="-189" u="1"/>
        <n v="-141.76" u="1"/>
        <n v="-1058.4000000000001" u="1"/>
        <n v="18.899999999999999" u="1"/>
        <n v="-170.1" u="1"/>
        <n v="-1701" u="1"/>
        <n v="-850.5" u="1"/>
        <n v="-198.46" u="1"/>
        <n v="-680.4" u="1"/>
        <n v="1311.03" u="1"/>
        <n v="1340.16" u="1"/>
        <n v="21025.919999999998" u="1"/>
        <n v="12043.647000000001" u="1"/>
        <n v="43133.317600000002" u="1"/>
        <n v="5850.99" u="1"/>
        <n v="6861.57" u="1"/>
        <n v="2548.73" u="1"/>
        <n v="2536.1999999999998" u="1"/>
        <n v="1800.63" u="1"/>
        <n v="2995.2" u="1"/>
        <n v="1094.8399999999999" u="1"/>
        <n v="559.80999999999995" u="1"/>
        <n v="970.38" u="1"/>
        <n v="143.24" u="1"/>
        <n v="5345.39" u="1"/>
        <n v="621.33119999999997" u="1"/>
        <n v="627.71" u="1"/>
        <n v="566.62" u="1"/>
        <n v="29158.560000000001" u="1"/>
        <n v="4854.1899999999996" u="1"/>
        <n v="2279.7199999999998" u="1"/>
        <n v="1760" u="1"/>
        <n v="26643.7" u="1"/>
        <n v="49008.18" u="1"/>
        <n v="4796.3999999999996" u="1"/>
        <n v="12024" u="1"/>
        <n v="643.95000000000005" u="1"/>
        <n v="1192.24" u="1"/>
        <n v="1462.6489999999999" u="1"/>
        <n v="4169.29" u="1"/>
        <n v="3614.0832" u="1"/>
        <n v="1280.25" u="1"/>
        <n v="822.9" u="1"/>
        <n v="2553.0700000000002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0000000003" u="1"/>
        <n v="848.33439999999996" u="1"/>
        <n v="589.76289999999995" u="1"/>
        <n v="1269.8699999999999" u="1"/>
        <n v="751.8" u="1"/>
        <n v="2488.5300000000002" u="1"/>
        <n v="827.4" u="1"/>
        <n v="919.6" u="1"/>
        <n v="336.6" u="1"/>
        <n v="6459.1949999999997" u="1"/>
        <n v="845.48" u="1"/>
        <n v="3934.3110000000001" u="1"/>
        <n v="3316.1777999999999" u="1"/>
        <n v="512.81100000000004" u="1"/>
        <n v="296.36" u="1"/>
        <n v="1908.8534999999999" u="1"/>
        <n v="2714.1044000000002" u="1"/>
        <n v="321.45" u="1"/>
        <n v="405.39" u="1"/>
        <n v="9554.67" u="1"/>
        <n v="443.42" u="1"/>
        <n v="826" u="1"/>
        <n v="30022.080000000002" u="1"/>
        <n v="33813.24" u="1"/>
        <n v="3686.54" u="1"/>
        <n v="29714.58" u="1"/>
        <n v="4864.2" u="1"/>
        <n v="28497.3" u="1"/>
        <n v="4854.53" u="1"/>
        <n v="904.04160000000002" u="1"/>
        <n v="182.81" u="1"/>
        <n v="581.95000000000005" u="1"/>
        <n v="1007.3" u="1"/>
        <n v="1564.82" u="1"/>
        <n v="1922.18" u="1"/>
        <n v="443.61" u="1"/>
        <n v="1428.3" u="1"/>
        <n v="51553.89" u="1"/>
        <n v="12807.44" u="1"/>
        <n v="31401.999199999998" u="1"/>
        <n v="694.43" u="1"/>
        <n v="809.56" u="1"/>
        <n v="1109.28" u="1"/>
        <n v="4324.8999999999996" u="1"/>
        <n v="432.13" u="1"/>
        <n v="1912.145" u="1"/>
        <n v="2564.41" u="1"/>
        <n v="2812.76" u="1"/>
        <n v="2362.2600000000002" u="1"/>
        <n v="5386.9" u="1"/>
        <n v="438.88" u="1"/>
        <n v="799.30970000000002" u="1"/>
        <n v="437.64620000000002" u="1"/>
        <n v="907.62850000000003" u="1"/>
        <n v="16888.14" u="1"/>
        <n v="1897.9021" u="1"/>
        <n v="2007.5046" u="1"/>
        <n v="28994.01" u="1"/>
        <n v="2985.49" u="1"/>
        <n v="1981.2" u="1"/>
        <n v="1857.5154" u="1"/>
      </sharedItems>
    </cacheField>
    <cacheField name="Taxa" numFmtId="0">
      <sharedItems containsString="0" containsBlank="1" containsNumber="1" minValue="0" maxValue="1726.4"/>
    </cacheField>
    <cacheField name="Outras Taxas" numFmtId="0">
      <sharedItems containsString="0" containsBlank="1" containsNumber="1" minValue="0" maxValue="2003.58"/>
    </cacheField>
    <cacheField name="Taxa DU" numFmtId="0">
      <sharedItems containsString="0" containsBlank="1" containsNumber="1" minValue="0" maxValue="208.31"/>
    </cacheField>
    <cacheField name="Taxa BR" numFmtId="0">
      <sharedItems containsString="0" containsBlank="1" containsNumber="1" minValue="0" maxValue="64.650000000000006"/>
    </cacheField>
    <cacheField name="Taxa Extra" numFmtId="0">
      <sharedItems containsString="0" containsBlank="1" containsNumber="1" minValue="0" maxValue="902.5"/>
    </cacheField>
    <cacheField name="Fee" numFmtId="0">
      <sharedItems containsString="0" containsBlank="1" containsNumber="1" minValue="0" maxValue="2568.04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1-17T11:03:00" endDate="2025-08-08T00:59:00"/>
        <groupItems count="14">
          <s v="&lt;17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08/2025"/>
        </groupItems>
      </fieldGroup>
    </cacheField>
    <cacheField name="Trimestres (Data Emissão)" numFmtId="0" databaseField="0">
      <fieldGroup base="12">
        <rangePr groupBy="quarters" startDate="2025-01-17T11:03:00" endDate="2025-08-08T00:59:00"/>
        <groupItems count="6">
          <s v="&lt;17/01/2025"/>
          <s v="Trim1"/>
          <s v="Trim2"/>
          <s v="Trim3"/>
          <s v="Trim4"/>
          <s v="&gt;08/08/2025"/>
        </groupItems>
      </fieldGroup>
    </cacheField>
    <cacheField name="Anos (Data Emissão)" numFmtId="0" databaseField="0">
      <fieldGroup base="12">
        <rangePr groupBy="years" startDate="2025-01-17T11:03:00" endDate="2025-08-08T00:59:00"/>
        <groupItems count="3">
          <s v="&lt;17/01/2025"/>
          <s v="2025"/>
          <s v="&gt;08/08/2025"/>
        </groupItems>
      </fieldGroup>
    </cacheField>
    <cacheField name="Meses (Data Inclusão)" numFmtId="0" databaseField="0">
      <fieldGroup base="3">
        <rangePr groupBy="months" startDate="2025-01-17T17:44:41" endDate="2025-08-08T06:03:06"/>
        <groupItems count="14">
          <s v="&lt;17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08/2025"/>
        </groupItems>
      </fieldGroup>
    </cacheField>
    <cacheField name="Trimestres (Data Inclusão)" numFmtId="0" databaseField="0">
      <fieldGroup base="3">
        <rangePr groupBy="quarters" startDate="2025-01-17T17:44:41" endDate="2025-08-08T06:03:06"/>
        <groupItems count="6">
          <s v="&lt;17/01/2025"/>
          <s v="Trim1"/>
          <s v="Trim2"/>
          <s v="Trim3"/>
          <s v="Trim4"/>
          <s v="&gt;08/08/2025"/>
        </groupItems>
      </fieldGroup>
    </cacheField>
    <cacheField name="Anos (Data Inclusão)" numFmtId="0" databaseField="0">
      <fieldGroup base="3">
        <rangePr groupBy="years" startDate="2025-01-17T17:44:41" endDate="2025-08-08T06:03:06"/>
        <groupItems count="3">
          <s v="&lt;17/01/2025"/>
          <s v="2025"/>
          <s v="&gt;08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77.321347106481" createdVersion="8" refreshedVersion="8" minRefreshableVersion="3" recordCount="480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1472471" maxValue="22705931"/>
    </cacheField>
    <cacheField name="Handle ACC" numFmtId="0">
      <sharedItems containsString="0" containsBlank="1" containsNumber="1" containsInteger="1" minValue="22436535" maxValue="23507560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09-09-09T09:35:58" maxDate="2025-08-08T06:03:06" count="8000">
        <d v="2025-08-05T17:07:02"/>
        <d v="2025-08-06T08:52:21"/>
        <d v="2025-08-05T00:04:41"/>
        <d v="2025-08-07T12:46:37"/>
        <d v="2025-08-07T12:46:42"/>
        <d v="2025-08-06T09:08:33"/>
        <d v="2025-07-30T09:48:45"/>
        <d v="2025-08-04T15:48:58"/>
        <d v="2025-08-07T15:38:12"/>
        <d v="2025-08-07T15:06:13"/>
        <d v="2025-08-08T01:01:17"/>
        <d v="2025-06-26T20:26:48"/>
        <d v="2025-08-05T22:38:34"/>
        <d v="2025-08-05T10:01:59"/>
        <d v="2025-08-01T19:46:17"/>
        <d v="2025-08-06T10:16:40"/>
        <d v="2025-08-07T09:01:50"/>
        <d v="2025-08-06T13:19:07"/>
        <d v="2025-08-07T14:52:26"/>
        <d v="2025-08-07T14:57:55"/>
        <d v="2025-08-07T20:27:52"/>
        <d v="2025-08-07T20:30:22"/>
        <d v="2025-08-07T20:31:51"/>
        <d v="2025-08-07T20:59:53"/>
        <d v="2025-08-07T18:26:00"/>
        <d v="2025-08-07T18:28:00"/>
        <d v="2025-08-07T18:35:59"/>
        <d v="2025-08-05T15:42:10"/>
        <d v="2025-08-06T12:52:24"/>
        <d v="2025-08-06T10:53:29"/>
        <d v="2025-08-07T12:41:55"/>
        <d v="2025-08-07T12:24:00"/>
        <d v="2025-08-07T12:34:24"/>
        <d v="2025-08-07T12:40:06"/>
        <d v="2025-08-06T20:59:52"/>
        <d v="2025-08-06T20:59:53"/>
        <d v="2025-08-07T10:32:04"/>
        <d v="2025-08-07T11:42:06"/>
        <d v="2025-08-07T11:52:07"/>
        <d v="2025-08-06T17:42:06"/>
        <d v="2025-08-06T17:58:15"/>
        <d v="2025-08-06T15:31:56"/>
        <d v="2025-08-06T13:47:55"/>
        <d v="2025-07-30T12:43:00"/>
        <d v="2025-08-07T15:53:21"/>
        <d v="2025-08-07T17:52:02"/>
        <d v="2025-08-07T18:02:09"/>
        <d v="2025-08-07T17:10:10"/>
        <d v="2025-08-07T16:58:11"/>
        <d v="2025-08-07T16:06:12"/>
        <d v="2025-08-07T16:16:27"/>
        <d v="2025-08-07T16:22:32"/>
        <d v="2025-08-07T16:22:36"/>
        <d v="2025-08-07T16:26:02"/>
        <d v="2025-08-07T15:18:15"/>
        <d v="2025-08-07T14:37:52"/>
        <d v="2025-08-07T17:23:14"/>
        <d v="2025-07-31T18:50:17"/>
        <d v="2025-08-07T18:21:39"/>
        <d v="2025-08-07T18:26:36"/>
        <d v="2025-08-05T13:06:07"/>
        <d v="2025-08-01T19:21:00"/>
        <d v="2025-08-01T17:08:00"/>
        <d v="2025-08-01T10:06:28"/>
        <d v="2025-08-07T15:06:30"/>
        <d v="2025-08-01T09:07:30"/>
        <d v="2025-05-05T11:58:46"/>
        <d v="2025-07-29T11:57:27"/>
        <d v="2025-08-07T18:44:46"/>
        <d v="2025-08-07T13:04:00"/>
        <d v="2025-08-04T12:00:39"/>
        <d v="2025-08-04T12:00:42"/>
        <d v="2025-07-30T18:00:39"/>
        <d v="2025-08-07T11:03:24"/>
        <d v="2025-08-07T11:03:26"/>
        <d v="2025-08-07T20:02:45"/>
        <d v="2025-08-07T20:02:46"/>
        <d v="2025-08-07T12:04:23"/>
        <d v="2025-08-07T12:04:27"/>
        <d v="2025-08-07T11:02:17"/>
        <d v="2025-08-08T01:04:51"/>
        <d v="2025-08-06T18:50:08"/>
        <d v="2025-08-06T18:55:30"/>
        <d v="2025-08-07T19:13:01"/>
        <d v="2025-08-07T19:13:08"/>
        <d v="2025-07-30T12:58:31"/>
        <d v="2025-08-05T12:28:10"/>
        <d v="2025-08-07T00:16:47"/>
        <d v="2025-08-04T17:02:56"/>
        <d v="2025-08-04T17:04:45"/>
        <d v="2025-08-07T12:43:06"/>
        <d v="2025-08-06T18:49:45"/>
        <d v="2025-08-07T19:13:34"/>
        <d v="2025-08-07T19:13:42"/>
        <d v="2025-08-07T19:07:53"/>
        <d v="2025-08-07T19:08:53"/>
        <d v="2025-08-01T18:48:28"/>
        <d v="2025-07-23T18:41:25"/>
        <d v="2025-08-06T00:16:49"/>
        <d v="2025-08-06T00:17:46"/>
        <d v="2025-08-06T00:20:49"/>
        <d v="2025-08-06T00:20:27"/>
        <d v="2025-08-06T18:56:26"/>
        <d v="2025-08-04T18:43:15"/>
        <d v="2025-08-07T18:42:11"/>
        <d v="2025-08-04T18:22:06"/>
        <d v="2025-08-07T18:40:26"/>
        <d v="2025-08-07T18:41:44"/>
        <d v="2025-08-05T18:24:07"/>
        <d v="2025-08-04T18:18:06"/>
        <d v="2025-07-28T18:23:36"/>
        <d v="2025-07-24T18:18:12"/>
        <d v="2025-07-24T18:18:28"/>
        <d v="2025-08-07T18:38:05"/>
        <d v="2025-07-31T12:21:52"/>
        <d v="2025-08-06T16:27:13"/>
        <d v="2025-08-06T16:27:27"/>
        <d v="2025-08-06T12:47:08"/>
        <d v="2025-08-07T19:21:24"/>
        <d v="2025-08-05T16:11:09"/>
        <d v="2025-08-07T16:47:09"/>
        <d v="2025-08-07T19:21:41"/>
        <d v="2025-08-01T12:40:14"/>
        <d v="2025-08-06T13:36:09"/>
        <d v="2025-08-06T17:06:13"/>
        <d v="2025-08-04T19:44:56"/>
        <d v="2025-08-07T18:21:01"/>
        <d v="2025-08-07T10:35:31"/>
        <d v="2025-08-06T16:06:00"/>
        <d v="2025-08-04T18:07:43"/>
        <d v="2025-08-07T15:06:47"/>
        <d v="2025-08-07T14:47:50"/>
        <d v="2025-08-06T13:30:24"/>
        <d v="2025-08-07T18:20:06"/>
        <d v="2025-08-06T16:45:04"/>
        <d v="2025-08-05T23:04:56"/>
        <d v="2025-08-07T17:49:51"/>
        <d v="2025-08-06T18:14:24"/>
        <d v="2025-08-06T18:24:16"/>
        <d v="2025-07-15T13:04:37"/>
        <d v="2025-08-04T16:06:35"/>
        <d v="2025-07-15T19:34:35"/>
        <d v="2025-08-05T09:54:26"/>
        <d v="2025-08-06T09:35:57"/>
        <d v="2025-07-16T18:44:21"/>
        <d v="2025-08-07T15:55:55"/>
        <d v="2025-08-07T19:14:47"/>
        <d v="2025-08-07T19:14:48"/>
        <d v="2025-08-05T18:17:10"/>
        <d v="2025-08-05T18:17:15"/>
        <d v="2025-08-05T18:17:29"/>
        <d v="2025-08-05T18:17:34"/>
        <d v="2025-08-04T12:43:18"/>
        <d v="2025-08-07T12:54:22"/>
        <d v="2025-08-06T19:05:08"/>
        <d v="2025-08-04T19:02:35"/>
        <d v="2025-08-07T12:54:43"/>
        <d v="2025-08-07T12:54:47"/>
        <d v="2025-08-06T19:07:58"/>
        <d v="2025-07-16T18:54:16"/>
        <d v="2025-07-18T11:16:33"/>
        <d v="2025-08-07T15:10:56"/>
        <d v="2025-08-07T15:29:12"/>
        <d v="2025-08-01T10:55:36"/>
        <d v="2025-08-04T18:54:38"/>
        <d v="2025-08-04T18:14:40"/>
        <d v="2025-08-05T08:04:49"/>
        <d v="2025-08-05T17:37:05"/>
        <d v="2025-08-07T12:44:39"/>
        <d v="2025-01-17T17:44:41"/>
        <d v="2025-08-07T16:47:10"/>
        <d v="2025-08-07T17:32:15"/>
        <d v="2025-08-07T17:32:21"/>
        <d v="2025-08-07T11:32:10"/>
        <d v="2025-08-07T17:32:08"/>
        <d v="2025-08-07T15:33:12"/>
        <d v="2025-08-07T15:33:18"/>
        <d v="2025-08-07T12:03:39"/>
        <d v="2025-08-07T14:32:07"/>
        <d v="2025-08-07T12:30:55"/>
        <d v="2025-08-06T18:26:39"/>
        <d v="2025-08-04T18:19:55"/>
        <d v="2025-08-07T18:39:40"/>
        <d v="2025-08-07T18:40:08"/>
        <d v="2025-08-07T18:40:16"/>
        <d v="2025-07-30T10:01:00"/>
        <d v="2025-07-31T10:00:41"/>
        <d v="2025-07-31T10:00:42"/>
        <d v="2025-07-31T10:00:45"/>
        <d v="2025-07-31T10:00:46"/>
        <d v="2025-07-31T10:00:47"/>
        <d v="2025-07-31T10:00:50"/>
        <d v="2025-07-29T09:01:00"/>
        <d v="2025-07-29T09:01:02"/>
        <d v="2025-07-29T09:01:04"/>
        <d v="2025-07-16T18:04:07"/>
        <d v="2025-07-24T15:00:38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01T17:02:22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8-04T09:01:44"/>
        <d v="2025-08-04T09:02:14"/>
        <d v="2025-08-04T12:01:06"/>
        <d v="2025-08-07T12:01:01"/>
        <d v="2025-08-05T17:00:33"/>
        <d v="2025-08-07T14:02:47"/>
        <d v="2025-08-07T14:03:52"/>
        <d v="2025-08-06T19:02:57"/>
        <d v="2025-08-07T11:04:59"/>
        <d v="2025-08-06T09:02:36"/>
        <d v="2025-08-06T12:06:03"/>
        <d v="2025-08-06T12:06:09"/>
        <d v="2025-08-04T16:02:23"/>
        <d v="2025-08-04T19:02:58"/>
        <d v="2025-07-31T16:06:17"/>
        <d v="2025-07-31T16:06:18"/>
        <d v="2025-08-04T15:02:30"/>
        <d v="2025-08-04T09:01:34"/>
        <d v="2025-07-08T11:01:08"/>
        <d v="2025-07-08T16:02:56"/>
        <d v="2025-07-30T09:03:42"/>
        <d v="2025-08-07T17:04:08"/>
        <d v="2025-08-07T17:04:11"/>
        <d v="2025-08-07T17:04:30"/>
        <d v="2025-08-07T19:03:26"/>
        <d v="2025-08-05T14:17:44"/>
        <d v="2025-08-05T14:17:45"/>
        <d v="2025-08-06T18:24:15"/>
        <d v="2025-08-07T18:55:41"/>
        <d v="2025-08-07T19:06:24"/>
        <d v="2025-08-07T19:06:27"/>
        <d v="2025-08-07T20:24:28"/>
        <d v="2025-07-24T18:35:00"/>
        <d v="2025-07-25T12:21:23"/>
        <d v="2025-07-15T18:43:42"/>
        <d v="2025-08-08T00:10:43"/>
        <d v="2025-08-04T12:26:02"/>
        <d v="2025-08-01T17:45:49"/>
        <d v="2025-08-04T16:15:52"/>
        <d v="2025-08-06T14:16:25"/>
        <d v="2025-08-06T14:16:30"/>
        <d v="2025-08-06T14:31:15"/>
        <d v="2025-08-06T15:32:23"/>
        <d v="2025-08-04T18:45:50"/>
        <d v="2025-08-05T09:31:41"/>
        <d v="2025-08-07T19:00:48"/>
        <d v="2025-08-07T18:17:29"/>
        <d v="2025-08-06T12:01:20"/>
        <d v="2025-08-05T16:02:13"/>
        <d v="2025-08-06T15:31:52"/>
        <d v="2025-08-06T15:31:58"/>
        <d v="2025-08-06T15:32:04"/>
        <d v="2025-08-06T14:31:41"/>
        <d v="2025-08-07T18:15:50"/>
        <d v="2025-07-23T11:02:26"/>
        <d v="2025-08-05T17:46:30"/>
        <d v="2025-08-06T19:17:59"/>
        <d v="2025-08-07T09:46:24"/>
        <d v="2025-08-07T18:16:44"/>
        <d v="2025-08-07T18:17:24"/>
        <d v="2025-08-05T13:46:34"/>
        <d v="2025-08-07T18:22:43"/>
        <d v="2025-08-07T19:00:54"/>
        <d v="2025-08-07T19:01:03"/>
        <d v="2025-08-07T18:17:38"/>
        <d v="2025-08-01T15:18:06"/>
        <d v="2025-08-07T16:17:01"/>
        <d v="2025-08-04T11:41:37"/>
        <d v="2025-08-04T11:41:40"/>
        <d v="2025-07-28T16:31:41"/>
        <d v="2025-08-01T10:05:44"/>
        <d v="2025-08-01T17:35:33"/>
        <d v="2025-08-07T13:05:47"/>
        <d v="2025-08-07T18:50:06"/>
        <d v="2025-08-06T17:06:54"/>
        <d v="2025-07-29T16:07:10"/>
        <d v="2025-07-29T16:16:28"/>
        <d v="2025-08-05T12:06:41"/>
        <d v="2025-08-06T14:35:58"/>
        <d v="2025-08-05T18:04:11"/>
        <d v="2025-08-06T18:11:10"/>
        <d v="2025-08-07T18:11:47"/>
        <d v="2025-08-08T06:02:00"/>
        <d v="2025-08-08T06:02:51"/>
        <d v="2025-08-08T06:03:06"/>
        <d v="2025-08-04T12:02:38"/>
        <d v="2025-08-04T18:04:40"/>
        <d v="2025-08-07T18:07:49"/>
        <d v="2025-08-07T18:12:51"/>
        <d v="2025-08-05T00:02:49"/>
        <d v="2025-08-04T12:28:44"/>
        <d v="2025-08-05T18:41:15"/>
        <d v="2025-08-07T19:03:44"/>
        <d v="2025-08-07T19:06:07"/>
        <d v="2025-08-04T15:37:09"/>
        <d v="2025-08-05T00:15:53"/>
        <d v="2025-08-06T00:11:09"/>
        <d v="2025-08-06T18:30:16"/>
        <d v="2025-08-04T18:28:03"/>
        <d v="2025-08-07T18:47:47"/>
        <d v="2025-08-07T18:48:06"/>
        <d v="2025-08-07T18:48:13"/>
        <d v="2025-08-07T18:48:17"/>
        <d v="2025-07-10T12:14:46"/>
        <d v="2025-07-18T14:10:51"/>
        <d v="2025-08-06T12:27:26"/>
        <d v="2025-07-29T18:26:16"/>
        <d v="2025-07-25T18:28:35"/>
        <d v="2025-07-30T12:44:22"/>
        <d v="2025-08-06T18:59:50"/>
        <d v="2025-08-08T00:15:45"/>
        <d v="2025-08-08T00:16:08"/>
        <d v="2025-08-07T19:18:54"/>
        <d v="2025-08-06T12:45:17"/>
        <d v="2025-08-05T18:56:07"/>
        <d v="2025-08-01T16:56:00"/>
        <d v="2025-07-25T15:55:33"/>
        <d v="2025-08-07T18:06:26"/>
        <d v="2025-08-05T08:04:51"/>
        <d v="2025-08-07T08:34:42"/>
        <d v="2025-08-07T08:34:43"/>
        <d v="2025-08-04T19:07:35"/>
        <d v="2025-08-05T15:38:59"/>
        <d v="2025-08-05T15:39:00"/>
        <d v="2025-08-05T15:39:01"/>
        <d v="2025-08-05T15:39:03"/>
        <d v="2025-08-05T15:39:05"/>
        <d v="2025-08-05T15:56:16"/>
        <d v="2025-07-30T15:46:24"/>
        <d v="2025-08-07T12:51:23"/>
        <d v="2025-08-07T17:09:00"/>
        <d v="2025-07-30T13:20:32"/>
        <d v="2025-07-29T11:05:14"/>
        <d v="2025-08-07T09:20:28"/>
        <d v="2025-08-06T15:37:53"/>
        <d v="2025-08-07T18:22:29"/>
        <d v="2025-08-07T18:44:19"/>
        <d v="2025-08-06T17:08:02"/>
        <d v="2025-08-07T12:41:08"/>
        <d v="2025-08-06T12:34:39"/>
        <d v="2025-08-04T12:26:38"/>
        <d v="2025-08-04T12:26:53"/>
        <d v="2025-08-04T12:27:26"/>
        <d v="2025-08-07T18:13:28"/>
        <d v="2025-08-07T18:13:55"/>
        <d v="2025-08-07T18:14:09"/>
        <d v="2025-08-07T18:14:39"/>
        <d v="2025-08-07T18:14:42"/>
        <d v="2025-08-07T18:15:04"/>
        <d v="2025-08-07T18:15:16"/>
        <d v="2025-08-07T18:15:19"/>
        <d v="2025-08-07T18:14:29"/>
        <d v="2025-08-07T18:14:32"/>
        <d v="2025-08-07T18:13:47"/>
        <d v="2025-08-06T12:10:35"/>
        <d v="2025-08-06T12:10:39"/>
        <d v="2025-08-06T12:10:40"/>
        <d v="2025-08-05T12:05:14"/>
        <d v="2025-08-05T12:05:37"/>
        <d v="2025-08-07T14:02:20"/>
        <m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4T18:25:42" u="1"/>
        <d v="2025-08-05T18:32:56" u="1"/>
        <d v="2025-08-05T17:47:32" u="1"/>
        <d v="2025-08-05T17:47:36" u="1"/>
        <d v="2025-08-06T00:17:13" u="1"/>
        <d v="2025-08-06T00:16:13" u="1"/>
        <d v="2025-07-29T16:48:25" u="1"/>
        <d v="2025-08-05T16:05:31" u="1"/>
        <d v="2025-08-05T08:31:47" u="1"/>
        <d v="2025-08-04T13:31:41" u="1"/>
        <d v="2025-08-01T18:02:11" u="1"/>
        <d v="2025-08-05T18:33:03" u="1"/>
        <d v="2025-08-05T17:32:10" u="1"/>
        <d v="2025-08-05T18:35:03" u="1"/>
        <d v="2025-07-31T08:46:52" u="1"/>
        <d v="2025-08-05T10:46:19" u="1"/>
        <d v="2025-08-05T10:16:48" u="1"/>
        <d v="2025-08-04T20:20:10" u="1"/>
        <d v="2025-08-01T16:33:18" u="1"/>
        <d v="2025-08-04T20:23:55" u="1"/>
        <d v="2025-08-05T18:34:49" u="1"/>
        <d v="2025-08-05T18:34:58" u="1"/>
        <d v="2025-08-04T17:31:16" u="1"/>
        <d v="2025-08-05T18:33:13" u="1"/>
        <d v="2025-08-05T19:12:10" u="1"/>
        <d v="2025-08-05T19:08:30" u="1"/>
        <d v="2025-08-05T08:54:03" u="1"/>
        <d v="2025-08-05T16:34:05" u="1"/>
        <d v="2025-08-05T17:32:08" u="1"/>
        <d v="2025-08-05T20:26:01" u="1"/>
        <d v="2025-08-05T19:11:58" u="1"/>
        <d v="2025-08-05T18:53:58" u="1"/>
        <d v="2025-08-05T18:55:58" u="1"/>
        <d v="2025-08-04T15:22:29" u="1"/>
        <d v="2025-08-05T09:51:35" u="1"/>
        <d v="2025-08-04T09:06:58" u="1"/>
        <d v="2025-08-01T13:21:06" u="1"/>
        <d v="2025-07-29T13:35:30" u="1"/>
        <d v="2025-08-05T18:34:36" u="1"/>
        <d v="2025-08-04T09:32:18" u="1"/>
        <d v="2025-08-04T09:32:23" u="1"/>
        <d v="2025-08-04T09:46:45" u="1"/>
        <d v="2025-08-05T10:45:25" u="1"/>
        <d v="2025-07-25T13:03:10" u="1"/>
        <d v="2025-07-24T14:02:07" u="1"/>
        <d v="2025-07-31T10:02:54" u="1"/>
        <d v="2025-07-31T10:02:55" u="1"/>
        <d v="2025-07-28T10:00:51" u="1"/>
        <d v="2025-08-04T14:02:08" u="1"/>
        <d v="2025-08-04T14:02:20" u="1"/>
        <d v="2025-08-04T14:02:44" u="1"/>
        <d v="2025-08-04T15:00:57" u="1"/>
        <d v="2025-08-04T10:01:06" u="1"/>
        <d v="2025-08-04T12:02:55" u="1"/>
        <d v="2025-08-05T09:01:22" u="1"/>
        <d v="2025-08-01T18:05:00" u="1"/>
        <d v="2025-08-05T00:22:11" u="1"/>
        <d v="2025-07-28T12:33:08" u="1"/>
        <d v="2025-08-05T18:41:27" u="1"/>
        <d v="2025-08-05T00:15:01" u="1"/>
        <d v="2025-08-05T12:13:53" u="1"/>
        <d v="2025-08-05T12:30:36" u="1"/>
        <d v="2025-08-05T16:17:17" u="1"/>
        <d v="2025-08-05T18:35:23" u="1"/>
        <d v="2025-08-05T14:58:15" u="1"/>
        <d v="2025-08-05T19:19:52" u="1"/>
        <d v="2025-08-05T14:35:37" u="1"/>
        <d v="2025-08-05T14:49:50" u="1"/>
        <d v="2025-08-05T16:12:22" u="1"/>
        <d v="2025-08-04T13:36:18" u="1"/>
        <d v="2025-08-05T15:49:58" u="1"/>
        <d v="2025-08-05T15:50:02" u="1"/>
        <d v="2025-08-04T15:51:29" u="1"/>
        <d v="2025-08-05T18:57:45" u="1"/>
        <d v="2025-08-05T15:17:20" u="1"/>
        <d v="2025-08-05T16:47:17" u="1"/>
        <d v="2025-08-05T18:33:30" u="1"/>
        <d v="2025-03-28T08:07:05" u="1"/>
        <d v="2025-08-06T06:10:17" u="1"/>
        <d v="2025-08-04T12:27:55" u="1"/>
        <d v="2025-07-17T18:35:29" u="1"/>
        <d v="2025-07-17T12:17:28" u="1"/>
        <d v="2025-07-25T12:21:04" u="1"/>
        <d v="2025-07-17T18:35:32" u="1"/>
        <d v="2025-08-05T12:20:44" u="1"/>
        <d v="2025-08-06T00:13:12" u="1"/>
        <d v="2025-07-24T18:30:51" u="1"/>
        <d v="2025-07-30T18:36:15" u="1"/>
        <d v="2025-07-25T18:34:36" u="1"/>
        <d v="2025-08-05T18:01:26" u="1"/>
        <d v="2025-08-05T17:46:05" u="1"/>
        <d v="2025-08-04T17:45:29" u="1"/>
        <d v="2025-08-05T12:01:02" u="1"/>
        <d v="2025-07-28T19:06:25" u="1"/>
        <d v="2025-08-06T00:13:57" u="1"/>
        <d v="2025-07-31T14:07:28" u="1"/>
        <d v="2025-08-06T00:15:39" u="1"/>
        <d v="2025-08-04T18:26:42" u="1"/>
        <d v="2025-07-30T13:07:36" u="1"/>
        <d v="2025-07-31T19:01:53" u="1"/>
        <d v="2025-08-06T06:08:44" u="1"/>
        <d v="2025-08-05T10:50:21" u="1"/>
        <d v="2025-08-05T10:50:28" u="1"/>
        <d v="2025-07-24T12:21:15" u="1"/>
        <d v="2025-08-04T15:53:48" u="1"/>
        <d v="2025-08-04T15:53:52" u="1"/>
        <d v="2025-07-30T18:22:05" u="1"/>
        <d v="2025-08-05T17:08:48" u="1"/>
        <d v="2025-08-05T17:08:52" u="1"/>
        <d v="2025-07-29T17:08:06" u="1"/>
        <d v="2025-07-29T17:08:16" u="1"/>
        <d v="2025-08-05T13:33:14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7-30T17:46:31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1-09T14:38:06" u="1"/>
        <d v="2025-02-06T18:45:03" u="1"/>
        <d v="2025-03-17T17:12:17" u="1"/>
        <d v="2025-02-26T09:21:37" u="1"/>
        <d v="2025-03-17T17:17:57" u="1"/>
        <d v="2025-02-07T23:34:20" u="1"/>
        <d v="2025-03-19T23:45:38" u="1"/>
        <d v="2025-03-31T11:32:44" u="1"/>
        <d v="2025-05-02T16:33:38" u="1"/>
        <d v="2025-05-06T10:29:45" u="1"/>
        <d v="2025-05-06T10:29:51" u="1"/>
        <d v="2025-04-17T22:19:04" u="1"/>
        <d v="2025-04-17T22:19:35" u="1"/>
        <d v="2025-05-28T23:51:57" u="1"/>
        <d v="2025-05-09T19:02:13" u="1"/>
        <d v="2025-06-03T15:00:25" u="1"/>
        <d v="2025-06-03T15:00:48" u="1"/>
        <d v="2025-06-03T13:25:04" u="1"/>
        <d v="2025-06-03T13:25:22" u="1"/>
        <d v="2025-06-02T21:13:38" u="1"/>
        <d v="2025-05-09T17:35:51" u="1"/>
        <d v="2025-05-07T09:50:32" u="1"/>
        <d v="2025-05-16T14:34:28" u="1"/>
        <d v="2025-05-15T13:35:50" u="1"/>
        <d v="2025-05-27T17:27:04" u="1"/>
        <d v="2025-05-27T19:44:18" u="1"/>
        <d v="2025-05-07T17:13:12" u="1"/>
        <d v="2025-05-15T13:28:03" u="1"/>
        <d v="2025-05-15T13:29:38" u="1"/>
        <d v="2025-06-11T06:26:18" u="1"/>
        <d v="2025-06-04T14:50:34" u="1"/>
        <d v="2025-06-06T14:59:40" u="1"/>
        <d v="2025-06-03T15:01:39" u="1"/>
        <d v="2025-06-03T15:03:07" u="1"/>
        <d v="2025-06-03T15:03:29" u="1"/>
        <d v="2025-06-03T15:04:04" u="1"/>
        <d v="2025-06-05T15:56:27" u="1"/>
        <d v="2025-06-05T15:57:03" u="1"/>
        <d v="2025-06-03T19:54:11" u="1"/>
        <d v="2025-06-04T09:43:42" u="1"/>
        <d v="2025-06-04T18:35:01" u="1"/>
        <d v="2025-06-06T15:17:33" u="1"/>
        <d v="2025-06-04T17:58:31" u="1"/>
        <d v="2025-06-05T17:18:08" u="1"/>
        <d v="2025-06-05T10:32:08" u="1"/>
        <d v="2025-06-05T12:02:35" u="1"/>
        <d v="2025-06-05T15:56:29" u="1"/>
        <d v="2025-06-11T05:49:51" u="1"/>
        <d v="2025-06-05T21:14:01" u="1"/>
        <d v="2025-06-09T17:05:45" u="1"/>
        <d v="2025-06-06T15:44:46" u="1"/>
        <d v="2025-06-06T15:48:13" u="1"/>
        <d v="2025-06-09T17:46:14" u="1"/>
        <d v="2025-06-04T20:20:23" u="1"/>
        <d v="2025-06-09T18:36:24" u="1"/>
        <d v="2025-06-12T11:19:37" u="1"/>
        <d v="2025-06-12T11:20:10" u="1"/>
        <d v="2025-06-11T19:24:18" u="1"/>
        <d v="2025-06-05T17:26:58" u="1"/>
        <d v="2025-06-23T01:04:58" u="1"/>
        <d v="2025-06-23T07:49:23" u="1"/>
        <d v="2025-06-12T15:50:53" u="1"/>
        <d v="2025-06-17T12:41:33" u="1"/>
        <d v="2025-06-21T02:47:52" u="1"/>
        <d v="2025-06-12T12:29:20" u="1"/>
        <d v="2025-06-12T12:29:42" u="1"/>
        <d v="2025-06-16T16:17:16" u="1"/>
        <d v="2025-06-18T15:56:04" u="1"/>
        <d v="2025-06-16T10:07:13" u="1"/>
        <d v="2025-06-23T12:18:37" u="1"/>
        <d v="2025-06-13T05:37:56" u="1"/>
        <d v="2025-06-21T21:30:31" u="1"/>
        <d v="2025-06-21T21:33:29" u="1"/>
        <d v="2025-06-21T21:42:20" u="1"/>
        <d v="2025-06-23T11:58:24" u="1"/>
        <d v="2025-06-23T12:01:12" u="1"/>
        <d v="2025-06-12T17:34:40" u="1"/>
        <d v="2025-06-12T17:34:55" u="1"/>
        <d v="2025-06-12T17:35:06" u="1"/>
        <d v="2025-06-17T05:56:48" u="1"/>
        <d v="2025-06-18T20:57:49" u="1"/>
        <d v="2025-06-21T04:54:45" u="1"/>
        <d v="2025-06-17T05:15:16" u="1"/>
        <d v="2025-06-17T09:08:00" u="1"/>
        <d v="2025-06-18T14:33:08" u="1"/>
        <d v="2025-06-13T08:32:54" u="1"/>
        <d v="2025-06-23T11:03:49" u="1"/>
        <d v="2025-06-19T01:40:43" u="1"/>
        <d v="2025-06-19T01:42:16" u="1"/>
        <d v="2025-06-19T01:44:03" u="1"/>
        <d v="2025-06-12T15:19:23" u="1"/>
        <d v="2025-06-17T09:09:58" u="1"/>
        <d v="2025-06-17T06:55:37" u="1"/>
        <d v="2025-06-15T02:26:42" u="1"/>
        <d v="2025-06-23T10:12:48" u="1"/>
        <d v="2025-06-21T21:45:19" u="1"/>
        <d v="2025-06-19T04:58:23" u="1"/>
        <d v="2025-06-19T01:16:12" u="1"/>
        <d v="2025-06-21T21:47:01" u="1"/>
        <d v="2025-06-21T21:43:58" u="1"/>
        <d v="2025-06-21T21:32:07" u="1"/>
        <d v="2025-06-23T14:45:32" u="1"/>
        <d v="2025-06-14T07:21:50" u="1"/>
        <d v="2025-06-18T22:04:50" u="1"/>
        <d v="2025-06-18T00:41:34" u="1"/>
        <d v="2025-06-18T00:45:59" u="1"/>
        <d v="2025-06-17T11:10:02" u="1"/>
        <d v="2025-06-19T03:10:02" u="1"/>
        <d v="2025-06-15T01:48:52" u="1"/>
        <d v="2025-06-17T08:57:12" u="1"/>
        <d v="2025-06-23T09:33:36" u="1"/>
        <d v="2025-06-12T14:06:04" u="1"/>
        <d v="2025-06-17T19:44:39" u="1"/>
        <d v="2025-06-12T16:50:25" u="1"/>
        <d v="2025-06-12T16:50:45" u="1"/>
        <d v="2025-06-23T12:07:08" u="1"/>
        <d v="2025-06-23T14:26:49" u="1"/>
        <d v="2025-06-23T12:19:25" u="1"/>
        <d v="2025-06-23T10:56:22" u="1"/>
        <d v="2025-06-23T10:56:10" u="1"/>
        <d v="2025-06-20T14:11:44" u="1"/>
        <d v="2025-06-30T16:31:53" u="1"/>
        <d v="2025-06-26T09:20:19" u="1"/>
        <d v="2025-06-24T00:50:12" u="1"/>
        <d v="2025-06-24T00:51:38" u="1"/>
        <d v="2025-06-28T23:07:01" u="1"/>
        <d v="2025-06-28T08:20:50" u="1"/>
        <d v="2025-06-23T20:05:00" u="1"/>
        <d v="2025-06-28T22:57:00" u="1"/>
        <d v="2025-06-28T22:59:00" u="1"/>
        <d v="2025-06-29T17:56:20" u="1"/>
        <d v="2025-06-29T02:02:38" u="1"/>
        <d v="2025-06-26T05:26:02" u="1"/>
        <d v="2025-06-30T13:20:49" u="1"/>
        <d v="2025-06-24T19:14:57" u="1"/>
        <d v="2025-06-29T06:05:49" u="1"/>
        <d v="2025-06-24T01:17:41" u="1"/>
        <d v="2025-06-28T03:02:07" u="1"/>
        <d v="2025-06-25T19:06:16" u="1"/>
        <d v="2025-06-24T16:45:35" u="1"/>
        <d v="2025-06-30T15:26:54" u="1"/>
        <d v="2025-06-30T14:20:51" u="1"/>
        <d v="2025-06-24T15:06:55" u="1"/>
        <d v="2025-06-24T15:06:56" u="1"/>
        <d v="2025-06-28T13:22:27" u="1"/>
        <d v="2025-06-30T11:08:11" u="1"/>
        <d v="2025-06-25T18:06:37" u="1"/>
        <d v="2025-06-30T11:08:04" u="1"/>
        <d v="2025-06-24T08:46:37" u="1"/>
        <d v="2025-06-24T08:46:47" u="1"/>
        <d v="2025-06-24T08:46:55" u="1"/>
        <d v="2025-06-30T11:49:50" u="1"/>
        <d v="2025-06-30T11:50:04" u="1"/>
        <d v="2025-06-30T16:50:49" u="1"/>
        <d v="2025-06-26T03:57:45" u="1"/>
        <d v="2025-06-28T13:28:38" u="1"/>
        <d v="2025-06-28T13:30:29" u="1"/>
        <d v="2025-06-27T03:11:24" u="1"/>
        <d v="2025-06-23T17:54:27" u="1"/>
        <d v="2025-06-26T07:44:38" u="1"/>
        <d v="2025-06-30T14:26:49" u="1"/>
        <d v="2025-06-24T18:52:05" u="1"/>
        <d v="2025-06-27T18:08:37" u="1"/>
        <d v="2025-06-27T18:08:25" u="1"/>
        <d v="2025-06-27T18:08:31" u="1"/>
        <d v="2025-06-28T06:46:34" u="1"/>
        <d v="2025-06-26T21:04:27" u="1"/>
        <d v="2025-06-26T22:24:39" u="1"/>
        <d v="2025-06-27T16:46:27" u="1"/>
        <d v="2025-06-27T16:46:33" u="1"/>
        <d v="2025-06-26T07:46:29" u="1"/>
        <d v="2025-06-28T17:01:19" u="1"/>
        <d v="2025-06-27T15:16:43" u="1"/>
        <d v="2025-06-30T08:31:34" u="1"/>
        <d v="2025-06-30T16:17:17" u="1"/>
        <d v="2025-06-30T09:04:24" u="1"/>
        <d v="2025-06-27T08:47:35" u="1"/>
        <d v="2025-06-23T15:46:53" u="1"/>
        <d v="2025-06-28T08:02:37" u="1"/>
        <d v="2025-06-25T21:55:03" u="1"/>
        <d v="2025-06-29T15:54:26" u="1"/>
        <d v="2025-06-29T15:20:45" u="1"/>
        <d v="2025-06-26T21:56:03" u="1"/>
        <d v="2025-06-25T22:46:35" u="1"/>
        <d v="2025-06-27T18:08:54" u="1"/>
        <d v="2025-06-23T14:55:53" u="1"/>
        <d v="2025-06-27T17:50:36" u="1"/>
        <d v="2025-06-23T15:06:30" u="1"/>
        <d v="2025-06-26T07:41:10" u="1"/>
        <d v="2025-06-26T07:42:47" u="1"/>
        <d v="2025-06-28T11:59:33" u="1"/>
        <d v="2025-06-27T08:18:11" u="1"/>
        <d v="2025-06-27T13:17:20" u="1"/>
        <d v="2025-06-30T14:49:43" u="1"/>
        <d v="2025-06-27T18:08:50" u="1"/>
        <d v="2025-06-28T14:07:06" u="1"/>
        <d v="2025-06-27T17:39:56" u="1"/>
        <d v="2025-06-26T18:46:36" u="1"/>
        <d v="2025-06-26T22:15:31" u="1"/>
        <d v="2025-06-26T21:04:30" u="1"/>
        <d v="2025-06-26T21:35:09" u="1"/>
        <d v="2025-06-26T22:04:46" u="1"/>
        <d v="2025-06-26T13:17:10" u="1"/>
        <d v="2025-06-26T08:05:41" u="1"/>
        <d v="2025-06-30T15:04:32" u="1"/>
        <d v="2025-06-30T14:57:37" u="1"/>
        <d v="2025-06-30T14:40:28" u="1"/>
        <d v="2025-06-30T14:40:32" u="1"/>
        <d v="2025-06-29T12:48:39" u="1"/>
        <d v="2025-06-25T20:42:08" u="1"/>
        <d v="2025-06-29T23:21:49" u="1"/>
        <d v="2025-06-27T12:51:31" u="1"/>
        <d v="2025-06-28T19:39:25" u="1"/>
        <d v="2025-06-30T14:53:08" u="1"/>
        <d v="2025-06-30T16:51:24" u="1"/>
        <d v="2025-06-25T06:24:57" u="1"/>
        <d v="2025-06-27T17:36:41" u="1"/>
        <d v="2025-06-25T08:56:53" u="1"/>
        <d v="2025-06-28T10:22:48" u="1"/>
        <d v="2025-06-27T09:44:59" u="1"/>
        <d v="2025-06-23T15:06:26" u="1"/>
        <d v="2025-06-27T17:33:44" u="1"/>
        <d v="2025-06-27T17:41:55" u="1"/>
        <d v="2025-06-27T15:16:59" u="1"/>
        <d v="2025-06-27T17:38:50" u="1"/>
        <d v="2025-06-24T11:26:38" u="1"/>
        <d v="2025-06-27T18:46:24" u="1"/>
        <d v="2025-06-27T10:38:32" u="1"/>
        <d v="2025-06-30T12:39:14" u="1"/>
        <d v="2025-06-27T16:43:17" u="1"/>
        <d v="2025-06-30T15:27:23" u="1"/>
        <d v="2025-06-24T17:05:31" u="1"/>
        <d v="2025-06-27T15:28:46" u="1"/>
        <d v="2025-06-27T15:36:15" u="1"/>
        <d v="2025-06-30T20:23:14" u="1"/>
        <d v="2025-06-30T20:23:22" u="1"/>
        <d v="2025-06-30T20:23:28" u="1"/>
        <d v="2025-07-01T18:57:25" u="1"/>
        <d v="2025-07-02T09:47:20" u="1"/>
        <d v="2025-07-03T11:16:31" u="1"/>
        <d v="2025-07-03T11:16:35" u="1"/>
        <d v="2025-07-03T12:02:11" u="1"/>
        <d v="2025-07-03T12:20:24" u="1"/>
        <d v="2025-07-03T12:20:35" u="1"/>
        <d v="2025-07-03T12:20:41" u="1"/>
        <d v="2025-07-02T00:16:06" u="1"/>
        <d v="2025-07-02T18:32:48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3T10:35:55" u="1"/>
        <d v="2025-07-02T12:24:56" u="1"/>
        <d v="2025-06-30T21:47:39" u="1"/>
        <d v="2025-07-04T18:46:45" u="1"/>
        <d v="2025-07-02T18:48:35" u="1"/>
        <d v="2025-06-30T18:32:07" u="1"/>
        <d v="2025-07-01T18:31:08" u="1"/>
        <d v="2025-07-03T11:45:36" u="1"/>
        <d v="2025-07-01T19:02:02" u="1"/>
        <d v="2025-07-02T13:03:23" u="1"/>
        <d v="2025-07-02T17:03:48" u="1"/>
        <d v="2025-07-03T15:02:54" u="1"/>
        <d v="2025-07-03T15:03:49" u="1"/>
        <d v="2025-07-03T12:05:13" u="1"/>
        <d v="2025-07-01T17:37:04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1T12:01:05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1T18:06:45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09:49:55" u="1"/>
        <d v="2025-07-01T08:35:36" u="1"/>
        <d v="2025-07-01T09:34:56" u="1"/>
        <d v="2025-07-02T13:07:00" u="1"/>
        <d v="2025-07-02T13:20:46" u="1"/>
        <d v="2025-07-02T08:35:03" u="1"/>
        <d v="2025-07-02T10:36:21" u="1"/>
        <d v="2025-07-02T10:50:44" u="1"/>
        <d v="2025-07-02T10:50:48" u="1"/>
        <d v="2025-07-02T10:50:52" u="1"/>
        <d v="2025-07-02T11:11:15" u="1"/>
        <d v="2025-07-02T11:11:19" u="1"/>
        <d v="2025-07-03T09:20:25" u="1"/>
        <d v="2025-07-03T10:20:50" u="1"/>
        <d v="2025-07-03T15:50:17" u="1"/>
        <d v="2025-07-01T11:05:50" u="1"/>
        <d v="2025-07-03T13:22:36" u="1"/>
        <d v="2025-07-03T13:35:52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1T18:36:41" u="1"/>
        <d v="2025-06-30T21:02:43" u="1"/>
        <d v="2025-06-30T20:51:33" u="1"/>
        <d v="2025-06-30T20:52:25" u="1"/>
        <d v="2025-07-02T12:10:50" u="1"/>
        <d v="2025-07-02T09:39:38" u="1"/>
        <d v="2025-07-01T12:22:38" u="1"/>
        <d v="2025-07-02T19:14:36" u="1"/>
        <d v="2025-07-02T18:22:12" u="1"/>
        <d v="2025-07-02T12:11:23" u="1"/>
        <d v="2025-07-01T09:46:28" u="1"/>
        <d v="2025-07-01T09:55:03" u="1"/>
        <d v="2025-07-03T11:14:34" u="1"/>
        <d v="2025-07-01T14:51:51" u="1"/>
        <d v="2025-07-02T12:22:43" u="1"/>
        <d v="2025-07-02T00:15:44" u="1"/>
        <d v="2025-07-02T11:01:36" u="1"/>
        <d v="2025-07-03T15:07:18" u="1"/>
        <d v="2025-07-02T20:39:34" u="1"/>
        <d v="2025-07-01T18:16:36" u="1"/>
        <d v="2025-07-01T18:16:50" u="1"/>
        <d v="2025-07-01T15:16:57" u="1"/>
        <d v="2025-07-03T15:06:16" u="1"/>
        <d v="2025-07-03T15:06:47" u="1"/>
        <d v="2025-07-02T18:33:09" u="1"/>
        <d v="2025-07-02T13:01:54" u="1"/>
        <d v="2025-07-01T14:50:37" u="1"/>
        <d v="2025-07-01T14:51:29" u="1"/>
        <d v="2025-07-03T12:12:12" u="1"/>
        <d v="2025-07-01T14:17:49" u="1"/>
        <d v="2025-07-02T19:34:54" u="1"/>
        <d v="2025-07-02T16:56:22" u="1"/>
        <d v="2025-07-03T11:04:19" u="1"/>
        <d v="2025-07-03T00:16:01" u="1"/>
        <d v="2025-07-03T12:14:13" u="1"/>
        <d v="2025-07-01T11:46:01" u="1"/>
        <d v="2025-07-01T08:26:07" u="1"/>
        <d v="2025-06-30T21:26:38" u="1"/>
        <d v="2025-06-30T18:03:09" u="1"/>
        <d v="2025-07-01T18:20:01" u="1"/>
        <d v="2025-07-01T12:13:43" u="1"/>
        <d v="2025-07-02T22:44:29" u="1"/>
        <d v="2025-07-01T12:07:30" u="1"/>
        <d v="2025-07-02T15:35:34" u="1"/>
        <d v="2025-07-02T15:35:32" u="1"/>
        <d v="2025-06-30T18:56:40" u="1"/>
        <d v="2025-07-02T14:15:14" u="1"/>
        <d v="2025-07-02T11:26:06" u="1"/>
        <d v="2025-07-01T16:36:17" u="1"/>
        <d v="2025-07-01T16:36:22" u="1"/>
        <d v="2025-07-01T16:54:03" u="1"/>
        <d v="2025-07-01T18:21:25" u="1"/>
        <d v="2025-07-02T18:22:04" u="1"/>
        <d v="2025-07-01T15:37:35" u="1"/>
        <d v="2025-06-30T21:09:07" u="1"/>
        <d v="2025-07-02T12:18:28" u="1"/>
        <d v="2025-07-02T00:15:49" u="1"/>
        <d v="2025-07-01T18:36:42" u="1"/>
        <d v="2025-07-01T18:37:22" u="1"/>
        <d v="2025-07-02T18:39:20" u="1"/>
        <d v="2025-07-01T14:17:52" u="1"/>
        <d v="2025-07-02T19:37:00" u="1"/>
        <d v="2025-07-02T11:26:14" u="1"/>
        <d v="2025-07-01T17:26:15" u="1"/>
        <d v="2025-07-02T15:35:33" u="1"/>
        <d v="2025-07-02T19:38:58" u="1"/>
        <d v="2025-07-02T17:55:24" u="1"/>
        <d v="2025-07-02T15:56:10" u="1"/>
        <d v="2025-07-02T15:45:45" u="1"/>
        <d v="2025-07-02T19:34:25" u="1"/>
        <d v="2025-07-01T20:14:25" u="1"/>
        <d v="2025-07-01T13:15:37" u="1"/>
        <d v="2025-07-01T18:35:18" u="1"/>
        <d v="2025-07-02T11:26:05" u="1"/>
        <d v="2025-07-02T08:34:34" u="1"/>
        <d v="2025-07-03T08:24:06" u="1"/>
        <d v="2025-07-02T12:44:41" u="1"/>
        <d v="2025-07-02T16:37:27" u="1"/>
        <d v="2025-07-02T18:06:40" u="1"/>
        <d v="2025-07-02T16:25:10" u="1"/>
        <d v="2025-07-01T17:15:14" u="1"/>
        <d v="2025-07-03T10:44:25" u="1"/>
        <d v="2025-06-30T17:12:35" u="1"/>
        <d v="2025-06-30T17:29:0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3T23:21:12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1:06:18" u="1"/>
        <d v="2025-07-04T13:20:55" u="1"/>
        <d v="2025-07-04T13:21:09" u="1"/>
        <d v="2025-07-04T17:06:11" u="1"/>
        <d v="2025-07-04T17:06:37" u="1"/>
        <d v="2025-07-03T16:35:45" u="1"/>
        <d v="2025-07-04T16:15:35" u="1"/>
        <d v="2025-07-04T14:45:58" u="1"/>
        <d v="2025-07-04T15:15:40" u="1"/>
        <d v="2025-07-04T17:16:53" u="1"/>
        <d v="2025-07-04T17:17:16" u="1"/>
        <d v="2025-07-04T10:16:20" u="1"/>
        <d v="2025-07-04T18:01:08" u="1"/>
        <d v="2025-07-04T16:15:44" u="1"/>
        <d v="2025-07-04T18:05:20" u="1"/>
        <d v="2025-07-04T18:05:36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3T16:06:33" u="1"/>
        <d v="2025-07-03T16:06:42" u="1"/>
        <d v="2025-07-03T16:20:05" u="1"/>
        <d v="2025-07-03T18:06:08" u="1"/>
        <d v="2025-07-03T18:06:12" u="1"/>
        <d v="2025-07-04T11:51:09" u="1"/>
        <d v="2025-07-04T11:35:47" u="1"/>
        <d v="2025-07-04T10:20:58" u="1"/>
        <d v="2025-07-04T10:35:23" u="1"/>
        <d v="2025-07-04T10:35:28" u="1"/>
        <d v="2025-07-04T10:08:24" u="1"/>
        <d v="2025-07-04T10:08:27" u="1"/>
        <d v="2025-07-04T10:08:45" u="1"/>
        <d v="2025-07-03T18:50:09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6:41:46" u="1"/>
        <d v="2025-07-04T16:41:50" u="1"/>
        <d v="2025-07-04T12:36:07" u="1"/>
        <d v="2025-07-04T13:38:42" u="1"/>
        <d v="2025-07-03T18:36:43" u="1"/>
        <d v="2025-07-04T18:08:14" u="1"/>
        <d v="2025-07-04T12:24:23" u="1"/>
        <d v="2025-07-04T18:27:34" u="1"/>
        <d v="2025-07-04T18:28:34" u="1"/>
        <d v="2025-07-04T12:21:04" u="1"/>
        <d v="2025-07-04T12:21:49" u="1"/>
        <d v="2025-07-04T12:21:54" u="1"/>
        <d v="2025-07-04T12:22:04" u="1"/>
        <d v="2025-07-04T12:22:18" u="1"/>
        <d v="2025-07-04T12:22:35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9:00:36" u="1"/>
        <d v="2025-07-04T18:56:19" u="1"/>
        <d v="2025-07-04T14:53:12" u="1"/>
        <d v="2025-07-04T18:59:21" u="1"/>
        <d v="2025-07-04T20:18:55" u="1"/>
        <d v="2025-07-04T17:14:04" u="1"/>
        <d v="2025-07-03T18:35:37" u="1"/>
        <d v="2025-07-04T18:40:07" u="1"/>
        <d v="2025-07-05T00:19:16" u="1"/>
        <d v="2025-07-05T00:19:19" u="1"/>
        <d v="2025-07-04T12:23:08" u="1"/>
        <d v="2025-07-04T11:22:21" u="1"/>
        <d v="2025-07-04T17:38:11" u="1"/>
        <d v="2025-07-04T18:17:04" u="1"/>
        <d v="2025-07-04T11:51:33" u="1"/>
        <d v="2025-07-04T12:07:53" u="1"/>
        <d v="2025-07-03T17:30:49" u="1"/>
        <d v="2025-07-04T16:37:39" u="1"/>
        <d v="2025-07-04T18:59:50" u="1"/>
        <d v="2025-07-03T16:06:01" u="1"/>
        <d v="2025-07-04T13:32:09" u="1"/>
        <d v="2025-07-04T13:31:55" u="1"/>
        <d v="2025-07-04T20:17:24" u="1"/>
        <d v="2025-07-04T11:18:09" u="1"/>
        <d v="2025-07-04T16:25:34" u="1"/>
        <d v="2025-07-04T20:17:58" u="1"/>
        <d v="2025-07-04T20:18:27" u="1"/>
        <d v="2025-07-04T17:46:23" u="1"/>
        <d v="2025-07-04T16:37:24" u="1"/>
        <d v="2025-07-04T19:00:54" u="1"/>
        <d v="2025-07-04T11:47:06" u="1"/>
        <d v="2025-07-04T20:19:05" u="1"/>
        <d v="2025-07-04T11:19:11" u="1"/>
        <d v="2025-07-04T17:46:06" u="1"/>
        <d v="2025-07-04T15:05:25" u="1"/>
        <d v="2025-07-04T20:17:48" u="1"/>
        <d v="2025-07-03T17:06:20" u="1"/>
        <d v="2025-07-04T16:02:05" u="1"/>
        <d v="2025-07-04T16:16:30" u="1"/>
        <d v="2025-07-04T14:45:46" u="1"/>
        <d v="2025-07-03T16:05:49" u="1"/>
        <d v="2025-07-04T10:33:31" u="1"/>
        <d v="2025-07-04T18:02:13" u="1"/>
        <d v="2025-07-04T15:15:45" u="1"/>
        <d v="2025-07-04T12:25:16" u="1"/>
        <d v="2025-07-04T17:47:27" u="1"/>
        <d v="2025-07-03T18:20:11" u="1"/>
        <d v="2025-07-04T17:31:17" u="1"/>
        <d v="2025-07-04T18:02:16" u="1"/>
        <d v="2025-07-04T20:17:53" u="1"/>
        <d v="2025-07-03T18:31:18" u="1"/>
        <d v="2025-07-04T08:12:27" u="1"/>
        <d v="2025-07-03T19:34:24" u="1"/>
        <d v="2025-07-03T19:34:27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5T10:05:3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6T18:02:50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3T18:26:44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</sharedItems>
      <fieldGroup par="44"/>
    </cacheField>
    <cacheField name="Data Alteração" numFmtId="0">
      <sharedItems containsNonDate="0" containsDate="1" containsString="0" containsBlank="1" minDate="2025-07-03T11:42:19" maxDate="2025-08-08T06:11:42"/>
    </cacheField>
    <cacheField name="Aging Alteração" numFmtId="0">
      <sharedItems containsBlank="1" count="8">
        <s v="0 a 02 dias"/>
        <s v="03 a 05 dias"/>
        <s v="09 a 15 dias"/>
        <s v="06 a 08 dias"/>
        <s v="16 a 23 dias"/>
        <s v="24 a 31 dias"/>
        <s v="31 dias ou +"/>
        <m/>
      </sharedItems>
    </cacheField>
    <cacheField name="Aging Inclusão" numFmtId="0">
      <sharedItems containsBlank="1" count="8">
        <s v="03 a 05 dias"/>
        <s v="0 a 02 dias"/>
        <s v="09 a 15 dias"/>
        <s v="31 dias ou +"/>
        <s v="06 a 08 dias"/>
        <s v="16 a 23 dias"/>
        <s v="24 a 31 dias"/>
        <m/>
      </sharedItems>
    </cacheField>
    <cacheField name="Localizadora" numFmtId="0">
      <sharedItems containsBlank="1" containsMixedTypes="1" containsNumber="1" containsInteger="1" minValue="3668785" maxValue="8789411810486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1-17T11:03:00" maxDate="2025-08-08T00:59:00"/>
    </cacheField>
    <cacheField name="Requisição" numFmtId="0">
      <sharedItems containsBlank="1" containsMixedTypes="1" containsNumber="1" containsInteger="1" minValue="265" maxValue="4801518571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Serviço"/>
        <s v="Hotel"/>
        <s v="Aéreo"/>
        <s v="Carro"/>
        <m/>
      </sharedItems>
    </cacheField>
    <cacheField name="Cancelado" numFmtId="0">
      <sharedItems containsBlank="1"/>
    </cacheField>
    <cacheField name="Grupo Empresarial" numFmtId="0">
      <sharedItems containsBlank="1" count="162">
        <s v="-"/>
        <s v="Grupo Ache"/>
        <s v="Grupo Constellation"/>
        <s v="Grupo Diageo"/>
        <s v="Grupo Jti"/>
        <s v="Grupo Zupper"/>
        <s v="Grupo British American Tobacco"/>
        <s v="Grupo Glory"/>
        <s v="Grupo Elanco"/>
        <s v="Grupo Ses"/>
        <s v="Grupo Adidas"/>
        <s v="Independente"/>
        <s v="Grupo Kontrip"/>
        <s v="Grupo Honeywell"/>
        <s v="Grupo Icon"/>
        <s v="Grupo Mars"/>
        <s v="Grupo Lojas Renner"/>
        <s v="Grupo Ultra"/>
        <s v="Grupo Track e Field"/>
        <s v="Grupo Hpe"/>
        <s v="Grupo Epson"/>
        <s v="Grupo Airbus/helibras"/>
        <s v="Grupo Deloitte"/>
        <s v="Grupo Htb"/>
        <s v="Grupo Kpmg"/>
        <s v="Grupo Gtm"/>
        <s v="Grupo Atlas Copco"/>
        <s v="Grupo Atos"/>
        <s v="Grupo Bosch"/>
        <s v="Grupo Firmenich"/>
        <s v="Grupo Fm Global"/>
        <s v="Grupo Zf"/>
        <s v="Grupo Jealsa"/>
        <s v="Grupo Biomerieux"/>
        <s v="Grupo Cbo"/>
        <s v="Grupo Cmoc"/>
        <s v="Grupo Claro Sa"/>
        <s v="Grupo Braskem"/>
        <s v="Grupo Hypera"/>
        <s v="Grupo Intercement"/>
        <s v="Grupo Samsung"/>
        <s v="Grupo Shell"/>
        <s v="Grupo Enaex"/>
        <s v="Grupo Biolab"/>
        <s v="Grupo Santo Antonio Energia"/>
        <s v="Grupo Occ"/>
        <s v="Grupo Isdin"/>
        <s v="Grupo Marisa"/>
        <s v="Grupo Ocean Pact"/>
        <s v="Grupo Basf"/>
        <s v="Grupo Chanel"/>
        <s v="Grupo Nielseniq"/>
        <s v="Grupo Sibelco"/>
        <s v="Grupo Sep"/>
        <s v="Grupo Arcadis"/>
        <s v="Grupo Taesa"/>
        <s v="Grupo Falcon Active"/>
        <s v="Grupo Mattos Filho"/>
        <s v="Grupo Motiva"/>
        <s v="Grupo Uol"/>
        <s v="Grupo Casas Bahia"/>
        <s v="Grupo Nzte"/>
        <s v="Grupo Atento"/>
        <s v="Grupo Pepsico"/>
        <s v="Grupo Bernoulli Educacao"/>
        <s v="Grupo Banco Genial Investimentos"/>
        <m/>
        <s v="Grupo Syntegon" u="1"/>
        <s v="Grupo Parexel" u="1"/>
        <s v="Grupo Stanley Black e Decker" u="1"/>
        <s v="Grupo Sacs" u="1"/>
        <s v="Grupo Ourolux" u="1"/>
        <s v="Grupo Livanova" u="1"/>
        <s v="Grupo Innomotics" u="1"/>
        <s v="Grupo Unica" u="1"/>
        <s v="Grupo Acelen" u="1"/>
        <s v="Grupo Benner" u="1"/>
        <s v="Grupo Rhenus" u="1"/>
        <s v="Grupo Nyasa Empreendimentos" u="1"/>
        <s v="Grupo Vertex" u="1"/>
        <s v="Grupo Ihs" u="1"/>
        <s v="Grupo Iron Mountain" u="1"/>
        <s v="Grupo Petroreconcavo" u="1"/>
        <s v="Grupo Sony Pictures" u="1"/>
        <s v="Grupo Arxada" u="1"/>
        <s v="Grupo Spotify" u="1"/>
        <s v="Grupo Verizon" u="1"/>
        <s v="Grupo Pharmacopeia" u="1"/>
        <s v="Grupo Lyondell Basell" u="1"/>
        <s v="Grupo Baker Mckenzie" u="1"/>
        <s v="Grupo Avenida" u="1"/>
        <s v="Grupo Light" u="1"/>
        <s v="Grupo Abegas" u="1"/>
        <s v="Grupo Energisa" u="1"/>
        <s v="Grupo Merb" u="1"/>
        <s v="Grupo Sompo Seguros" u="1"/>
        <s v="Grupo Amway" u="1"/>
        <s v="Grupo Itausa" u="1"/>
        <s v="Grupo Fs Bioenergia" u="1"/>
        <s v="Grupo Odontoprev" u="1"/>
        <s v="Grupo Ferreira Costa" u="1"/>
        <s v="Grupo Inframerica" u="1"/>
        <s v="Grupo Valentino" u="1"/>
        <s v="Grupo Axa" u="1"/>
        <s v="Grupo Amadeus" u="1"/>
        <s v="Grupo Pessoa Fisica" u="1"/>
        <s v="Grupo Inovents" u="1"/>
        <s v="Grupo Furnas Eletrobras" u="1"/>
        <s v="Grupo Patria" u="1"/>
        <s v="Grupo Kontik Businees Travel" u="1"/>
        <s v="Grupo Rede Gazeta" u="1"/>
        <s v="Grupo Kelloggs Co" u="1"/>
        <s v="Grupo Wallenius" u="1"/>
        <s v="Grupo Tecnomyl" u="1"/>
        <s v="Grupo Aspen Pharma" u="1"/>
        <s v="Grupo Aeroleo" u="1"/>
        <s v="Grupo Occ Par" u="1"/>
        <s v="Grupo Rio Galeao" u="1"/>
        <s v="Grupo Invepar" u="1"/>
        <s v="Grupo Tupperware" u="1"/>
        <s v="Grupo Stark Bank" u="1"/>
        <s v="Grupo Lumileds" u="1"/>
        <s v="Kontik" u="1"/>
        <s v="Grupo Banco Bbm" u="1"/>
        <s v="Grupo Rm Cursos Medicos" u="1"/>
        <s v="Grupo Avaya" u="1"/>
        <s v="Grupo Mercurio York" u="1"/>
        <s v="Grupo Toou" u="1"/>
        <s v="Grupo Ccr" u="1"/>
        <s v="Grupo Santista" u="1"/>
        <s v="Grupo Dalazen &amp; Pessoa Sociedade de Advogados" u="1"/>
        <s v="Grupo G4 Educacao" u="1"/>
        <s v="Grupo Softbox" u="1"/>
        <s v="Grupo Agoro Carbon" u="1"/>
        <s v="Grupo Winity" u="1"/>
        <s v="Grupo Efi" u="1"/>
        <s v="Grupo Acav" u="1"/>
        <s v="Sse do Brasil" u="1"/>
        <s v="Grupo Mover" u="1"/>
        <s v="Grupo Estre" u="1"/>
        <s v="Grupo Opportunity" u="1"/>
        <s v="Grupo Metrorio" u="1"/>
        <s v="Grupo Intecom" u="1"/>
        <s v="Grupo Arezzo Varejo" u="1"/>
        <s v="Grupo Tec Toy" u="1"/>
        <s v="Pousadas" u="1"/>
        <s v="Grupo Bradesco" u="1"/>
        <s v="Grupo Ultragaz (inativo)" u="1"/>
        <s v="Grupo Neon" u="1"/>
        <s v="Deville Hoteis" u="1"/>
        <s v="Grupo Cold Control" u="1"/>
        <s v="Grupo Especiarya Industria" u="1"/>
        <s v="Agoro Carbon" u="1"/>
        <s v="Grupo Consulado Britanico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25955518" maxValue="8282448174"/>
    </cacheField>
    <cacheField name="Canal de Vendas" numFmtId="0">
      <sharedItems containsBlank="1" count="101">
        <s v="-"/>
        <s v="INOVENTS"/>
        <s v="ZUPPER"/>
        <s v="EMERGENCIAL"/>
        <s v="FCM-OPE-SAO-PVI-BTC-CONCUR"/>
        <s v="KONTRIP"/>
        <s v="FCM-OPE-SAO-PVI-BTC-CONCUR-HONEYWELL"/>
        <s v="FCM-OPE-SAO-PVI-BTC-PRA/RPS"/>
        <s v="FCM-OPE-SAO-PVI-MARS"/>
        <s v="KON-OPE-RIO-PVI-RENNER"/>
        <s v="KON-OPE-SAO-PVI-BTC-ARGO"/>
        <s v="KON-OPE-SAO-PVI-BTC-ARGO-DELOITTE"/>
        <s v="KON-OPE-SAO-PVI-BTC-ARGO-HTB"/>
        <s v="KON-OPE-SAO-PVI-KPMG"/>
        <s v="FCM-OPE-SAO-PVI-BTC"/>
        <s v="FCM-OPE-SAO-PVI-ATOS"/>
        <s v="FCM-OPE-SAO-PVI-BOSCH"/>
        <s v="FCM-OPE-SAO-PVI-BTC-FIRMENICH"/>
        <s v="FCM-OPE-SAO-PVI-BTC-FM GLOBAL"/>
        <s v="FCM-OPE-SAO-PVI-DIAGEO"/>
        <s v="KON-OPE-RIO-PVI-BTC"/>
        <s v="KON-OPE-RIO-PVI-BTC-BIOMERIEUX"/>
        <s v="KON-OPE-RIO-PVI-BTC-CBO"/>
        <s v="KON-OPE-RIO-PVI-BTC-CMOC"/>
        <s v="KON-OPE-SAO-POS-CLARO"/>
        <s v="KON-OPE-SAO-PVI-BRASKEM"/>
        <s v="KON-OPE-SAO-PVI-HYPERA"/>
        <s v="KON-OPE-SAO-PVI-MOVER"/>
        <s v="KON-OPE-SAO-PVI-SAMSUNG"/>
        <s v="KON-OPE-SAO-PVI-ULTRA"/>
        <s v="FCM-OPE-SAO-PVI-SHELL"/>
        <s v="KON-OPE-RIO-PVI-ENAEX"/>
        <s v="KON-OPE-SAO-PVI-BIOLAB"/>
        <s v="KON-OPE-RIO-PVI-BTC RJ"/>
        <s v="KON-OPE-RIO-POS-OCEANPACT"/>
        <s v="FCM-OPE-SAO-PVI-BASF"/>
        <s v="FCM-OPE-SAO-PVI-BTC-CONCUR-CHANEL"/>
        <s v="FCM-OPE-SAO-PVI-BTC-CONCUR-NIELSENIQ"/>
        <s v="FCM-OPE-SAO-PVI-BTC-CONCUR-SIBELCO"/>
        <s v="FCM-OPE-SAO-PVI-BTC-CYTRIC-S&amp;P"/>
        <s v="FCM-OPE-SAO-PVI-ARCADIS"/>
        <s v="KON-OPE-SAO-PVI-ACHE"/>
        <s v="KON-OPE-RIO-POS-TAESA"/>
        <s v="KON-OPE-RIO-PVI-BTC-FALCON ACTIVE"/>
        <s v="KON-OPE-SAO-PVI-MATTOS FILHO"/>
        <s v="KON-OPE-SAO-PVI-CCR"/>
        <s v="KON-OPE-RIO-PVI-UOL"/>
        <s v="FCM-OPE-SAO-PVI-BAT"/>
        <s v="KON-OPE-RIO-PVI-CASAS BAHIA"/>
        <s v="FCM-OPE-SAO-PVI-BTC FCM"/>
        <s v="KON-OPE-SAO-SUP-KONTIK DESPESAS"/>
        <s v="FCM-OPE-POA-PVI-ATENTO"/>
        <s v="KON-OPE-POA-PVI-PEPSICO"/>
        <s v="KON-OPE-SAO-PVI-BERNOULLI"/>
        <s v="KON-OPE-SAO-PVI-BTC ARGO"/>
        <m/>
        <s v="KON-OPE-RIO-PVI-ACELEN" u="1"/>
        <s v="KON-OPE-RIO-PVI-CONSTELLATION" u="1"/>
        <s v="EMF DIRETORIA" u="1"/>
        <s v="FCM-OPE-SAO-PVI-BTC-CONCUR-IRON " u="1"/>
        <s v="KON-OPE-RIO-PVI-BTC-PETRORECONCAVO" u="1"/>
        <s v="FCM-OPE-SAO-PVI-BTC CONCUR" u="1"/>
        <s v="FCM-OPE-SAO-PVI-BTC-LYONDELL BASELL" u="1"/>
        <s v="FCM-OPE-SAO-PVI-JTI" u="1"/>
        <s v="KON-OPE-RIO-PVI-BTC-LIGHT" u="1"/>
        <s v="KON-OPE-SAO-PVI-BTC" u="1"/>
        <s v="KON-OPE-SAO-PVI-ENERGISA" u="1"/>
        <s v="FCM-OPE-SAO-PVI-BTC-CYTRIC-AMWAY" u="1"/>
        <s v="POSTO KONCEPT" u="1"/>
        <s v="KON-OPE-SAO-PVI-ITAU" u="1"/>
        <s v="FCM-OPE-SAO-PVI-BTC-SYNTEGON" u="1"/>
        <s v="KON-OPE-SAO-PVI-FS" u="1"/>
        <s v="KON-OPE-SAO-PVI-BTC-ARGO-ODONTOPREV" u="1"/>
        <s v="KON-OPE-RIO-PVI-FERREIRA COSTA" u="1"/>
        <s v="FCM-OPE-SAO-PVI-BTC-CONCUR-AXA" u="1"/>
        <s v="KON-OPE-RIO-POS-FURNAS ELETROBRAS" u="1"/>
        <s v="KON-OPE-RIO-PVI-PATRIA" u="1"/>
        <s v="FCM-OPE-SAO-PVI-KELLOGGS" u="1"/>
        <s v="POSTO TRANSPETRO" u="1"/>
        <s v="KON-OPE-RIO-PVI-BTC-TECNOMYL" u="1"/>
        <s v="KON-OPE-RIO-PVI-BTC-ASPEN PHARMA" u="1"/>
        <s v="KON-OPE-SAO-PVI-BTC-LEMON" u="1"/>
        <s v="KON-OPE-RIO-PVI-BTC-BANCO BBM" u="1"/>
        <s v="FCM-OPE-SAO-PVI-BTC-CONCUR-AVAYA" u="1"/>
        <s v="KON-OPE-SAO-SUP-CENTRAL DE EMISSAO" u="1"/>
        <s v="K-CLUB" u="1"/>
        <s v="POSTO PETROBRAS" u="1"/>
        <s v="JINBOO" u="1"/>
        <s v="POSTO CBO" u="1"/>
        <s v="FAKE-SUPOR-BENNER" u="1"/>
        <s v="HOT LINE - SAO PAULO" u="1"/>
        <s v="FCM-OPE-SAO-PVI-BTC-LONZA" u="1"/>
        <s v="KON-OPE-RIO-PVI-SSE" u="1"/>
        <s v="KON-OPE-SAO-PVI-BTC-KONTIK DESPESAS " u="1"/>
        <s v="KON-OPE-SAO-PVI-AREZZO" u="1"/>
        <s v="KON-OPE-RIO-PVI-BTC-CONCEBRA" u="1"/>
        <s v="HOT LINE - RIO DE JANEIRO" u="1"/>
        <s v="FCM-OPE-SAO-PVI-ADIDAS" u="1"/>
        <s v="POSTO EVENTOS BRADESCO SEGUROS" u="1"/>
        <s v="POSTO BRADESCO" u="1"/>
        <s v="KON-OPE-SAO-PVI-BTC-ARGO-CIELO" u="1"/>
      </sharedItems>
    </cacheField>
    <cacheField name="Codigo Evento" numFmtId="0">
      <sharedItems containsBlank="1" containsMixedTypes="1" containsNumber="1" containsInteger="1" minValue="167526" maxValue="170240"/>
    </cacheField>
    <cacheField name="Tarifa" numFmtId="0">
      <sharedItems containsString="0" containsBlank="1" containsNumber="1" minValue="-6945.82" maxValue="812176.87860000005" count="8000">
        <n v="16875"/>
        <n v="0"/>
        <n v="415"/>
        <n v="210"/>
        <n v="209"/>
        <n v="683.05"/>
        <n v="6420.23"/>
        <n v="708.9"/>
        <n v="1249.3699999999999"/>
        <n v="361.68"/>
        <n v="250"/>
        <n v="445.2"/>
        <n v="1302.01"/>
        <n v="540.54999999999995"/>
        <n v="126.14"/>
        <n v="2891.49"/>
        <n v="2454.2800000000002"/>
        <n v="220.45"/>
        <n v="399.8"/>
        <n v="2030.81"/>
        <n v="2272.06"/>
        <n v="824.25"/>
        <n v="1435.99"/>
        <n v="1450.44"/>
        <n v="1698.87"/>
        <n v="0.01"/>
        <n v="71.8"/>
        <n v="590.32000000000005"/>
        <n v="1893.59"/>
        <n v="1260"/>
        <n v="128.79"/>
        <n v="600.72"/>
        <n v="1805.52"/>
        <n v="2083.12"/>
        <n v="166.75"/>
        <n v="409.41"/>
        <n v="1147.8399999999999"/>
        <n v="365.4"/>
        <n v="1055.5999999999999"/>
        <n v="1070.25"/>
        <n v="548.91999999999996"/>
        <n v="713.2"/>
        <n v="473.92"/>
        <n v="1519.9"/>
        <n v="803.17"/>
        <n v="2550.5100000000002"/>
        <n v="1360.78"/>
        <n v="1150.24"/>
        <n v="1634.84"/>
        <n v="947.09"/>
        <n v="93.9"/>
        <n v="577.44000000000005"/>
        <n v="823.84"/>
        <n v="665.84"/>
        <n v="1821.6792"/>
        <n v="160.97999999999999"/>
        <n v="629.97"/>
        <n v="577.47"/>
        <n v="419.98"/>
        <n v="689.97"/>
        <n v="1073.44"/>
        <n v="916.32"/>
        <n v="1020"/>
        <n v="589.25440000000003"/>
        <n v="122.16"/>
        <n v="487"/>
        <n v="486"/>
        <n v="140.29"/>
        <n v="118.68"/>
        <n v="443.67"/>
        <n v="359.99"/>
        <n v="289.95999999999998"/>
        <n v="289.94"/>
        <n v="129.07"/>
        <n v="488"/>
        <n v="219"/>
        <n v="772"/>
        <n v="139"/>
        <n v="154.80000000000001"/>
        <n v="260"/>
        <n v="797.88"/>
        <n v="239"/>
        <n v="4717.96"/>
        <n v="318"/>
        <n v="304"/>
        <n v="185"/>
        <n v="185.02"/>
        <n v="666.6576"/>
        <n v="1030.4112"/>
        <n v="509.54399999999998"/>
        <n v="717"/>
        <n v="295"/>
        <n v="288.14"/>
        <n v="590"/>
        <n v="445.96"/>
        <n v="923.36"/>
        <n v="935.14400000000001"/>
        <n v="378.79"/>
        <n v="326"/>
        <n v="176.435"/>
        <n v="85.08"/>
        <n v="1639"/>
        <n v="2495"/>
        <n v="998"/>
        <n v="1694.54"/>
        <n v="1593.07"/>
        <n v="1092.3900000000001"/>
        <n v="501.93"/>
        <n v="978"/>
        <n v="489"/>
        <n v="1911.28"/>
        <n v="1175"/>
        <n v="350.74"/>
        <n v="1545.41"/>
        <n v="679.14"/>
        <n v="2520.9299999999998"/>
        <n v="154"/>
        <n v="863.09"/>
        <n v="1158.0999999999999"/>
        <n v="140"/>
        <n v="2522.4"/>
        <n v="275"/>
        <n v="1150"/>
        <n v="32068.2582"/>
        <n v="12428.341200000001"/>
        <n v="276"/>
        <n v="387.8"/>
        <n v="568.79999999999995"/>
        <n v="699.82"/>
        <n v="1530"/>
        <n v="720"/>
        <n v="524"/>
        <n v="125"/>
        <n v="215"/>
        <n v="249.9"/>
        <n v="1312.1901"/>
        <n v="5916.9395999999997"/>
        <n v="395"/>
        <n v="617.66999999999996"/>
        <n v="418"/>
        <n v="170"/>
        <n v="379.76"/>
        <n v="220"/>
        <n v="867"/>
        <n v="180"/>
        <n v="156"/>
        <n v="5247.06"/>
        <n v="1908.2203"/>
        <n v="1522.86"/>
        <n v="788.07299999999998"/>
        <n v="20908.410400000001"/>
        <n v="1789"/>
        <n v="520"/>
        <n v="699.89700000000005"/>
        <n v="3577"/>
        <n v="1196"/>
        <n v="1170"/>
        <n v="4010.72"/>
        <n v="338.91199999999998"/>
        <n v="1176"/>
        <n v="836"/>
        <n v="432"/>
        <n v="3391.92"/>
        <n v="230"/>
        <n v="3975.72"/>
        <n v="3973.41"/>
        <n v="4655"/>
        <n v="2665.18"/>
        <n v="588"/>
        <n v="236.66"/>
        <n v="290"/>
        <n v="251"/>
        <n v="1180.77"/>
        <n v="315"/>
        <n v="855"/>
        <n v="496.12"/>
        <n v="1042.5"/>
        <n v="990.24"/>
        <n v="1013.32"/>
        <n v="429.07"/>
        <n v="580"/>
        <n v="1160"/>
        <n v="1184"/>
        <n v="270"/>
        <n v="371.8"/>
        <n v="231"/>
        <n v="1080"/>
        <n v="795.99"/>
        <n v="999.99"/>
        <n v="205.71340000000001"/>
        <n v="1472.04"/>
        <n v="2131.75"/>
        <n v="4802.1138000000001"/>
        <n v="8388.1985999999997"/>
        <n v="15732"/>
        <n v="7475"/>
        <n v="97.02"/>
        <n v="1742.91"/>
        <n v="1732.87"/>
        <n v="530"/>
        <n v="1392.7398000000001"/>
        <n v="1719.9278999999999"/>
        <n v="453.09"/>
        <n v="2193.6976"/>
        <n v="791.26319999999998"/>
        <n v="1063.3692000000001"/>
        <n v="1256.269"/>
        <n v="985"/>
        <n v="1876"/>
        <n v="942.95"/>
        <n v="400"/>
        <n v="646"/>
        <n v="467.88"/>
        <n v="1215.06"/>
        <n v="991.9"/>
        <n v="2088"/>
        <n v="3341.86"/>
        <n v="14699.92"/>
        <n v="1559.86"/>
        <n v="7347.6480000000001"/>
        <n v="584"/>
        <n v="758"/>
        <n v="338"/>
        <n v="440"/>
        <n v="110"/>
        <n v="329.67"/>
        <n v="306"/>
        <n v="640"/>
        <n v="286.88"/>
        <n v="1616"/>
        <n v="550"/>
        <n v="1229.0001"/>
        <n v="263.75"/>
        <n v="2651.8"/>
        <n v="296.39999999999998"/>
        <n v="603.99990000000003"/>
        <n v="187"/>
        <n v="7945.89"/>
        <n v="7951.68"/>
        <n v="8009.52"/>
        <n v="649.39"/>
        <n v="3325.9807999999998"/>
        <n v="199.58500000000001"/>
        <n v="234.77"/>
        <n v="557.07749999999999"/>
        <n v="674.2835"/>
        <n v="741"/>
        <n v="340"/>
        <n v="50"/>
        <n v="2350"/>
        <n v="2497.9499999999998"/>
        <n v="1428.32"/>
        <n v="517.48479999999995"/>
        <n v="884.93439999999998"/>
        <n v="562.7328"/>
        <n v="375.34559999999999"/>
        <n v="870"/>
        <n v="8285.52"/>
        <n v="1220"/>
        <n v="914"/>
        <n v="574"/>
        <n v="480.48"/>
        <n v="4989.24"/>
        <n v="181.5"/>
        <n v="816"/>
        <n v="150"/>
        <n v="1800"/>
        <n v="1615.92"/>
        <n v="547.04"/>
        <n v="756"/>
        <n v="169"/>
        <n v="8521.7099999999991"/>
        <n v="537.69000000000005"/>
        <n v="425.4"/>
        <n v="155"/>
        <n v="310"/>
        <n v="2986.14"/>
        <n v="6145.5504000000001"/>
        <n v="1136.6207999999999"/>
        <n v="405.78719999999998"/>
        <n v="334.18560000000002"/>
        <n v="494.72640000000001"/>
        <n v="536.83839999999998"/>
        <n v="511.21280000000002"/>
        <n v="289.47519999999997"/>
        <n v="199.9872"/>
        <n v="402.62880000000001"/>
        <n v="468.45119999999997"/>
        <n v="345.87"/>
        <n v="249.8"/>
        <n v="1240"/>
        <n v="635.66719999999998"/>
        <m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660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186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494.05439999999999" u="1"/>
        <n v="171.12479999999999" u="1"/>
        <n v="279" u="1"/>
        <n v="1835.43" u="1"/>
        <n v="1776.1148000000001" u="1"/>
        <n v="2101.8845999999999" u="1"/>
        <n v="164.6848" u="1"/>
        <n v="205.1" u="1"/>
        <n v="153.16" u="1"/>
        <n v="1236.704" u="1"/>
        <n v="2871.8591999999999" u="1"/>
        <n v="327.12959999999998" u="1"/>
        <n v="409.98719999999997" u="1"/>
        <n v="163.56479999999999" u="1"/>
        <n v="260.39999999999998" u="1"/>
        <n v="715.62" u="1"/>
        <n v="294.87" u="1"/>
        <n v="887.38019999999995" u="1"/>
        <n v="1230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194.43199999999999" u="1"/>
        <n v="595.05989999999997" u="1"/>
        <n v="188.67519999999999" u="1"/>
        <n v="172" u="1"/>
        <n v="203.05600000000001" u="1"/>
        <n v="128.65" u="1"/>
        <n v="752.73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235" u="1"/>
        <n v="595.20000000000005" u="1"/>
        <n v="278.25" u="1"/>
        <n v="217" u="1"/>
        <n v="183.54" u="1"/>
        <n v="3209.0974999999999" u="1"/>
        <n v="5378.09" u="1"/>
        <n v="1124.42" u="1"/>
        <n v="175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1200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44.73759999999999" u="1"/>
        <n v="1002.0864" u="1"/>
        <n v="372.55680000000001" u="1"/>
        <n v="489.38400000000001" u="1"/>
        <n v="117.3592" u="1"/>
        <n v="506.76" u="1"/>
        <n v="1059.1199999999999" u="1"/>
        <n v="375" u="1"/>
        <n v="1146.47" u="1"/>
        <n v="259.12" u="1"/>
        <n v="17284.400000000001" u="1"/>
        <n v="278.13" u="1"/>
        <n v="3359.058" u="1"/>
        <n v="880.56100000000004" u="1"/>
        <n v="686.36749999999995" u="1"/>
        <n v="8173.25" u="1"/>
        <n v="2480.6880000000001" u="1"/>
        <n v="7561.26" u="1"/>
        <n v="1195.6400000000001" u="1"/>
        <n v="2487.65" u="1"/>
        <n v="2532.444" u="1"/>
        <n v="340.2" u="1"/>
        <n v="5202.66" u="1"/>
        <n v="264.5" u="1"/>
        <n v="713.17" u="1"/>
        <n v="802.59" u="1"/>
        <n v="2701.44" u="1"/>
        <n v="1828.6" u="1"/>
        <n v="886.32" u="1"/>
        <n v="1616.84" u="1"/>
        <n v="599.79999999999995" u="1"/>
        <n v="735.08" u="1"/>
        <n v="730.8" u="1"/>
        <n v="275.5" u="1"/>
        <n v="1193.2260000000001" u="1"/>
        <n v="18543.207999999999" u="1"/>
        <n v="1978.4939999999999" u="1"/>
        <n v="675" u="1"/>
        <n v="5435.5" u="1"/>
        <n v="21809.13" u="1"/>
        <n v="5511" u="1"/>
        <n v="5054.8" u="1"/>
        <n v="3896" u="1"/>
        <n v="1010" u="1"/>
        <n v="3889" u="1"/>
        <n v="86" u="1"/>
        <n v="1001" u="1"/>
        <n v="990" u="1"/>
        <n v="188" u="1"/>
        <n v="3893" u="1"/>
        <n v="600.6" u="1"/>
        <n v="1985.51" u="1"/>
        <n v="32241.1" u="1"/>
        <n v="24.8" u="1"/>
        <n v="6580.49" u="1"/>
        <n v="1308" u="1"/>
        <n v="1570" u="1"/>
        <n v="100" u="1"/>
        <n v="409" u="1"/>
        <n v="389" u="1"/>
        <n v="10620.388000000001" u="1"/>
        <n v="2779.92" u="1"/>
        <n v="6978.82" u="1"/>
        <n v="23202.29" u="1"/>
        <n v="214.35" u="1"/>
        <n v="1258.5" u="1"/>
        <n v="840" u="1"/>
        <n v="1674" u="1"/>
        <n v="570.96799999999996" u="1"/>
        <n v="1048.96" u="1"/>
        <n v="3053.68" u="1"/>
        <n v="2199.62" u="1"/>
        <n v="5535" u="1"/>
        <n v="2093.31" u="1"/>
        <n v="403.03199999999998" u="1"/>
        <n v="3270.37" u="1"/>
        <n v="11507.268" u="1"/>
        <n v="420" u="1"/>
        <n v="819" u="1"/>
        <n v="265" u="1"/>
        <n v="707.9" u="1"/>
        <n v="1344.8" u="1"/>
        <n v="196" u="1"/>
        <n v="4976.7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299" u="1"/>
        <n v="17762.86" u="1"/>
        <n v="41017.089999999997" u="1"/>
        <n v="30761.43" u="1"/>
        <n v="329.36959999999999" u="1"/>
        <n v="344.32" u="1"/>
        <n v="765" u="1"/>
        <n v="614.98080000000004" u="1"/>
        <n v="490.69439999999997" u="1"/>
        <n v="146.51840000000001" u="1"/>
        <n v="3665.0432000000001" u="1"/>
        <n v="506.65440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392.23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852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32" u="1"/>
        <n v="1061.27" u="1"/>
        <n v="752.86" u="1"/>
        <n v="740.94" u="1"/>
        <n v="3804.75" u="1"/>
        <n v="2716.3348999999998" u="1"/>
        <n v="579.29999999999995" u="1"/>
        <n v="223.61" u="1"/>
        <n v="136.63999999999999" u="1"/>
        <n v="122.36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560" u="1"/>
        <n v="864" u="1"/>
        <n v="2033.32" u="1"/>
        <n v="579.19680000000005" u="1"/>
        <n v="761.30880000000002" u="1"/>
        <n v="714.57119999999998" u="1"/>
        <n v="770.33600000000001" u="1"/>
        <n v="316.89280000000002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0.1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225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330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933" u="1"/>
        <n v="710" u="1"/>
        <n v="535.26" u="1"/>
        <n v="20916.060000000001" u="1"/>
        <n v="1188" u="1"/>
        <n v="1110" u="1"/>
        <n v="1719" u="1"/>
        <n v="446.67" u="1"/>
        <n v="2822.22" u="1"/>
        <n v="18428.32" u="1"/>
        <n v="2882.8" u="1"/>
        <n v="4894.63" u="1"/>
        <n v="512.87" u="1"/>
        <n v="329" u="1"/>
        <n v="6175.22" u="1"/>
        <n v="1493" u="1"/>
        <n v="354" u="1"/>
        <n v="2140.27" u="1"/>
        <n v="1163.54" u="1"/>
        <n v="1908.17" u="1"/>
        <n v="1339.48" u="1"/>
        <n v="1446.71" u="1"/>
        <n v="965.11" u="1"/>
        <n v="468.03" u="1"/>
        <n v="1551.92" u="1"/>
        <n v="594.91" u="1"/>
        <n v="785.74" u="1"/>
        <n v="1925.43" u="1"/>
        <n v="5505.8078999999998" u="1"/>
        <n v="16095.8" u="1"/>
        <n v="1990.37" u="1"/>
        <n v="2069.7941999999998" u="1"/>
        <n v="622.91" u="1"/>
        <n v="7776.63" u="1"/>
        <n v="3509.35" u="1"/>
        <n v="1835.78" u="1"/>
        <n v="1682.76" u="1"/>
        <n v="26697.21" u="1"/>
        <n v="2216.73" u="1"/>
        <n v="7396.1934000000001" u="1"/>
        <n v="12516.99" u="1"/>
        <n v="2444.5" u="1"/>
        <n v="5431.0240000000003" u="1"/>
        <n v="1480" u="1"/>
        <n v="750" u="1"/>
        <n v="75.53" u="1"/>
        <n v="2600" u="1"/>
        <n v="438" u="1"/>
        <n v="248.9" u="1"/>
        <n v="30.25" u="1"/>
        <n v="2407.34" u="1"/>
        <n v="751.7" u="1"/>
        <n v="3737.6" u="1"/>
        <n v="17418.84" u="1"/>
        <n v="9083.9599999999991" u="1"/>
        <n v="7547.71" u="1"/>
        <n v="6118.14" u="1"/>
        <n v="6278.5" u="1"/>
        <n v="661.93" u="1"/>
        <n v="6900.17" u="1"/>
        <n v="7181.88" u="1"/>
        <n v="2437.9" u="1"/>
        <n v="3478.85" u="1"/>
        <n v="25742.44" u="1"/>
        <n v="28258.95" u="1"/>
        <n v="450" u="1"/>
        <n v="1550.7234000000001" u="1"/>
        <n v="546.6" u="1"/>
        <n v="3130.98" u="1"/>
        <n v="3138.97" u="1"/>
        <n v="21775.17" u="1"/>
        <n v="6795.65" u="1"/>
        <n v="23537.52" u="1"/>
        <n v="7623.51" u="1"/>
        <n v="21690.9" u="1"/>
        <n v="35128.69" u="1"/>
        <n v="7892.78" u="1"/>
        <n v="7624.4" u="1"/>
        <n v="31226.080000000002" u="1"/>
        <n v="6105.02" u="1"/>
        <n v="11983.79" u="1"/>
        <n v="1136.44" u="1"/>
        <n v="15538.39" u="1"/>
        <n v="7398.53" u="1"/>
        <n v="1300.02" u="1"/>
        <n v="1367.64" u="1"/>
        <n v="23229.14" u="1"/>
        <n v="26877.97" u="1"/>
        <n v="1811.7692999999999" u="1"/>
        <n v="1008.23" u="1"/>
        <n v="3496.08" u="1"/>
        <n v="1161.51" u="1"/>
        <n v="288.79000000000002" u="1"/>
        <n v="13438.98" u="1"/>
        <n v="2420.5300000000002" u="1"/>
        <n v="383" u="1"/>
        <n v="790" u="1"/>
        <n v="169.9" u="1"/>
        <n v="937.3338" u="1"/>
        <n v="1226.848" u="1"/>
        <n v="6654.48" u="1"/>
        <n v="120" u="1"/>
        <n v="8756.08" u="1"/>
        <n v="56.05" u="1"/>
        <n v="94.01" u="1"/>
        <n v="897" u="1"/>
        <n v="536.44259999999997" u="1"/>
        <n v="1814.106" u="1"/>
        <n v="939.45600000000002" u="1"/>
        <n v="299.29000000000002" u="1"/>
        <n v="558.5" u="1"/>
        <n v="5.5199999999999999E-2" u="1"/>
        <n v="1612.2195999999999" u="1"/>
        <n v="4609.29" u="1"/>
        <n v="6452.25" u="1"/>
        <n v="1016.5" u="1"/>
        <n v="696.02" u="1"/>
        <n v="502.86" u="1"/>
        <n v="4165.3100000000004" u="1"/>
        <n v="4252.2" u="1"/>
        <n v="2889.73" u="1"/>
        <n v="656.18" u="1"/>
        <n v="24681.18" u="1"/>
        <n v="420.85" u="1"/>
        <n v="9452.4599999999991" u="1"/>
        <n v="904.31849999999997" u="1"/>
        <n v="2841.1444999999999" u="1"/>
        <n v="1495.6714999999999" u="1"/>
        <n v="8345.08" u="1"/>
        <n v="988.31" u="1"/>
        <n v="2505.0889999999999" u="1"/>
        <n v="1330.6864" u="1"/>
        <n v="1079.06" u="1"/>
        <n v="8400.02" u="1"/>
        <n v="1642.5713000000001" u="1"/>
        <n v="1422.74" u="1"/>
        <n v="3275.5313000000001" u="1"/>
        <n v="657.21050000000002" u="1"/>
        <n v="12532.06" u="1"/>
        <n v="11218.33" u="1"/>
        <n v="11865.27" u="1"/>
        <n v="4550.2299999999996" u="1"/>
        <n v="5328.98" u="1"/>
        <n v="19387.62" u="1"/>
        <n v="3732.39" u="1"/>
        <n v="16938.4912" u="1"/>
        <n v="7816.44" u="1"/>
        <n v="12065.72" u="1"/>
        <n v="941.23" u="1"/>
        <n v="8743.65" u="1"/>
        <n v="13053.26" u="1"/>
        <n v="2256.4499999999998" u="1"/>
        <n v="6709.48" u="1"/>
        <n v="5813.5922" u="1"/>
        <n v="557.6" u="1"/>
        <n v="8804.9940000000006" u="1"/>
        <n v="554.27" u="1"/>
        <n v="7605.75" u="1"/>
        <n v="29282.0841" u="1"/>
        <n v="20955.099999999999" u="1"/>
        <n v="42686.82" u="1"/>
        <n v="21964.21" u="1"/>
        <n v="4683.68" u="1"/>
        <n v="18404.23" u="1"/>
        <n v="6735.98" u="1"/>
        <n v="9077.7099999999991" u="1"/>
        <n v="992" u="1"/>
        <n v="1560" u="1"/>
        <n v="372.75" u="1"/>
        <n v="1516" u="1"/>
        <n v="793.01" u="1"/>
        <n v="179.33" u="1"/>
        <n v="26778.305" u="1"/>
        <n v="20189.71" u="1"/>
        <n v="2908.12" u="1"/>
        <n v="5815.63" u="1"/>
        <n v="7565.78" u="1"/>
        <n v="8369.4770000000008" u="1"/>
        <n v="248.62" u="1"/>
        <n v="536" u="1"/>
        <n v="3186.404" u="1"/>
        <n v="889.11" u="1"/>
        <n v="1908" u="1"/>
        <n v="850" u="1"/>
        <n v="656" u="1"/>
        <n v="214.08" u="1"/>
        <n v="1107" u="1"/>
        <n v="1697.73" u="1"/>
        <n v="649.87" u="1"/>
        <n v="648.05999999999995" u="1"/>
        <n v="474" u="1"/>
        <n v="992.27520000000004" u="1"/>
        <n v="1286.6559999999999" u="1"/>
        <n v="1809.64" u="1"/>
        <n v="2040.4608000000001" u="1"/>
        <n v="14071.86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2278.518" u="1"/>
        <n v="374.05759999999998" u="1"/>
        <n v="194.67" u="1"/>
        <n v="143" u="1"/>
        <n v="337.76960000000003" u="1"/>
        <n v="803.62049999999999" u="1"/>
        <n v="884.43150000000003" u="1"/>
        <n v="36683.4" u="1"/>
        <n v="887" u="1"/>
        <n v="7910" u="1"/>
        <n v="6025.88" u="1"/>
        <n v="1218.8800000000001" u="1"/>
        <n v="61" u="1"/>
        <n v="134.06" u="1"/>
        <n v="1370.3424" u="1"/>
        <n v="429.72" u="1"/>
        <n v="411.63740000000001" u="1"/>
        <n v="821.64" u="1"/>
        <n v="592.83000000000004" u="1"/>
        <n v="818.1" u="1"/>
        <n v="3886.95" u="1"/>
        <n v="469.19040000000001" u="1"/>
        <n v="1100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714" u="1"/>
        <n v="2535" u="1"/>
        <n v="11160" u="1"/>
        <n v="328.9" u="1"/>
        <n v="223" u="1"/>
        <n v="1345" u="1"/>
        <n v="179" u="1"/>
        <n v="630" u="1"/>
        <n v="242.55" u="1"/>
        <n v="668.1" u="1"/>
        <n v="1470" u="1"/>
        <n v="240.54" u="1"/>
        <n v="176" u="1"/>
        <n v="2217.4497000000001" u="1"/>
        <n v="701.96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848.73" u="1"/>
        <n v="112.48" u="1"/>
        <n v="455.52" u="1"/>
        <n v="459.24" u="1"/>
        <n v="285.43" u="1"/>
        <n v="272" u="1"/>
        <n v="1113.2483999999999" u="1"/>
        <n v="4316.1099999999997" u="1"/>
        <n v="1020.18" u="1"/>
        <n v="4431.16" u="1"/>
        <n v="2908.63" u="1"/>
        <n v="4972.1099999999997" u="1"/>
        <n v="1230.23" u="1"/>
        <n v="2153.11" u="1"/>
        <n v="1442.43" u="1"/>
        <n v="15344.18" u="1"/>
        <n v="547.54999999999995" u="1"/>
        <n v="2731" u="1"/>
        <n v="0.11" u="1"/>
        <n v="412.6" u="1"/>
        <n v="2218.7199999999998" u="1"/>
        <n v="2273.16" u="1"/>
        <n v="3352.42" u="1"/>
        <n v="9371.66" u="1"/>
        <n v="5429.75" u="1"/>
        <n v="2149.31" u="1"/>
        <n v="1642.77" u="1"/>
        <n v="18386.759999999998" u="1"/>
        <n v="19542.580000000002" u="1"/>
        <n v="766" u="1"/>
        <n v="399" u="1"/>
        <n v="412" u="1"/>
        <n v="1068" u="1"/>
        <n v="242" u="1"/>
        <n v="1193.06" u="1"/>
        <n v="485.91" u="1"/>
        <n v="3222.59" u="1"/>
        <n v="2294.48" u="1"/>
        <n v="24.28" u="1"/>
        <n v="600" u="1"/>
        <n v="282" u="1"/>
        <n v="595" u="1"/>
        <n v="300" u="1"/>
        <n v="664" u="1"/>
        <n v="952" u="1"/>
        <n v="268" u="1"/>
        <n v="649.95000000000005" u="1"/>
        <n v="226" u="1"/>
        <n v="335.6" u="1"/>
        <n v="5369.6" u="1"/>
        <n v="245" u="1"/>
        <n v="480" u="1"/>
        <n v="577" u="1"/>
        <n v="944.01" u="1"/>
        <n v="803.01" u="1"/>
        <n v="402" u="1"/>
        <n v="284.89999999999998" u="1"/>
        <n v="880" u="1"/>
        <n v="194.5" u="1"/>
        <n v="259.24259999999998" u="1"/>
        <n v="202.0256" u="1"/>
        <n v="4462.92" u="1"/>
        <n v="1701" u="1"/>
        <n v="661.51679999999999" u="1"/>
        <n v="3784.4351999999999" u="1"/>
        <n v="2977.0944" u="1"/>
        <n v="1379.9" u="1"/>
        <n v="728.76" u="1"/>
        <n v="1254.1500000000001" u="1"/>
        <n v="1112.76" u="1"/>
        <n v="1776.96" u="1"/>
        <n v="1480.85" u="1"/>
        <n v="829.32" u="1"/>
        <n v="340.1" u="1"/>
        <n v="540" u="1"/>
        <n v="675.53920000000005" u="1"/>
        <n v="236.81" u="1"/>
        <n v="1242.2828999999999" u="1"/>
        <n v="839.39949999999999" u="1"/>
        <n v="413" u="1"/>
        <n v="559.98" u="1"/>
        <n v="374.32" u="1"/>
        <n v="174.26" u="1"/>
        <n v="1284.05" u="1"/>
        <n v="214.5" u="1"/>
        <n v="1368.7" u="1"/>
        <n v="1388.1" u="1"/>
        <n v="324.39999999999998" u="1"/>
        <n v="385" u="1"/>
        <n v="4098" u="1"/>
        <n v="4593" u="1"/>
        <n v="1325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261.87" u="1"/>
        <n v="80.790000000000006" u="1"/>
        <n v="4866.6527999999998" u="1"/>
        <n v="594" u="1"/>
        <n v="1450" u="1"/>
        <n v="688.8" u="1"/>
        <n v="605" u="1"/>
        <n v="461.7" u="1"/>
        <n v="325.5" u="1"/>
        <n v="347" u="1"/>
        <n v="1910" u="1"/>
        <n v="810" u="1"/>
        <n v="302" u="1"/>
        <n v="200" u="1"/>
        <n v="562" u="1"/>
        <n v="405.6" u="1"/>
        <n v="842.35199999999998" u="1"/>
        <n v="285.11" u="1"/>
        <n v="569.84249999999997" u="1"/>
        <n v="629" u="1"/>
        <n v="1071" u="1"/>
        <n v="586.20000000000005" u="1"/>
        <n v="1154" u="1"/>
        <n v="3677.8" u="1"/>
        <n v="892.8" u="1"/>
        <n v="500" u="1"/>
        <n v="1319.75" u="1"/>
        <n v="651.61" u="1"/>
        <n v="3505.04" u="1"/>
        <n v="1002.84" u="1"/>
        <n v="1770.13" u="1"/>
        <n v="1548.14" u="1"/>
        <n v="33598.11" u="1"/>
        <n v="16837" u="1"/>
        <n v="422.28" u="1"/>
        <n v="439.52" u="1"/>
        <n v="506.33" u="1"/>
        <n v="327.07" u="1"/>
        <n v="965.87" u="1"/>
        <n v="545.97" u="1"/>
        <n v="1462.89" u="1"/>
        <n v="4065.07" u="1"/>
        <n v="907.32" u="1"/>
        <n v="2717.34" u="1"/>
        <n v="26896.19" u="1"/>
        <n v="1626.24" u="1"/>
        <n v="11253.66" u="1"/>
        <n v="1646.07" u="1"/>
        <n v="1260.1069" u="1"/>
        <n v="14169.97" u="1"/>
        <n v="25211.87" u="1"/>
        <n v="376.27" u="1"/>
        <n v="14543.01" u="1"/>
        <n v="150.77000000000001" u="1"/>
        <n v="284" u="1"/>
        <n v="1484.33" u="1"/>
        <n v="1560.05" u="1"/>
        <n v="547.85" u="1"/>
        <n v="900.9" u="1"/>
        <n v="228.23" u="1"/>
        <n v="10245.31" u="1"/>
        <n v="567.65" u="1"/>
        <n v="599.76" u="1"/>
        <n v="1375" u="1"/>
        <n v="15345.128000000001" u="1"/>
        <n v="91.77" u="1"/>
        <n v="280" u="1"/>
        <n v="657" u="1"/>
        <n v="346.5" u="1"/>
        <n v="706.02700000000004" u="1"/>
        <n v="529.46" u="1"/>
        <n v="1259.93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1240.47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58.73919999999998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155.96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430" u="1"/>
        <n v="572.91999999999996" u="1"/>
        <n v="286.45999999999998" u="1"/>
        <n v="602.08000000000004" u="1"/>
        <n v="1036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5999999999999" u="1"/>
        <n v="285" u="1"/>
        <n v="918" u="1"/>
        <n v="4410.3419999999996" u="1"/>
        <n v="3528.2736" u="1"/>
        <n v="377.35039999999998" u="1"/>
        <n v="5710.32" u="1"/>
        <n v="218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1428.42" u="1"/>
        <n v="4761.2700000000004" u="1"/>
        <n v="502.52" u="1"/>
        <n v="434.69" u="1"/>
        <n v="431.78" u="1"/>
        <n v="388.86399999999998" u="1"/>
        <n v="182.03280000000001" u="1"/>
        <n v="2977.4151000000002" u="1"/>
        <n v="822" u="1"/>
        <n v="1521" u="1"/>
        <n v="816.22400000000005" u="1"/>
        <n v="2746" u="1"/>
        <n v="714.54" u="1"/>
        <n v="8510.8799999999992" u="1"/>
        <n v="477.75" u="1"/>
        <n v="2132.3200000000002" u="1"/>
        <n v="4702.88" u="1"/>
        <n v="793.63499999999999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102.27" u="1"/>
        <n v="267.58" u="1"/>
        <n v="5503.9859999999999" u="1"/>
        <n v="570.91999999999996" u="1"/>
        <n v="11751.48" u="1"/>
        <n v="650" u="1"/>
        <n v="1886.1" u="1"/>
        <n v="2831.2919999999999" u="1"/>
        <n v="879" u="1"/>
        <n v="782.88" u="1"/>
        <n v="436.875" u="1"/>
        <n v="356.72" u="1"/>
        <n v="831.93600000000004" u="1"/>
        <n v="431.928" u="1"/>
        <n v="2892" u="1"/>
        <n v="836.79" u="1"/>
        <n v="501.32" u="1"/>
        <n v="446" u="1"/>
        <n v="2966.1" u="1"/>
        <n v="428.7" u="1"/>
        <n v="1798.5" u="1"/>
        <n v="775" u="1"/>
        <n v="1806.72" u="1"/>
        <n v="340.01" u="1"/>
        <n v="804.38" u="1"/>
        <n v="570" u="1"/>
        <n v="456" u="1"/>
        <n v="291.55" u="1"/>
        <n v="552.24" u="1"/>
        <n v="645.0499999999999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05" u="1"/>
        <n v="1191.9000000000001" u="1"/>
        <n v="756.25" u="1"/>
        <n v="2041.16" u="1"/>
        <n v="310.91000000000003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2999999998" u="1"/>
        <n v="3191.6217000000001" u="1"/>
        <n v="895" u="1"/>
        <n v="1206" u="1"/>
        <n v="4773.6899999999996" u="1"/>
        <n v="1142" u="1"/>
        <n v="322" u="1"/>
        <n v="255" u="1"/>
        <n v="258.88" u="1"/>
        <n v="2506.6799999999998" u="1"/>
        <n v="6.39" u="1"/>
        <n v="1439.46" u="1"/>
        <n v="163.464" u="1"/>
        <n v="946.4" u="1"/>
        <n v="211.232" u="1"/>
        <n v="2492.4720000000002" u="1"/>
        <n v="229" u="1"/>
        <n v="1808" u="1"/>
        <n v="4050" u="1"/>
        <n v="1350" u="1"/>
        <n v="5655.0479999999998" u="1"/>
        <n v="2420.64" u="1"/>
        <n v="518.45000000000005" u="1"/>
        <n v="3330" u="1"/>
        <n v="848" u="1"/>
        <n v="2299.9018000000001" u="1"/>
        <n v="193.75" u="1"/>
        <n v="1446.606" u="1"/>
        <n v="1958" u="1"/>
        <n v="2703.692" u="1"/>
        <n v="1323.44" u="1"/>
        <n v="470.3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0000000002" u="1"/>
        <n v="2424.114" u="1"/>
        <n v="318.54000000000002" u="1"/>
        <n v="843.35" u="1"/>
        <n v="159.04" u="1"/>
        <n v="301.91000000000003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799999999999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301.76" u="1"/>
        <n v="20355" u="1"/>
        <n v="99.71" u="1"/>
        <n v="63.7" u="1"/>
        <n v="232.74" u="1"/>
        <n v="223.92" u="1"/>
        <n v="115.76" u="1"/>
        <n v="4860.3847999999998" u="1"/>
        <n v="615" u="1"/>
        <n v="194" u="1"/>
        <n v="290.89999999999998" u="1"/>
        <n v="233.96799999999999" u="1"/>
        <n v="519" u="1"/>
        <n v="408" u="1"/>
        <n v="438.84" u="1"/>
        <n v="1594.88" u="1"/>
        <n v="1495.2" u="1"/>
        <n v="1368.5" u="1"/>
        <n v="951.3" u="1"/>
        <n v="786.68799999999999" u="1"/>
        <n v="610.62400000000002" u="1"/>
        <n v="574.33600000000001" u="1"/>
        <n v="430.75200000000001" u="1"/>
        <n v="336.1120000000000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0000000001" u="1"/>
        <n v="12637.35" u="1"/>
        <n v="1122.1600000000001" u="1"/>
        <n v="1851.75" u="1"/>
        <n v="715757.60340000002" u="1"/>
        <n v="2230" u="1"/>
        <n v="812176.87860000005" u="1"/>
        <n v="1118.05" u="1"/>
        <n v="3780.8" u="1"/>
        <n v="3770.41" u="1"/>
        <n v="3492.5201999999999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6999999998" u="1"/>
        <n v="1235.1686999999999" u="1"/>
        <n v="2097.6999999999998" u="1"/>
        <n v="584.07000000000005" u="1"/>
        <n v="22285.32" u="1"/>
        <n v="3447.4670000000001" u="1"/>
        <n v="630.69000000000005" u="1"/>
        <n v="931.73" u="1"/>
        <n v="1786.7212999999999" u="1"/>
        <n v="19657.91" u="1"/>
        <n v="421.59640000000002" u="1"/>
        <n v="547.98170000000005" u="1"/>
        <n v="688.88" u="1"/>
        <n v="1296.7515000000001" u="1"/>
        <n v="1259.5208" u="1"/>
        <n v="2283.4814999999999" u="1"/>
        <n v="680.80619999999999" u="1"/>
        <n v="1077.3794" u="1"/>
        <n v="561.97" u="1"/>
        <n v="1142.6774" u="1"/>
        <n v="1203.9090000000001" u="1"/>
        <n v="786.85" u="1"/>
        <n v="19370.669999999998" u="1"/>
        <n v="999.14020000000005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07" u="1"/>
        <n v="791.4479" u="1"/>
        <n v="2247.48" u="1"/>
        <n v="6094.73" u="1"/>
        <n v="1591.9627" u="1"/>
        <n v="2306.5457999999999" u="1"/>
        <n v="1008.1552" u="1"/>
        <n v="813.08109999999999" u="1"/>
        <n v="960.44309999999996" u="1"/>
        <n v="3374.35" u="1"/>
        <n v="595.30330000000004" u="1"/>
        <n v="1086.5459000000001" u="1"/>
        <n v="7232.34" u="1"/>
        <n v="3564.1934000000001" u="1"/>
        <n v="2409.92" u="1"/>
        <n v="2296.7800000000002" u="1"/>
        <n v="1779.96" u="1"/>
        <n v="8967.41" u="1"/>
        <n v="1236.0468000000001" u="1"/>
        <n v="2065.2600000000002" u="1"/>
        <n v="1008.8775000000001" u="1"/>
        <n v="693.5" u="1"/>
        <n v="2322.54" u="1"/>
        <n v="4121.7700000000004" u="1"/>
        <n v="4867.68" u="1"/>
        <n v="1094.9096999999999" u="1"/>
        <n v="511.92" u="1"/>
        <n v="418.9" u="1"/>
        <n v="603.72" u="1"/>
        <n v="492.3" u="1"/>
        <n v="2301.5700000000002" u="1"/>
        <n v="919.11" u="1"/>
        <n v="1259.8399999999999" u="1"/>
        <n v="1749.94" u="1"/>
        <n v="1219.44" u="1"/>
        <n v="6283.03" u="1"/>
        <n v="4240.72" u="1"/>
        <n v="2390.04" u="1"/>
        <n v="5443.42" u="1"/>
        <n v="3950.76" u="1"/>
        <n v="5603.1459000000004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29999999997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399999999998" u="1"/>
        <n v="4390.1509999999998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05" u="1"/>
        <n v="593.91" u="1"/>
        <n v="1288" u="1"/>
        <n v="6246.64" u="1"/>
        <n v="6893.3127000000004" u="1"/>
        <n v="493.24540000000002" u="1"/>
        <n v="4162.2" u="1"/>
        <n v="8928.8700000000008" u="1"/>
        <n v="1050" u="1"/>
        <n v="2051.34" u="1"/>
        <n v="737.1" u="1"/>
        <n v="1580.75" u="1"/>
        <n v="27309.48" u="1"/>
        <n v="852.11279999999999" u="1"/>
        <n v="228" u="1"/>
        <n v="7029.73" u="1"/>
        <n v="18338.02" u="1"/>
        <n v="1653.69" u="1"/>
        <n v="800.82" u="1"/>
        <n v="440.1" u="1"/>
        <n v="5466.6108000000004" u="1"/>
        <n v="3087.6" u="1"/>
        <n v="813.4" u="1"/>
        <n v="2138.7600000000002" u="1"/>
        <n v="2125.1799999999998" u="1"/>
        <n v="388.8" u="1"/>
        <n v="2810" u="1"/>
        <n v="644.58000000000004" u="1"/>
        <n v="2583.36" u="1"/>
        <n v="126.81" u="1"/>
        <n v="1005.1" u="1"/>
        <n v="339.3" u="1"/>
        <n v="774.24" u="1"/>
        <n v="640.29999999999995" u="1"/>
        <n v="1152.364" u="1"/>
        <n v="254" u="1"/>
        <n v="5838.6239999999998" u="1"/>
        <n v="1126.356" u="1"/>
        <n v="1574.34" u="1"/>
        <n v="366" u="1"/>
        <n v="5230.8" u="1"/>
        <n v="11395.28" u="1"/>
        <n v="3453.28" u="1"/>
        <n v="2950.55" u="1"/>
        <n v="13155.93" u="1"/>
        <n v="855.01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00000000002" u="1"/>
        <n v="354.61" u="1"/>
        <n v="444.14" u="1"/>
        <n v="453.9" u="1"/>
        <n v="876.28" u="1"/>
        <n v="491.83" u="1"/>
        <n v="622.96" u="1"/>
        <n v="180.32" u="1"/>
        <n v="611.12" u="1"/>
        <n v="774.32" u="1"/>
        <n v="519.29999999999995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0000000001" u="1"/>
        <n v="704.7" u="1"/>
        <n v="714.96" u="1"/>
        <n v="1053.94" u="1"/>
        <n v="917.32" u="1"/>
        <n v="881.59" u="1"/>
        <n v="2819.1" u="1"/>
        <n v="2003.3679999999999" u="1"/>
        <n v="1178.2736" u="1"/>
        <n v="2988.2898" u="1"/>
        <n v="11669.084000000001" u="1"/>
        <n v="5178.99" u="1"/>
        <n v="3307.72" u="1"/>
        <n v="669.76" u="1"/>
        <n v="2487" u="1"/>
        <n v="136.99" u="1"/>
        <n v="270.94" u="1"/>
        <n v="1345.3" u="1"/>
        <n v="384.06" u="1"/>
        <n v="851.4" u="1"/>
        <n v="247.5872" u="1"/>
        <n v="760.25599999999997" u="1"/>
        <n v="770" u="1"/>
        <n v="996" u="1"/>
        <n v="744" u="1"/>
        <n v="746.8" u="1"/>
        <n v="79.260000000000005" u="1"/>
        <n v="463.17599999999999" u="1"/>
        <n v="330.09480000000002" u="1"/>
        <n v="460.35359999999997" u="1"/>
        <n v="549.25919999999996" u="1"/>
        <n v="293.66399999999999" u="1"/>
        <n v="427.32479999999998" u="1"/>
        <n v="546.67200000000003" u="1"/>
        <n v="440.12639999999999" u="1"/>
        <n v="6677.634" u="1"/>
        <n v="239.43" u="1"/>
        <n v="434.26" u="1"/>
        <n v="1662" u="1"/>
        <n v="1828.2" u="1"/>
        <n v="646.79999999999995" u="1"/>
        <n v="4851" u="1"/>
        <n v="676.2" u="1"/>
        <n v="294.58" u="1"/>
        <n v="542" u="1"/>
        <n v="637.41" u="1"/>
        <n v="189.33600000000001" u="1"/>
        <n v="708.45600000000002" u="1"/>
        <n v="397.82400000000001" u="1"/>
        <n v="407.28" u="1"/>
        <n v="111.85" u="1"/>
        <n v="268.3" u="1"/>
        <n v="178.51" u="1"/>
        <n v="9474.16" u="1"/>
        <n v="316.39999999999998" u="1"/>
        <n v="1311.8" u="1"/>
        <n v="616.9" u="1"/>
        <n v="130" u="1"/>
        <n v="1014.83" u="1"/>
        <n v="191.73" u="1"/>
        <n v="122" u="1"/>
        <n v="1994.91" u="1"/>
        <n v="780.63" u="1"/>
        <n v="730.32" u="1"/>
        <n v="330.7" u="1"/>
        <n v="653.9" u="1"/>
        <n v="15.68" u="1"/>
        <n v="294.32" u="1"/>
        <n v="893.73" u="1"/>
        <n v="461.6" u="1"/>
        <n v="640.79999999999995" u="1"/>
        <n v="444.51" u="1"/>
        <n v="487.71" u="1"/>
        <n v="2108.64" u="1"/>
        <n v="16773.900000000001" u="1"/>
        <n v="942" u="1"/>
        <n v="1126.6400000000001" u="1"/>
        <n v="303.83999999999997" u="1"/>
        <n v="392.09" u="1"/>
        <n v="207.77" u="1"/>
        <n v="513.32000000000005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399999999999" u="1"/>
        <n v="1166.5920000000001" u="1"/>
        <n v="827.00800000000004" u="1"/>
        <n v="3092.32" u="1"/>
        <n v="1647" u="1"/>
        <n v="6041.52" u="1"/>
        <n v="2821.46" u="1"/>
        <n v="6403.56" u="1"/>
        <n v="187.02879999999999" u="1"/>
        <n v="510" u="1"/>
        <n v="586.07360000000006" u="1"/>
        <n v="630.09" u="1"/>
        <n v="763.91" u="1"/>
        <n v="699" u="1"/>
        <n v="633.6" u="1"/>
        <n v="207.96" u="1"/>
        <n v="1181.25" u="1"/>
        <n v="104.99" u="1"/>
        <n v="498.51" u="1"/>
        <n v="1081.5840000000001" u="1"/>
        <n v="1350.72" u="1"/>
        <n v="1054.8800000000001" u="1"/>
        <n v="213.33" u="1"/>
        <n v="736" u="1"/>
        <n v="396.54719999999998" u="1"/>
        <n v="571.79999999999995" u="1"/>
        <n v="1997.856" u="1"/>
        <n v="248.75" u="1"/>
        <n v="514.67999999999995" u="1"/>
        <n v="167.44" u="1"/>
        <n v="502.32" u="1"/>
        <n v="288.54000000000002" u="1"/>
        <n v="235.53" u="1"/>
        <n v="575.01" u="1"/>
        <n v="262.67" u="1"/>
        <n v="104.51" u="1"/>
        <n v="518.05999999999995" u="1"/>
        <n v="800" u="1"/>
        <n v="226.33" u="1"/>
        <n v="223.14" u="1"/>
        <n v="127.94" u="1"/>
        <n v="595.65" u="1"/>
        <n v="380" u="1"/>
        <n v="5000" u="1"/>
        <n v="303.072" u="1"/>
        <n v="643.91039999999998" u="1"/>
        <n v="542.93119999999999" u="1"/>
        <n v="777.63199999999995" u="1"/>
        <n v="705.37599999999998" u="1"/>
        <n v="450.47519999999997" u="1"/>
        <n v="479.64" u="1"/>
        <n v="321.95519999999999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41.9" u="1"/>
        <n v="278.3" u="1"/>
        <n v="162.86000000000001" u="1"/>
        <n v="525.50400000000002" u="1"/>
        <n v="152.096" u="1"/>
        <n v="1051.008" u="1"/>
        <n v="1218" u="1"/>
        <n v="341.57760000000002" u="1"/>
        <n v="612" u="1"/>
        <n v="192.55600000000001" u="1"/>
        <n v="363.83199999999999" u="1"/>
        <n v="1124.76" u="1"/>
        <n v="4978.4531999999999" u="1"/>
        <n v="1033.76" u="1"/>
        <n v="666.9" u="1"/>
        <n v="1112.56" u="1"/>
        <n v="2721.96" u="1"/>
        <n v="295.92" u="1"/>
        <n v="434.8" u="1"/>
        <n v="630.82000000000005" u="1"/>
        <n v="928.95" u="1"/>
        <n v="1281.52" u="1"/>
        <n v="4974.0200000000004" u="1"/>
        <n v="906.59" u="1"/>
        <n v="1171.18" u="1"/>
        <n v="1554.89" u="1"/>
        <n v="361.7" u="1"/>
        <n v="1145.96" u="1"/>
        <n v="582.28800000000001" u="1"/>
        <n v="183.9" u="1"/>
        <n v="762" u="1"/>
        <n v="751.27" u="1"/>
        <n v="7593.96" u="1"/>
        <n v="648.67999999999995" u="1"/>
        <n v="321.44" u="1"/>
        <n v="578.79999999999995" u="1"/>
        <n v="2412" u="1"/>
        <n v="8442.82" u="1"/>
        <n v="1613.4" u="1"/>
        <n v="19179.900000000001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07" u="1"/>
        <n v="7511.5304999999998" u="1"/>
        <n v="25526.080000000002" u="1"/>
        <n v="1334" u="1"/>
        <n v="2001" u="1"/>
        <n v="940.76" u="1"/>
        <n v="557.08000000000004" u="1"/>
        <n v="27459.54" u="1"/>
        <n v="5395.7352000000001" u="1"/>
        <n v="597.48" u="1"/>
        <n v="922.6" u="1"/>
        <n v="485.33" u="1"/>
        <n v="341.62240000000003" u="1"/>
        <n v="1208.24" u="1"/>
        <n v="3095.9414999999999" u="1"/>
        <n v="1432.7371000000001" u="1"/>
        <n v="1792.3409999999999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499999999996" u="1"/>
        <n v="980" u="1"/>
        <n v="314.31" u="1"/>
        <n v="5320.02" u="1"/>
        <n v="441.07" u="1"/>
        <n v="1922.75" u="1"/>
        <n v="294.79000000000002" u="1"/>
        <n v="1131.0867000000001" u="1"/>
        <n v="147.9" u="1"/>
        <n v="1851.5237" u="1"/>
        <n v="1899.56" u="1"/>
        <n v="2079.8836000000001" u="1"/>
        <n v="581.29999999999995" u="1"/>
        <n v="2407.5837999999999" u="1"/>
        <n v="2183.6790000000001" u="1"/>
        <n v="28230.73" u="1"/>
        <n v="6350.87" u="1"/>
        <n v="1377.88" u="1"/>
        <n v="495.9" u="1"/>
        <n v="272.2" u="1"/>
        <n v="935.64800000000002" u="1"/>
        <n v="597.40800000000002" u="1"/>
        <n v="568.67999999999995" u="1"/>
        <n v="162.875" u="1"/>
        <n v="166.88" u="1"/>
        <n v="550.73009999999999" u="1"/>
        <n v="449.90660000000003" u="1"/>
        <n v="168.88480000000001" u="1"/>
        <n v="289.28859999999997" u="1"/>
        <n v="204.99359999999999" u="1"/>
        <n v="192.76320000000001" u="1"/>
        <n v="2084.6896000000002" u="1"/>
        <n v="2558.34" u="1"/>
        <n v="269.67360000000002" u="1"/>
        <n v="415.68" u="1"/>
        <n v="449.36" u="1"/>
        <n v="195.7" u="1"/>
        <n v="391.4" u="1"/>
        <n v="674.04" u="1"/>
        <n v="737.19" u="1"/>
        <n v="260.92" u="1"/>
        <n v="782.8" u="1"/>
        <n v="826.8" u="1"/>
        <n v="325.26" u="1"/>
        <n v="300.13" u="1"/>
        <n v="434.42" u="1"/>
        <n v="541.42200000000003" u="1"/>
        <n v="414.36" u="1"/>
        <n v="5819.16" u="1"/>
        <n v="565.41" u="1"/>
        <n v="627.51" u="1"/>
        <n v="2838" u="1"/>
        <n v="327.94" u="1"/>
        <n v="3962.28" u="1"/>
        <n v="478.54" u="1"/>
        <n v="339.42720000000003" u="1"/>
        <n v="287.7534" u="1"/>
        <n v="431.63249999999999" u="1"/>
        <n v="518.98500000000001" u="1"/>
        <n v="556.04010000000005" u="1"/>
        <n v="1946.8512000000001" u="1"/>
        <n v="1000.0001999999999" u="1"/>
        <n v="370.6934" u="1"/>
        <n v="568.65599999999995" u="1"/>
        <n v="546.24" u="1"/>
        <n v="108" u="1"/>
        <n v="419.50659999999999" u="1"/>
        <n v="1378.88" u="1"/>
        <n v="530.70000000000005" u="1"/>
        <n v="571.54999999999995" u="1"/>
        <n v="2909.12" u="1"/>
        <n v="521.20000000000005" u="1"/>
        <n v="1157.1999000000001" u="1"/>
        <n v="2994.6" u="1"/>
        <n v="330.38" u="1"/>
        <n v="318.58" u="1"/>
        <n v="1644.2295999999999" u="1"/>
        <n v="185.47" u="1"/>
        <n v="903.76" u="1"/>
        <n v="177.95" u="1"/>
        <n v="694.86990000000003" u="1"/>
        <n v="622.55499999999995" u="1"/>
        <n v="308.02" u="1"/>
        <n v="22460" u="1"/>
        <n v="503.30399999999997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" u="1"/>
        <n v="54" u="1"/>
        <n v="2019" u="1"/>
        <n v="871.52570000000003" u="1"/>
        <n v="3388.6" u="1"/>
        <n v="15144.81" u="1"/>
        <n v="11428.22" u="1"/>
        <n v="1127.8" u="1"/>
        <n v="179.9" u="1"/>
        <n v="785" u="1"/>
        <n v="35480.22" u="1"/>
        <n v="29598.223999999998" u="1"/>
        <n v="1667.85" u="1"/>
        <n v="8327.16" u="1"/>
        <n v="262.5" u="1"/>
        <n v="198" u="1"/>
        <n v="475" u="1"/>
        <n v="314.10000000000002" u="1"/>
        <n v="144000" u="1"/>
        <n v="8400" u="1"/>
        <n v="21600" u="1"/>
        <n v="152400" u="1"/>
        <n v="502.05" u="1"/>
        <n v="414.2208" u="1"/>
        <n v="566.02560000000005" u="1"/>
        <n v="579.99" u="1"/>
        <n v="234" u="1"/>
        <n v="1447.2" u="1"/>
        <n v="8207.0288" u="1"/>
        <n v="7195.4966999999997" u="1"/>
        <n v="420.84" u="1"/>
        <n v="783.78" u="1"/>
        <n v="276.3" u="1"/>
        <n v="388.04" u="1"/>
        <n v="1012.88" u="1"/>
        <n v="1046.1600000000001" u="1"/>
        <n v="323.83999999999997" u="1"/>
        <n v="1482.2080000000001" u="1"/>
        <n v="4212.72" u="1"/>
        <n v="3155.6" u="1"/>
        <n v="385.25" u="1"/>
        <n v="224.68" u="1"/>
        <n v="1566" u="1"/>
        <n v="112.34" u="1"/>
        <n v="2476.4549999999999" u="1"/>
        <n v="389.44" u="1"/>
        <n v="1211.94" u="1"/>
        <n v="912" u="1"/>
        <n v="257.93" u="1"/>
        <n v="3700" u="1"/>
        <n v="702.16800000000001" u="1"/>
        <n v="488.76799999999997" u="1"/>
        <n v="465" u="1"/>
        <n v="6400" u="1"/>
        <n v="424.03199999999998" u="1"/>
        <n v="308.55" u="1"/>
        <n v="963.6" u="1"/>
        <n v="906.67" u="1"/>
        <n v="2799.76" u="1"/>
        <n v="333.48" u="1"/>
        <n v="286.94400000000002" u="1"/>
        <n v="1049.31" u="1"/>
        <n v="286.66000000000003" u="1"/>
        <n v="562.67499999999995" u="1"/>
        <n v="190.91" u="1"/>
        <n v="3484" u="1"/>
        <n v="249" u="1"/>
        <n v="672.35" u="1"/>
        <n v="158.5" u="1"/>
        <n v="2991.8429999999998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00000000001" u="1"/>
        <n v="583.17999999999995" u="1"/>
        <n v="1096.19" u="1"/>
        <n v="895.83" u="1"/>
        <n v="623.91" u="1"/>
        <n v="650.86" u="1"/>
        <n v="7710.87" u="1"/>
        <n v="6377.8717999999999" u="1"/>
        <n v="291.33999999999997" u="1"/>
        <n v="292.98" u="1"/>
        <n v="1281.8" u="1"/>
        <n v="1281.8009" u="1"/>
        <n v="1389.08" u="1"/>
        <n v="1389.0881999999999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6999999999996" u="1"/>
        <n v="1486.8" u="1"/>
        <n v="1702.92" u="1"/>
        <n v="570.82000000000005" u="1"/>
        <n v="2225" u="1"/>
        <n v="467" u="1"/>
        <n v="1172" u="1"/>
        <n v="2934" u="1"/>
        <n v="3372" u="1"/>
        <n v="374.3" u="1"/>
        <n v="458.82" u="1"/>
        <n v="37.76" u="1"/>
        <n v="40.119999999999997" u="1"/>
        <n v="108.73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332" u="1"/>
        <n v="2444.288" u="1"/>
        <n v="667.77" u="1"/>
        <n v="8075.4696000000004" u="1"/>
        <n v="387.5" u="1"/>
        <n v="651.16480000000001" u="1"/>
        <n v="541" u="1"/>
        <n v="3940.625" u="1"/>
        <n v="2021.21" u="1"/>
        <n v="684.58" u="1"/>
        <n v="383.42" u="1"/>
        <n v="970" u="1"/>
        <n v="658.23" u="1"/>
        <n v="189" u="1"/>
        <n v="513.37440000000004" u="1"/>
        <n v="207.1104" u="1"/>
        <n v="582.04" u="1"/>
        <n v="943.37599999999998" u="1"/>
        <n v="586.53989999999999" u="1"/>
        <n v="2046.5196000000001" u="1"/>
        <n v="299.39" u="1"/>
        <n v="397.47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732.99990000000003" u="1"/>
        <n v="914.04" u="1"/>
        <n v="14802.37" u="1"/>
        <n v="16451.36" u="1"/>
        <n v="448.1" u="1"/>
        <n v="984" u="1"/>
        <n v="1130.5" u="1"/>
        <n v="802.6" u="1"/>
        <n v="170.36320000000001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1403.6" u="1"/>
        <n v="950" u="1"/>
        <n v="97" u="1"/>
        <n v="602" u="1"/>
        <n v="7564" u="1"/>
        <n v="915" u="1"/>
        <n v="8302.0604999999996" u="1"/>
        <n v="1465.85" u="1"/>
        <n v="812" u="1"/>
        <n v="205.97" u="1"/>
        <n v="706.66" u="1"/>
        <n v="515.51" u="1"/>
        <n v="475.99" u="1"/>
        <n v="456.89" u="1"/>
        <n v="1716.1" u="1"/>
        <n v="2235.13" u="1"/>
        <n v="39197.68" u="1"/>
        <n v="605.79999999999995" u="1"/>
        <n v="2451" u="1"/>
        <n v="326.8" u="1"/>
        <n v="434" u="1"/>
        <n v="8699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378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825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1019" u="1"/>
        <n v="338.01600000000002" u="1"/>
        <n v="949.8" u="1"/>
        <n v="1166.53" u="1"/>
        <n v="1478.34" u="1"/>
        <n v="606.36" u="1"/>
        <n v="522.24" u="1"/>
        <n v="921.7" u="1"/>
        <n v="525.63" u="1"/>
        <n v="1380.2864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101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0000000000005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421.49" u="1"/>
        <n v="1646.52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868" u="1"/>
        <n v="544.4" u="1"/>
        <n v="201.59" u="1"/>
        <n v="1132.0512000000001" u="1"/>
        <n v="175.9632" u="1"/>
        <n v="6265.7201999999997" u="1"/>
        <n v="808.10239999999999" u="1"/>
        <n v="583.29600000000005" u="1"/>
        <n v="147.31360000000001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367.9567999999999" u="1"/>
        <n v="1672.8" u="1"/>
        <n v="134.80000000000001" u="1"/>
        <n v="215.1" u="1"/>
        <n v="1055.3499999999999" u="1"/>
        <n v="527.91999999999996" u="1"/>
        <n v="533.57000000000005" u="1"/>
        <n v="761.64" u="1"/>
        <n v="587.1" u="1"/>
        <n v="936.15" u="1"/>
        <n v="1120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954.2" u="1"/>
        <n v="491.91" u="1"/>
        <n v="984.2" u="1"/>
        <n v="1096" u="1"/>
        <n v="900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441" u="1"/>
        <n v="891.16" u="1"/>
        <n v="758.7" u="1"/>
        <n v="1596.68" u="1"/>
        <n v="448" u="1"/>
        <n v="429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79999999999995" u="1"/>
        <n v="1184.22" u="1"/>
        <n v="2099.58" u="1"/>
        <n v="3065.27" u="1"/>
        <n v="2184.21" u="1"/>
        <n v="584.73" u="1"/>
        <n v="98.35" u="1"/>
        <n v="765.25" u="1"/>
        <n v="690" u="1"/>
        <n v="851.46" u="1"/>
        <n v="224.72800000000001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09999999997" u="1"/>
        <n v="238" u="1"/>
        <n v="524.4500000000000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09.89999999999998" u="1"/>
        <n v="359.91" u="1"/>
        <n v="315.12" u="1"/>
        <n v="850.89" u="1"/>
        <n v="3967.67" u="1"/>
        <n v="993.15" u="1"/>
        <n v="598" u="1"/>
        <n v="3353" u="1"/>
        <n v="207.11" u="1"/>
        <n v="294.62720000000002" u="1"/>
        <n v="293.32659999999998" u="1"/>
        <n v="487.73009999999999" u="1"/>
        <n v="1299.7" u="1"/>
        <n v="1000.83" u="1"/>
        <n v="1334.48" u="1"/>
        <n v="369" u="1"/>
        <n v="9074.4" u="1"/>
        <n v="898.72" u="1"/>
        <n v="67.72" u="1"/>
        <n v="1195.2" u="1"/>
        <n v="69.599999999999994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892.89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506" u="1"/>
        <n v="261.45" u="1"/>
        <n v="135.5" u="1"/>
        <n v="777.7279999999999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772.4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698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1700" u="1"/>
        <n v="2546.8200000000002" u="1"/>
        <n v="631.05999999999995" u="1"/>
        <n v="482.97" u="1"/>
        <n v="630.9" u="1"/>
        <n v="1538.85" u="1"/>
        <n v="1048.26" u="1"/>
        <n v="598.5" u="1"/>
        <n v="378.9" u="1"/>
        <n v="431.9" u="1"/>
        <n v="667159.17839999998" u="1"/>
        <n v="2110.92" u="1"/>
        <n v="3662.49" u="1"/>
        <n v="12295.79" u="1"/>
        <n v="1000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513.88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00000001" u="1"/>
        <n v="1258" u="1"/>
        <n v="796.62" u="1"/>
        <n v="25717.0144" u="1"/>
        <n v="438.77120000000002" u="1"/>
        <n v="760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1035.18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352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233.184" u="1"/>
        <n v="1337.5" u="1"/>
        <n v="335.88799999999998" u="1"/>
        <n v="449.45600000000002" u="1"/>
        <n v="748.11519999999996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305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1173" u="1"/>
        <n v="268.57600000000002" u="1"/>
        <n v="660.31650000000002" u="1"/>
        <n v="537.06989999999996" u="1"/>
        <n v="549" u="1"/>
        <n v="512" u="1"/>
        <n v="504" u="1"/>
        <n v="496.2" u="1"/>
        <n v="715.64" u="1"/>
        <n v="1178.3" u="1"/>
        <n v="603.18719999999996" u="1"/>
        <n v="2148.328" u="1"/>
        <n v="292" u="1"/>
        <n v="490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266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876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415.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21488.9" u="1"/>
        <n v="174.61" u="1"/>
        <n v="139.5" u="1"/>
        <n v="293.76" u="1"/>
        <n v="252.68" u="1"/>
        <n v="260.95999999999998" u="1"/>
        <n v="710.04" u="1"/>
        <n v="309.70999999999998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702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940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470" u="1"/>
        <n v="751.74" u="1"/>
        <n v="534" u="1"/>
        <n v="679.39200000000005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149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1590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841.16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269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044" u="1"/>
        <n v="1417.78" u="1"/>
        <n v="844" u="1"/>
        <n v="1104" u="1"/>
        <n v="1093.6199999999999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700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945" u="1"/>
        <n v="3185.28" u="1"/>
        <n v="533.58000000000004" u="1"/>
        <n v="619.65" u="1"/>
        <n v="67431.44" u="1"/>
        <n v="972.16" u="1"/>
        <n v="402.53" u="1"/>
        <n v="450.44009999999997" u="1"/>
        <n v="2200" u="1"/>
        <n v="1037.2991999999999" u="1"/>
        <n v="188.68" u="1"/>
        <n v="1008" u="1"/>
        <n v="251.56700000000001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0000000003" u="1"/>
        <n v="940.46" u="1"/>
        <n v="1864.8" u="1"/>
        <n v="7504.65" u="1"/>
        <n v="1911.15" u="1"/>
        <n v="344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404" u="1"/>
        <n v="208.98" u="1"/>
        <n v="1110.5999999999999" u="1"/>
        <n v="551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354.1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169.84800000000001" u="1"/>
        <n v="561.08640000000003" u="1"/>
        <n v="844.42399999999998" u="1"/>
        <n v="654.25919999999996" u="1"/>
        <n v="800.66560000000004" u="1"/>
        <n v="1343.1" u="1"/>
        <n v="675.2" u="1"/>
        <n v="365.20499999999998" u="1"/>
        <n v="245.67" u="1"/>
        <n v="201.53" u="1"/>
        <n v="701.12" u="1"/>
        <n v="313.89999999999998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399999999999" u="1"/>
        <n v="592.47990000000004" u="1"/>
        <n v="440.13" u="1"/>
        <n v="495" u="1"/>
        <n v="269.5" u="1"/>
        <n v="1062.48" u="1"/>
        <n v="644.41999999999996" u="1"/>
        <n v="2711.72" u="1"/>
        <n v="223.45" u="1"/>
        <n v="37557.06" u="1"/>
        <n v="829.74" u="1"/>
        <n v="407.54" u="1"/>
        <n v="834.12" u="1"/>
        <n v="1079.57" u="1"/>
        <n v="807.78240000000005" u="1"/>
        <n v="519.45749999999998" u="1"/>
        <n v="837.9" u="1"/>
        <n v="704.35" u="1"/>
        <n v="571.87199999999996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620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445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956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485.9" u="1"/>
        <n v="561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4280.44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000000000002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8999999998" u="1"/>
        <n v="425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49" u="1"/>
        <n v="669.6" u="1"/>
        <n v="631.80999999999995" u="1"/>
        <n v="499.19" u="1"/>
        <n v="489.33" u="1"/>
        <n v="870.49109999999996" u="1"/>
        <n v="665.74" u="1"/>
        <n v="1340.78" u="1"/>
        <n v="346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414" u="1"/>
        <n v="2002.48" u="1"/>
        <n v="563.64" u="1"/>
        <n v="751.29" u="1"/>
        <n v="196.06" u="1"/>
        <n v="313.52999999999997" u="1"/>
        <n v="665.6" u="1"/>
        <n v="212.94" u="1"/>
        <n v="1302" u="1"/>
        <n v="978.5" u="1"/>
        <n v="5670" u="1"/>
        <n v="342" u="1"/>
        <n v="3478.6080000000002" u="1"/>
        <n v="6110.1" u="1"/>
        <n v="314" u="1"/>
        <n v="1297.31" u="1"/>
        <n v="2263.6" u="1"/>
        <n v="499.36" u="1"/>
        <n v="530.45000000000005" u="1"/>
        <n v="1652.89" u="1"/>
        <n v="519.91999999999996" u="1"/>
        <n v="343.73" u="1"/>
        <n v="7062.21" u="1"/>
        <n v="2055.1999999999998" u="1"/>
        <n v="311.83999999999997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780" u="1"/>
        <n v="410.14" u="1"/>
        <n v="638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1860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  <n v="1142.4000000000001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499999999998" u="1"/>
        <n v="1467" u="1"/>
        <n v="2508" u="1"/>
        <n v="398.89" u="1"/>
        <n v="3166.64" u="1"/>
        <n v="1031.6300000000001" u="1"/>
        <n v="15092.3" u="1"/>
        <n v="1406.8" u="1"/>
        <n v="644" u="1"/>
        <n v="759" u="1"/>
        <n v="361.2" u="1"/>
        <n v="513" u="1"/>
        <n v="423" u="1"/>
        <n v="3412.76" u="1"/>
        <n v="1432.6959999999999" u="1"/>
        <n v="2131.7130000000002" u="1"/>
        <n v="1367.66" u="1"/>
        <n v="519.6" u="1"/>
        <n v="15979.32" u="1"/>
        <n v="637.20000000000005" u="1"/>
        <n v="1050.0255999999999" u="1"/>
        <n v="793.44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49999999998" u="1"/>
        <n v="751.52" u="1"/>
        <n v="816.27" u="1"/>
        <n v="851.06" u="1"/>
        <n v="3903.68" u="1"/>
        <n v="3992.97" u="1"/>
        <n v="4351.32" u="1"/>
        <n v="2269.5100000000002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89999999998" u="1"/>
        <n v="1162.1199999999999" u="1"/>
        <n v="229.5" u="1"/>
        <n v="894.11009999999999" u="1"/>
        <n v="1076.6099999999999" u="1"/>
        <n v="802.73" u="1"/>
        <n v="473.45" u="1"/>
        <n v="1301.3599999999999" u="1"/>
        <n v="3163.4" u="1"/>
        <n v="741.53" u="1"/>
        <n v="1344.0744" u="1"/>
        <n v="106.2" u="1"/>
        <n v="797.39" u="1"/>
        <n v="983.21" u="1"/>
        <n v="30097.93" u="1"/>
        <n v="30097.934499999999" u="1"/>
        <n v="32889.74" u="1"/>
        <n v="32889.749100000001" u="1"/>
        <n v="58247.23" u="1"/>
        <n v="2586.17" u="1"/>
        <n v="241" u="1"/>
        <n v="1287.73" u="1"/>
        <n v="377" u="1"/>
        <n v="2179.2399999999998" u="1"/>
        <n v="1368.92" u="1"/>
        <n v="955.38" u="1"/>
        <n v="821.73" u="1"/>
        <n v="26496.89" u="1"/>
        <n v="476" u="1"/>
        <n v="420.04" u="1"/>
        <n v="1776.05" u="1"/>
        <n v="832.39" u="1"/>
        <n v="21202.990600000001" u="1"/>
        <n v="2499.5" u="1"/>
        <n v="4757.22" u="1"/>
        <n v="2041.19" u="1"/>
        <n v="893.56" u="1"/>
        <n v="732" u="1"/>
        <n v="56.4" u="1"/>
        <n v="392.49" u="1"/>
        <n v="1299.3655000000001" u="1"/>
        <n v="601.6" u="1"/>
        <n v="26917.15" u="1"/>
        <n v="25985.184499999999" u="1"/>
        <n v="3807.4194000000002" u="1"/>
        <n v="684.09400000000005" u="1"/>
        <n v="2833.0264000000002" u="1"/>
        <n v="1363.4309000000001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599999999997" u="1"/>
        <n v="557.9" u="1"/>
        <n v="883.60209999999995" u="1"/>
        <n v="522" u="1"/>
        <n v="895.74" u="1"/>
        <n v="1358" u="1"/>
        <n v="287.44" u="1"/>
        <n v="2231.3694" u="1"/>
        <n v="2259.3899000000001" u="1"/>
        <n v="1295.4392" u="1"/>
        <n v="1034.8399999999999" u="1"/>
        <n v="1930.1" u="1"/>
        <n v="3727.8" u="1"/>
        <n v="1007.76" u="1"/>
        <n v="885.82" u="1"/>
        <n v="528.87" u="1"/>
        <n v="417.9" u="1"/>
        <n v="565.41999999999996" u="1"/>
        <n v="681.8" u="1"/>
        <n v="899.89" u="1"/>
        <n v="1075.2" u="1"/>
        <n v="754.70079999999996" u="1"/>
        <n v="8903.76" u="1"/>
        <n v="5027.53" u="1"/>
        <n v="4169.5367999999999" u="1"/>
        <n v="3006.04" u="1"/>
        <n v="2519.808" u="1"/>
        <n v="1400.16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5" u="1"/>
        <n v="3705.9" u="1"/>
        <n v="1431" u="1"/>
        <n v="32961.96" u="1"/>
        <n v="3134.58" u="1"/>
        <n v="454.92" u="1"/>
        <n v="862.76" u="1"/>
        <n v="1341.8498999999999" u="1"/>
        <n v="2349.4499999999998" u="1"/>
        <n v="1002.6840999999999" u="1"/>
        <n v="12306.84" u="1"/>
        <n v="215.25" u="1"/>
        <n v="11349.764999999999" u="1"/>
        <n v="1548.18" u="1"/>
        <n v="3219.06" u="1"/>
        <n v="440.31" u="1"/>
        <n v="4721.1000000000004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00000000003" u="1"/>
        <n v="1781.59" u="1"/>
        <n v="1497.78" u="1"/>
        <n v="1784.2" u="1"/>
        <n v="664.94" u="1"/>
        <n v="747.9" u="1"/>
        <n v="1062" u="1"/>
        <n v="462.68" u="1"/>
        <n v="1229.42" u="1"/>
        <n v="2498.48" u="1"/>
        <n v="3533.5962" u="1"/>
        <n v="914.55" u="1"/>
        <n v="2064.8000000000002" u="1"/>
        <n v="440.8" u="1"/>
        <n v="2212" u="1"/>
        <n v="1976.09" u="1"/>
        <n v="1320" u="1"/>
        <n v="922.58709999999996" u="1"/>
        <n v="908.19979999999998" u="1"/>
        <n v="1365.6934000000001" u="1"/>
        <n v="821.39" u="1"/>
        <n v="1027.0999999999999" u="1"/>
        <n v="3817.76" u="1"/>
        <n v="3421.73" u="1"/>
        <n v="268.57" u="1"/>
        <n v="1095.1199999999999" u="1"/>
        <n v="3365.26" u="1"/>
        <n v="1224.22" u="1"/>
        <n v="988.10879999999997" u="1"/>
        <n v="1037.5455999999999" u="1"/>
        <n v="342.24959999999999" u="1"/>
        <n v="1046.1695999999999" u="1"/>
        <n v="828.44159999999999" u="1"/>
        <n v="8830" u="1"/>
        <n v="5760" u="1"/>
        <n v="8352" u="1"/>
        <n v="1014.72" u="1"/>
        <n v="2900" u="1"/>
        <n v="5724" u="1"/>
        <n v="133.19999999999999" u="1"/>
        <n v="291.39" u="1"/>
        <n v="2060.8224" u="1"/>
        <n v="2960" u="1"/>
        <n v="706.68" u="1"/>
        <n v="223.01439999999999" u="1"/>
        <n v="379.904" u="1"/>
        <n v="975" u="1"/>
        <n v="171.74" u="1"/>
        <n v="423.84" u="1"/>
        <n v="2490" u="1"/>
        <n v="326.56" u="1"/>
        <n v="4342.1288999999997" u="1"/>
        <n v="7636.23" u="1"/>
        <n v="1565.0274999999999" u="1"/>
        <n v="11157.38" u="1"/>
        <n v="10902.83" u="1"/>
        <n v="1285" u="1"/>
        <n v="1412" u="1"/>
        <n v="2415.54" u="1"/>
        <n v="804.1" u="1"/>
        <n v="251.4736" u="1"/>
        <n v="1209.3900000000001" u="1"/>
        <n v="863.91" u="1"/>
        <n v="1791.99" u="1"/>
        <n v="1589.04" u="1"/>
        <n v="5864.58" u="1"/>
        <n v="1724.88" u="1"/>
        <n v="1032.7" u="1"/>
        <n v="753.9840000000000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00000000004" u="1"/>
        <n v="228.76" u="1"/>
        <n v="253.58" u="1"/>
        <n v="804.94" u="1"/>
        <n v="2320" u="1"/>
        <n v="5031.1400000000003" u="1"/>
        <n v="4143.1415999999999" u="1"/>
        <n v="2388" u="1"/>
        <n v="517.85" u="1"/>
        <n v="733.7" u="1"/>
        <n v="34" u="1"/>
        <n v="352.92099999999999" u="1"/>
        <n v="680.12" u="1"/>
        <n v="1461.152" u="1"/>
        <n v="94.4" u="1"/>
        <n v="93.27" u="1"/>
        <n v="668" u="1"/>
        <n v="1045.1300000000001" u="1"/>
        <n v="2706.88" u="1"/>
        <n v="820" u="1"/>
        <n v="2461.8000000000002" u="1"/>
        <n v="199" u="1"/>
        <n v="8938.9500000000007" u="1"/>
        <n v="6553.8" u="1"/>
        <n v="6812.6" u="1"/>
        <n v="314.94" u="1"/>
        <n v="599.4375" u="1"/>
        <n v="1306.68" u="1"/>
        <n v="200.92" u="1"/>
        <n v="597.15750000000003" u="1"/>
        <n v="1681.0596" u="1"/>
        <n v="555.92319999999995" u="1"/>
        <n v="270.8272" u="1"/>
        <n v="693.50400000000002" u="1"/>
        <n v="936.80160000000001" u="1"/>
        <n v="372.09379999999999" u="1"/>
        <n v="509" u="1"/>
        <n v="1215.99" u="1"/>
        <n v="5093.8500000000004" u="1"/>
        <n v="1112.26" u="1"/>
        <n v="65.55" u="1"/>
        <n v="69.900000000000006" u="1"/>
        <n v="2218.4699999999998" u="1"/>
        <n v="402.97" u="1"/>
        <n v="3046.51" u="1"/>
        <n v="617.9" u="1"/>
        <n v="1637.49" u="1"/>
        <n v="4909.8280000000004" u="1"/>
        <n v="1287.8900000000001" u="1"/>
        <n v="2517.73" u="1"/>
        <n v="363" u="1"/>
        <n v="2222.6093999999998" u="1"/>
        <n v="1982.69" u="1"/>
        <n v="919.44" u="1"/>
        <n v="790.88" u="1"/>
        <n v="3406.14" u="1"/>
        <n v="786.2" u="1"/>
        <n v="1412.95" u="1"/>
        <n v="10826.55" u="1"/>
        <n v="1056.5899999999999" u="1"/>
        <n v="983.43" u="1"/>
        <n v="652.74" u="1"/>
        <n v="867.41" u="1"/>
        <n v="411.27" u="1"/>
        <n v="66.3" u="1"/>
        <n v="1016.9" u="1"/>
        <n v="2155.62" u="1"/>
        <n v="1739.25" u="1"/>
        <n v="194.57" u="1"/>
        <n v="2465.71" u="1"/>
        <n v="450.18" u="1"/>
        <n v="572.88" u="1"/>
        <n v="649.79999999999995" u="1"/>
        <n v="3445.32" u="1"/>
        <n v="285.24" u="1"/>
        <n v="1963.76" u="1"/>
        <n v="3694.04" u="1"/>
        <n v="3459.93" u="1"/>
        <n v="3459.9348" u="1"/>
        <n v="285.33" u="1"/>
        <n v="1080.4000000000001" u="1"/>
        <n v="1959.4" u="1"/>
        <n v="2235.15" u="1"/>
        <n v="0.86" u="1"/>
        <n v="175.05" u="1"/>
        <n v="2862" u="1"/>
        <n v="801" u="1"/>
        <n v="531.41999999999996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0000000003" u="1"/>
        <n v="572.94000000000005" u="1"/>
        <n v="1574.8096" u="1"/>
        <n v="245.17" u="1"/>
        <n v="482.14" u="1"/>
        <n v="1630.7469000000001" u="1"/>
        <n v="910.62" u="1"/>
        <n v="263.95999999999998" u="1"/>
        <n v="819.82" u="1"/>
        <n v="1227.78" u="1"/>
        <n v="639.79999999999995" u="1"/>
        <n v="2748.5639999999999" u="1"/>
        <n v="22499.94" u="1"/>
        <n v="70.819999999999993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0000000002" u="1"/>
        <n v="269.96480000000003" u="1"/>
        <n v="2866.248" u="1"/>
        <n v="485.2" u="1"/>
        <n v="334.04" u="1"/>
        <n v="1178.26" u="1"/>
        <n v="543.1" u="1"/>
        <n v="641.91" u="1"/>
        <n v="373.8784" u="1"/>
        <n v="1443.7360000000001" u="1"/>
        <n v="675.16959999999995" u="1"/>
        <n v="752.65" u="1"/>
        <n v="444.64" u="1"/>
        <n v="93.514399999999995" u="1"/>
        <n v="632.45000000000005" u="1"/>
        <n v="1013.3088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5999999999998" u="1"/>
        <n v="3607.23" u="1"/>
        <n v="84.4" u="1"/>
        <n v="5793.43" u="1"/>
        <n v="1253.56" u="1"/>
        <n v="1611.72" u="1"/>
        <n v="2194.4" u="1"/>
        <n v="1012.8" u="1"/>
        <n v="2363.1999999999998" u="1"/>
        <n v="5193.32" u="1"/>
        <n v="2532" u="1"/>
        <n v="1350.4" u="1"/>
        <n v="2514.13" u="1"/>
        <n v="2683.56" u="1"/>
        <n v="218.2" u="1"/>
        <n v="575.9" u="1"/>
        <n v="4297.3500000000004" u="1"/>
        <n v="14647.39" u="1"/>
        <n v="290.24" u="1"/>
        <n v="744.46" u="1"/>
        <n v="433.8" u="1"/>
        <n v="16727.151999999998" u="1"/>
        <n v="488.4" u="1"/>
        <n v="1098" u="1"/>
        <n v="146.30000000000001" u="1"/>
        <n v="2067" u="1"/>
        <n v="395.03" u="1"/>
        <n v="201.75" u="1"/>
        <n v="723" u="1"/>
        <n v="2191" u="1"/>
        <n v="577.20799999999997" u="1"/>
        <n v="470.79989999999998" u="1"/>
        <n v="273" u="1"/>
        <n v="29889.529200000001" u="1"/>
        <n v="507" u="1"/>
        <n v="10284.794400000001" u="1"/>
        <n v="477" u="1"/>
        <n v="4100" u="1"/>
        <n v="9514.56" u="1"/>
        <n v="1755.8688" u="1"/>
        <n v="287.56" u="1"/>
        <n v="1135.6500000000001" u="1"/>
        <n v="3446.78" u="1"/>
        <n v="954" u="1"/>
        <n v="8772.0972000000002" u="1"/>
        <n v="4797.3119999999999" u="1"/>
        <n v="405.68770000000001" u="1"/>
        <n v="4614.13" u="1"/>
        <n v="730.61009999999999" u="1"/>
        <n v="671.64" u="1"/>
        <n v="1260.5501999999999" u="1"/>
        <n v="1540.9856" u="1"/>
        <n v="1196.94" u="1"/>
        <n v="273.8" u="1"/>
        <n v="318.22660000000002" u="1"/>
        <n v="408.9" u="1"/>
        <n v="3575" u="1"/>
        <n v="12113.73" u="1"/>
        <n v="83.6" u="1"/>
        <n v="357.36" u="1"/>
        <n v="2120" u="1"/>
        <n v="17453.559000000001" u="1"/>
        <n v="1720.56" u="1"/>
        <n v="5610.28" u="1"/>
        <n v="1052.79" u="1"/>
        <n v="3978.0990000000002" u="1"/>
        <n v="726.48" u="1"/>
        <n v="247.36" u="1"/>
        <n v="429.34" u="1"/>
        <n v="5967.442" u="1"/>
        <n v="1328.32" u="1"/>
        <n v="2392.9920000000002" u="1"/>
        <n v="516.6" u="1"/>
        <n v="2146.7600000000002" u="1"/>
        <n v="898.52" u="1"/>
        <n v="1433.152" u="1"/>
        <n v="200.47" u="1"/>
        <n v="211.11" u="1"/>
        <n v="150.76" u="1"/>
        <n v="2388.3000000000002" u="1"/>
        <n v="4110" u="1"/>
        <n v="692.28" u="1"/>
        <n v="200.58" u="1"/>
        <n v="518.94000000000005" u="1"/>
        <n v="4060.3359999999998" u="1"/>
        <n v="988.35" u="1"/>
        <n v="195.96" u="1"/>
        <n v="1428.9495999999999" u="1"/>
        <n v="880.99199999999996" u="1"/>
        <n v="919.51739999999995" u="1"/>
        <n v="1782.693" u="1"/>
        <n v="399.7466" u="1"/>
        <n v="1115.79" u="1"/>
        <n v="2072.5803999999998" u="1"/>
        <n v="2366.4" u="1"/>
        <n v="3669.3" u="1"/>
        <n v="1920" u="1"/>
        <n v="410.09339999999997" u="1"/>
        <n v="873.01760000000002" u="1"/>
        <n v="565.35360000000003" u="1"/>
        <n v="478.44659999999999" u="1"/>
        <n v="441.1232" u="1"/>
        <n v="229.09" u="1"/>
        <n v="775.98080000000004" u="1"/>
        <n v="485.41919999999999" u="1"/>
        <n v="436.29599999999999" u="1"/>
        <n v="405.38400000000001" u="1"/>
        <n v="402.2928" u="1"/>
        <n v="164.63" u="1"/>
        <n v="153.67519999999999" u="1"/>
        <n v="173.15" u="1"/>
        <n v="536.61599999999999" u="1"/>
        <n v="268.1952" u="1"/>
        <n v="1149.4559999999999" u="1"/>
        <n v="553.62990000000002" u="1"/>
        <n v="961.18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09999999998" u="1"/>
        <n v="4737.8095999999996" u="1"/>
        <n v="3183.57" u="1"/>
        <n v="21858.79" u="1"/>
        <n v="2583.13" u="1"/>
        <n v="2916.07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39999999997" u="1"/>
        <n v="1089.1315999999999" u="1"/>
        <n v="8268.7054000000007" u="1"/>
        <n v="1659.84" u="1"/>
        <n v="788" u="1"/>
        <n v="367.41" u="1"/>
        <n v="105" u="1"/>
        <n v="85" u="1"/>
        <n v="118.98" u="1"/>
        <n v="1206.25" u="1"/>
        <n v="4600.7299999999996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000000001" u="1"/>
        <n v="1216.5999999999999" u="1"/>
        <n v="295.5" u="1"/>
        <n v="2709.4" u="1"/>
        <n v="2193.69" u="1"/>
        <n v="2856.3231999999998" u="1"/>
        <n v="2739.96" u="1"/>
        <n v="1969.6624999999999" u="1"/>
        <n v="8807.99" u="1"/>
        <n v="413.14" u="1"/>
        <n v="1313.75" u="1"/>
        <n v="1872.68" u="1"/>
        <n v="843.21079999999995" u="1"/>
        <n v="9131.2595999999994" u="1"/>
        <n v="1710.5616" u="1"/>
        <n v="311.13839999999999" u="1"/>
        <n v="1328" u="1"/>
        <n v="1672.69" u="1"/>
        <n v="363.63" u="1"/>
        <n v="14108.843999999999" u="1"/>
        <n v="476.16" u="1"/>
        <n v="4566.37" u="1"/>
        <n v="441.21" u="1"/>
        <n v="2183.96" u="1"/>
        <n v="4138.92" u="1"/>
        <n v="1261.44" u="1"/>
        <n v="6248.37" u="1"/>
        <n v="1309.24" u="1"/>
        <n v="96.57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6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00000000001" u="1"/>
        <n v="1885.76" u="1"/>
        <n v="843.8" u="1"/>
        <n v="218.26" u="1"/>
        <n v="1742.43" u="1"/>
        <n v="3562.5" u="1"/>
        <n v="5410.15" u="1"/>
        <n v="2572.6799999999998" u="1"/>
        <n v="89" u="1"/>
        <n v="7212.0439999999999" u="1"/>
        <n v="664.13739999999996" u="1"/>
        <n v="926.00990000000002" u="1"/>
        <n v="3466.7919999999999" u="1"/>
        <n v="2030.0719999999999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0000000001" u="1"/>
        <n v="1376.8679999999999" u="1"/>
        <n v="2230.6799999999998" u="1"/>
        <n v="532.72" u="1"/>
        <n v="152.63" u="1"/>
        <n v="2886.2" u="1"/>
        <n v="3415.5" u="1"/>
        <n v="268.37" u="1"/>
        <n v="326.16000000000003" u="1"/>
        <n v="1202.82" u="1"/>
        <n v="543.35" u="1"/>
        <n v="6807.42" u="1"/>
        <n v="2105.86" u="1"/>
        <n v="2774.8521000000001" u="1"/>
        <n v="4402.8599999999997" u="1"/>
        <n v="1507.8" u="1"/>
        <n v="2122.2600000000002" u="1"/>
        <n v="756.08860000000004" u="1"/>
        <n v="1034.7850000000001" u="1"/>
        <n v="30234.1" u="1"/>
        <n v="837.71349999999995" u="1"/>
        <n v="1467.67" u="1"/>
        <n v="1822.23" u="1"/>
        <n v="785.54" u="1"/>
        <n v="4510.66" u="1"/>
        <n v="3228.7640000000001" u="1"/>
        <n v="1410" u="1"/>
        <n v="698.61" u="1"/>
        <n v="2183.9" u="1"/>
        <n v="1256.32" u="1"/>
        <n v="296.41000000000003" u="1"/>
        <n v="2071" u="1"/>
        <n v="1959.6" u="1"/>
        <n v="2440" u="1"/>
        <n v="1115.3800000000001" u="1"/>
        <n v="14142.51" u="1"/>
        <n v="591.21" u="1"/>
        <n v="728.24220000000003" u="1"/>
        <n v="644.72" u="1"/>
        <n v="429.82" u="1"/>
        <n v="1974.7650000000001" u="1"/>
        <n v="351.35" u="1"/>
        <n v="4248.3023999999996" u="1"/>
        <n v="6116.5739999999996" u="1"/>
        <n v="10805.45" u="1"/>
        <n v="1233.829" u="1"/>
        <n v="934.65390000000002" u="1"/>
        <n v="17013.28" u="1"/>
        <n v="3976" u="1"/>
        <n v="2606.59" u="1"/>
        <n v="5810.62" u="1"/>
        <n v="640.82000000000005" u="1"/>
        <n v="64.989999999999995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00000000002" u="1"/>
        <n v="5008.6589999999997" u="1"/>
        <n v="749.34" u="1"/>
        <n v="723.5" u="1"/>
        <n v="643.98" u="1"/>
        <n v="13881" u="1"/>
        <n v="349.26" u="1"/>
        <n v="1800.45" u="1"/>
        <n v="2079.7199999999998" u="1"/>
        <n v="293.7" u="1"/>
        <n v="1852.0319999999999" u="1"/>
        <n v="4636.5" u="1"/>
        <n v="7727.0599000000002" u="1"/>
        <n v="9545.5892000000003" u="1"/>
        <n v="2246.6799999999998" u="1"/>
        <n v="2411.88" u="1"/>
        <n v="4138.9101000000001" u="1"/>
        <n v="571.20000000000005" u="1"/>
        <n v="2537.8000000000002" u="1"/>
        <n v="947.8" u="1"/>
        <n v="2672.27" u="1"/>
        <n v="16684.55" u="1"/>
        <n v="9450" u="1"/>
        <n v="1446.4079999999999" u="1"/>
        <n v="3292" u="1"/>
        <n v="3744.0374999999999" u="1"/>
        <n v="1443.45" u="1"/>
        <n v="1599.66" u="1"/>
        <n v="1840.55" u="1"/>
        <n v="882" u="1"/>
        <n v="1891.8" u="1"/>
        <n v="4019.64" u="1"/>
        <n v="995" u="1"/>
        <n v="307.33999999999997" u="1"/>
        <n v="862.86" u="1"/>
        <n v="2766.348" u="1"/>
        <n v="598.79999999999995" u="1"/>
        <n v="1058.52" u="1"/>
        <n v="528.73" u="1"/>
        <n v="1419" u="1"/>
        <n v="2097.7399999999998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899999999999" u="1"/>
        <n v="39.44" u="1"/>
        <n v="42.43" u="1"/>
        <n v="2396.46" u="1"/>
        <n v="15225.04" u="1"/>
        <n v="14730" u="1"/>
        <n v="479.42270000000002" u="1"/>
        <n v="304.24" u="1"/>
        <n v="608.48" u="1"/>
        <n v="320.25" u="1"/>
        <n v="411.92" u="1"/>
        <n v="2635.92" u="1"/>
        <n v="92.46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00000000002" u="1"/>
        <n v="3546.77" u="1"/>
        <n v="672.6" u="1"/>
        <n v="1305.2840000000001" u="1"/>
        <n v="8809.3459999999995" u="1"/>
        <n v="1581" u="1"/>
        <n v="5020.5302000000001" u="1"/>
        <n v="3747.96" u="1"/>
        <n v="312.56" u="1"/>
        <n v="4766.1499999999996" u="1"/>
        <n v="950.26" u="1"/>
        <n v="17460.72" u="1"/>
        <n v="16714.5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000000000002" u="1"/>
        <n v="3218.6" u="1"/>
        <n v="339.2" u="1"/>
        <n v="683.37" u="1"/>
        <n v="986.32799999999997" u="1"/>
        <n v="896.89599999999996" u="1"/>
        <n v="561.4" u="1"/>
        <n v="339.69600000000003" u="1"/>
        <n v="634.52" u="1"/>
        <n v="1519.2" u="1"/>
        <n v="3090.8501000000001" u="1"/>
        <n v="1210.98" u="1"/>
        <n v="2915.25" u="1"/>
        <n v="663.49919999999997" u="1"/>
        <n v="265.33" u="1"/>
        <n v="2668.62" u="1"/>
        <n v="2027.56" u="1"/>
        <n v="847.84" u="1"/>
        <n v="212.54" u="1"/>
        <n v="220.69" u="1"/>
        <n v="3345.52" u="1"/>
        <n v="212.685" u="1"/>
        <n v="260.09339999999997" u="1"/>
        <n v="973.16" u="1"/>
        <n v="175.87" u="1"/>
        <n v="176.97120000000001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0000000005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0000000004" u="1"/>
        <n v="396.34559999999999" u="1"/>
        <n v="650.60799999999995" u="1"/>
        <n v="16275" u="1"/>
        <n v="610.49350000000004" u="1"/>
        <n v="263.33999999999997" u="1"/>
        <n v="627.00959999999998" u="1"/>
        <n v="1188.9801" u="1"/>
        <n v="23259.85" u="1"/>
        <n v="12570.76" u="1"/>
        <n v="19994.07" u="1"/>
        <n v="23494.799999999999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59999999998" u="1"/>
        <n v="2554.15" u="1"/>
        <n v="521.94240000000002" u="1"/>
        <n v="500.19" u="1"/>
        <n v="150.05760000000001" u="1"/>
        <n v="371.01" u="1"/>
        <n v="656.45439999999996" u="1"/>
        <n v="524.47360000000003" u="1"/>
        <n v="2504.4992000000002" u="1"/>
        <n v="594.09" u="1"/>
        <n v="948.90049999999997" u="1"/>
        <n v="989.73590000000002" u="1"/>
        <n v="957.94929999999999" u="1"/>
        <n v="864.90959999999995" u="1"/>
        <n v="524.9434" u="1"/>
        <n v="706.72" u="1"/>
        <n v="1854.11" u="1"/>
        <n v="1916.9426000000001" u="1"/>
        <n v="2720.19" u="1"/>
        <n v="750.58" u="1"/>
        <n v="959.39940000000001" u="1"/>
        <n v="1566.5355999999999" u="1"/>
        <n v="2288.9854" u="1"/>
        <n v="1369.7834" u="1"/>
        <n v="4753.95" u="1"/>
        <n v="543" u="1"/>
        <n v="1296" u="1"/>
        <n v="515.20000000000005" u="1"/>
        <n v="1284.9223" u="1"/>
        <n v="2490.5520999999999" u="1"/>
        <n v="1065.6641999999999" u="1"/>
        <n v="2148.9618" u="1"/>
        <n v="1455.3404" u="1"/>
        <n v="3034.77" u="1"/>
        <n v="2616.9445999999998" u="1"/>
        <n v="27338.61" u="1"/>
        <n v="4353.7822999999999" u="1"/>
        <n v="475.29129999999998" u="1"/>
        <n v="3626.7" u="1"/>
        <n v="2452.1529" u="1"/>
        <n v="2882.58" u="1"/>
        <n v="859.28309999999999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0000000002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00000000001" u="1"/>
        <n v="1368" u="1"/>
        <n v="3332.64" u="1"/>
        <n v="3902.96" u="1"/>
        <n v="2274.9699999999998" u="1"/>
        <n v="283.5" u="1"/>
        <n v="1054.23" u="1"/>
        <n v="565" u="1"/>
        <n v="4875" u="1"/>
        <n v="856" u="1"/>
        <n v="2659.8" u="1"/>
        <n v="1788.9" u="1"/>
        <n v="1055.6500000000001" u="1"/>
        <n v="3109.51" u="1"/>
        <n v="1185.8" u="1"/>
        <n v="867.84" u="1"/>
        <n v="37124.22" u="1"/>
        <n v="4258.5" u="1"/>
        <n v="704.34" u="1"/>
        <n v="4367.8" u="1"/>
        <n v="8270.18" u="1"/>
        <n v="319.89999999999998" u="1"/>
        <n v="1134.8" u="1"/>
        <n v="712.9" u="1"/>
        <n v="4032.8" u="1"/>
        <n v="3781.27" u="1"/>
        <n v="260.89999999999998" u="1"/>
        <n v="375.8" u="1"/>
        <n v="879.45" u="1"/>
        <n v="22008.51" u="1"/>
        <n v="1960" u="1"/>
        <n v="11259.25" u="1"/>
        <n v="1865.0001" u="1"/>
        <n v="79.989999999999995" u="1"/>
        <n v="115.99" u="1"/>
        <n v="128.55000000000001" u="1"/>
        <n v="160.78" u="1"/>
        <n v="567.9" u="1"/>
        <n v="248" u="1"/>
        <n v="459.92" u="1"/>
        <n v="39429.699999999997" u="1"/>
        <n v="1182.3" u="1"/>
        <n v="147" u="1"/>
        <n v="1022.08" u="1"/>
        <n v="272.22000000000003" u="1"/>
        <n v="546" u="1"/>
        <n v="170.37" u="1"/>
        <n v="468.96" u="1"/>
        <n v="251.83" u="1"/>
        <n v="1606.7" u="1"/>
        <n v="1088.9000000000001" u="1"/>
        <n v="1015.81" u="1"/>
        <n v="367.64" u="1"/>
        <n v="1522.05" u="1"/>
        <n v="2642.97" u="1"/>
        <n v="451" u="1"/>
        <n v="393.35520000000002" u="1"/>
        <n v="1078.2239999999999" u="1"/>
        <n v="951.44" u="1"/>
        <n v="1407.6666" u="1"/>
        <n v="229.42" u="1"/>
        <n v="350.24" u="1"/>
        <n v="3370.12" u="1"/>
        <n v="1747.72" u="1"/>
        <n v="10148.850399999999" u="1"/>
        <n v="1212.0999999999999" u="1"/>
        <n v="509.6" u="1"/>
        <n v="914.1" u="1"/>
        <n v="626.79" u="1"/>
        <n v="658.14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29999999999995" u="1"/>
        <n v="1719.9" u="1"/>
        <n v="4236.28" u="1"/>
        <n v="5874" u="1"/>
        <n v="770.48159999999996" u="1"/>
        <n v="13876.096" u="1"/>
        <n v="8674.18" u="1"/>
        <n v="917.21280000000002" u="1"/>
        <n v="2987.82" u="1"/>
        <n v="523.32000000000005" u="1"/>
        <n v="574.6" u="1"/>
        <n v="596" u="1"/>
        <n v="2032.8" u="1"/>
        <n v="2444.04" u="1"/>
        <n v="1733.4" u="1"/>
        <n v="1475" u="1"/>
        <n v="39579.325100000002" u="1"/>
        <n v="985.59" u="1"/>
        <n v="407.64" u="1"/>
        <n v="6701.75" u="1"/>
        <n v="5896.86" u="1"/>
        <n v="16582.412" u="1"/>
        <n v="710.34" u="1"/>
        <n v="1560.4159999999999" u="1"/>
        <n v="5858.48" u="1"/>
        <n v="843.23" u="1"/>
        <n v="1865.6" u="1"/>
        <n v="356.3775" u="1"/>
        <n v="237.73" u="1"/>
        <n v="580.98" u="1"/>
        <n v="334.97" u="1"/>
        <n v="542.05759999999998" u="1"/>
        <n v="235.14400000000001" u="1"/>
        <n v="813.08640000000003" u="1"/>
        <n v="374.36970000000002" u="1"/>
        <n v="1551.9503999999999" u="1"/>
        <n v="670.51" u="1"/>
        <n v="444.63" u="1"/>
        <n v="333.22" u="1"/>
        <n v="678.88800000000003" u="1"/>
        <n v="459.5" u="1"/>
        <n v="216.73" u="1"/>
        <n v="2251.5" u="1"/>
        <n v="753.02" u="1"/>
        <n v="778.09" u="1"/>
        <n v="798.30240000000003" u="1"/>
        <n v="572.00639999999999" u="1"/>
        <n v="378.40320000000003" u="1"/>
        <n v="314.3766" u="1"/>
        <n v="265.88" u="1"/>
        <n v="638.11" u="1"/>
        <n v="1275.29" u="1"/>
        <n v="2218.8795" u="1"/>
        <n v="718.48" u="1"/>
        <n v="295.44" u="1"/>
        <n v="603.3501" u="1"/>
        <n v="596.16989999999998" u="1"/>
        <n v="385.64" u="1"/>
        <n v="393.8134" u="1"/>
        <n v="1395.8" u="1"/>
        <n v="1855" u="1"/>
        <n v="588.46500000000003" u="1"/>
        <n v="585.57000000000005" u="1"/>
        <n v="590.85599999999999" u="1"/>
        <n v="1107.5440000000001" u="1"/>
        <n v="1144.3920000000001" u="1"/>
        <n v="335.31959999999998" u="1"/>
        <n v="558.46559999999999" u="1"/>
        <n v="192.67" u="1"/>
        <n v="2378.9247999999998" u="1"/>
        <n v="457.93439999999998" u="1"/>
        <n v="934.81600000000003" u="1"/>
        <n v="332.08" u="1"/>
        <n v="857.15" u="1"/>
        <n v="695.46" u="1"/>
        <n v="466.46" u="1"/>
        <n v="512.79999999999995" u="1"/>
        <n v="2565" u="1"/>
        <n v="803.84" u="1"/>
        <n v="640.71" u="1"/>
        <n v="392.7" u="1"/>
        <n v="7127.21" u="1"/>
        <n v="575.57000000000005" u="1"/>
        <n v="5573.55" u="1"/>
        <n v="7128.63" u="1"/>
        <n v="5517.68" u="1"/>
        <n v="1042.04" u="1"/>
        <n v="704.21" u="1"/>
        <n v="742.67" u="1"/>
        <n v="2143.7800000000002" u="1"/>
        <n v="507.8" u="1"/>
        <n v="4239.7299999999996" u="1"/>
        <n v="2012.8" u="1"/>
        <n v="1994.55" u="1"/>
        <n v="2267.91" u="1"/>
        <n v="1269.6300000000001" u="1"/>
        <n v="1229.8" u="1"/>
        <n v="1196.77" u="1"/>
        <n v="1319.89" u="1"/>
        <n v="462.8" u="1"/>
        <n v="768.42" u="1"/>
        <n v="945.98" u="1"/>
        <n v="1451.28" u="1"/>
        <n v="5235.1499999999996" u="1"/>
        <n v="3042.35" u="1"/>
        <n v="1745.17" u="1"/>
        <n v="996.39" u="1"/>
        <n v="799.43" u="1"/>
        <n v="347.58" u="1"/>
        <n v="430.23" u="1"/>
        <n v="596.74" u="1"/>
        <n v="7664.35" u="1"/>
        <n v="3177.45" u="1"/>
        <n v="31891.23" u="1"/>
        <n v="1638.71" u="1"/>
        <n v="1134.4100000000001" u="1"/>
        <n v="907.19" u="1"/>
        <n v="569" u="1"/>
        <n v="3217.85" u="1"/>
        <n v="2076.48" u="1"/>
        <n v="3483.6698999999999" u="1"/>
        <n v="5606.9004999999997" u="1"/>
        <n v="556.05600000000004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" u="1"/>
        <n v="715.56" u="1"/>
        <n v="512.49" u="1"/>
        <n v="2035.88" u="1"/>
        <n v="1191.6500000000001" u="1"/>
        <n v="491.54" u="1"/>
        <n v="25918.17" u="1"/>
        <n v="390" u="1"/>
        <n v="3408.7368000000001" u="1"/>
        <n v="1496.07" u="1"/>
        <n v="1525.1279999999999" u="1"/>
        <n v="519.53" u="1"/>
        <n v="947.27" u="1"/>
        <n v="793.88" u="1"/>
        <n v="57077.89" u="1"/>
        <n v="9398.42" u="1"/>
        <n v="7843.42" u="1"/>
        <n v="16939.849999999999" u="1"/>
        <n v="3842.72" u="1"/>
        <n v="5414.01" u="1"/>
        <n v="665" u="1"/>
        <n v="167" u="1"/>
        <n v="687.43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0000000001" u="1"/>
        <n v="1976.9775999999999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00000000001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08" u="1"/>
        <n v="1035" u="1"/>
        <n v="1368.2" u="1"/>
        <n v="905.8" u="1"/>
        <n v="2724.6239999999998" u="1"/>
        <n v="3571.7759999999998" u="1"/>
        <n v="1590.36" u="1"/>
        <n v="1987.92" u="1"/>
        <n v="2420.1923000000002" u="1"/>
        <n v="1716.35" u="1"/>
        <n v="1306.5581" u="1"/>
        <n v="579.75800000000004" u="1"/>
        <n v="818.62170000000003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0000000002" u="1"/>
        <n v="1122.05" u="1"/>
        <n v="1483.22" u="1"/>
        <n v="1169.8425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79999999999" u="1"/>
        <n v="1165.3599999999999" u="1"/>
        <n v="7290.72" u="1"/>
        <n v="1187.3599999999999" u="1"/>
        <n v="6860.4480000000003" u="1"/>
        <n v="167.47" u="1"/>
        <n v="538" u="1"/>
        <n v="279.2" u="1"/>
        <n v="2015.82" u="1"/>
        <n v="2632.1997999999999" u="1"/>
        <n v="1386.14" u="1"/>
        <n v="4042.5" u="1"/>
        <n v="692.22" u="1"/>
        <n v="6983.9279999999999" u="1"/>
        <n v="17227.013999999999" u="1"/>
        <n v="9229.48" u="1"/>
        <n v="2102.828" u="1"/>
        <n v="5579.4089999999997" u="1"/>
        <n v="10557.54" u="1"/>
        <n v="1246.0999999999999" u="1"/>
        <n v="15867.954" u="1"/>
        <n v="313.88" u="1"/>
        <n v="6380.4" u="1"/>
        <n v="3881.5920000000001" u="1"/>
        <n v="6153.84" u="1"/>
        <n v="1061.97" u="1"/>
        <n v="707.98" u="1"/>
        <n v="628" u="1"/>
        <n v="6634.1549999999997" u="1"/>
        <n v="3344.28" u="1"/>
        <n v="233.87" u="1"/>
        <n v="3337.13" u="1"/>
        <n v="2092.89" u="1"/>
        <n v="7475.74" u="1"/>
        <n v="4765.7" u="1"/>
        <n v="741.46" u="1"/>
        <n v="1109.8900000000001" u="1"/>
        <n v="2742.24" u="1"/>
        <n v="401.94" u="1"/>
        <n v="3061.6" u="1"/>
        <n v="130.38" u="1"/>
        <n v="2097.39" u="1"/>
        <n v="14516.28" u="1"/>
        <n v="727.38019999999995" u="1"/>
        <n v="765.2" u="1"/>
        <n v="478.97" u="1"/>
        <n v="1340" u="1"/>
        <n v="1065.8" u="1"/>
        <n v="2107.4299999999998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399999999996" u="1"/>
        <n v="7680.87" u="1"/>
        <n v="4515.8900000000003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00000000001" u="1"/>
        <n v="374" u="1"/>
        <n v="4058.1" u="1"/>
        <n v="1993.741" u="1"/>
        <n v="800.52" u="1"/>
        <n v="1336.62" u="1"/>
        <n v="745.82" u="1"/>
        <n v="3635.424" u="1"/>
        <n v="4514.34" u="1"/>
        <n v="4038.6028000000001" u="1"/>
        <n v="1289.1738" u="1"/>
        <n v="7212.2" u="1"/>
        <n v="2025.56" u="1"/>
        <n v="1216.3499999999999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00000000001" u="1"/>
        <n v="434.28" u="1"/>
        <n v="994.04" u="1"/>
        <n v="576.88" u="1"/>
        <n v="960.89" u="1"/>
        <n v="700.92" u="1"/>
        <n v="2416.4" u="1"/>
        <n v="1615.9" u="1"/>
        <n v="2395.0500000000002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00000000004" u="1"/>
        <n v="2153.88" u="1"/>
        <n v="480.74" u="1"/>
        <n v="539.19000000000005" u="1"/>
        <n v="962.67" u="1"/>
        <n v="349.91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00000000001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3999999999997" u="1"/>
        <n v="2638.192" u="1"/>
        <n v="854.81" u="1"/>
        <n v="1983.92" u="1"/>
        <n v="347.6" u="1"/>
        <n v="1021.86" u="1"/>
        <n v="2759.18" u="1"/>
        <n v="96.51" u="1"/>
        <n v="60.9" u="1"/>
        <n v="779.33" u="1"/>
        <n v="501.54" u="1"/>
        <n v="235.3" u="1"/>
        <n v="2066.2600000000002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4539.2299999999996" u="1"/>
        <n v="29895.371999999999" u="1"/>
        <n v="33799.54" u="1"/>
        <n v="4067.14" u="1"/>
        <n v="3024.47" u="1"/>
        <n v="9112.5540000000001" u="1"/>
        <n v="334.00639999999999" u="1"/>
        <n v="835.29399999999998" u="1"/>
        <n v="368.31420000000003" u="1"/>
        <n v="3099.96" u="1"/>
        <n v="630.05999999999995" u="1"/>
        <n v="3341.59" u="1"/>
        <n v="554.19000000000005" u="1"/>
        <n v="2035.4" u="1"/>
        <n v="1128.03" u="1"/>
        <n v="446.9" u="1"/>
        <n v="718.81" u="1"/>
        <n v="441.52" u="1"/>
        <n v="595.85" u="1"/>
        <n v="762.03" u="1"/>
        <n v="2397.77" u="1"/>
        <n v="1663.84" u="1"/>
        <n v="3433.01" u="1"/>
        <n v="2710.02" u="1"/>
        <n v="4254" u="1"/>
        <n v="594.41999999999996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000000001" u="1"/>
        <n v="619.06320000000005" u="1"/>
        <n v="149.32400000000001" u="1"/>
        <n v="601.02" u="1"/>
        <n v="1014" u="1"/>
        <n v="490.52" u="1"/>
        <n v="1349.04" u="1"/>
        <n v="1820" u="1"/>
        <n v="367.01" u="1"/>
        <n v="437.41" u="1"/>
        <n v="347.23" u="1"/>
        <n v="91.15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7785" u="1"/>
        <n v="899.6" u="1"/>
        <n v="218.94" u="1"/>
        <n v="1203.0899999999999" u="1"/>
        <n v="120.32" u="1"/>
        <n v="368.05439999999999" u="1"/>
        <n v="318.4384" u="1"/>
        <n v="465.6" u="1"/>
        <n v="2100" u="1"/>
        <n v="1061" u="1"/>
        <n v="1935" u="1"/>
        <n v="592.93920000000003" u="1"/>
        <n v="206.61760000000001" u="1"/>
        <n v="1141" u="1"/>
        <n v="8645.56" u="1"/>
        <n v="545.09280000000001" u="1"/>
        <n v="2767.2860000000001" u="1"/>
        <n v="1599.472" u="1"/>
        <n v="1196.6475" u="1"/>
        <n v="2787.3" u="1"/>
        <n v="1173.3599999999999" u="1"/>
        <n v="853.36" u="1"/>
        <n v="737.81119999999999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000000000004" u="1"/>
        <n v="5464.62" u="1"/>
        <n v="2306.11" u="1"/>
        <n v="1902.1128000000001" u="1"/>
        <n v="420.5" u="1"/>
        <n v="1221.79" u="1"/>
        <n v="2821.78" u="1"/>
        <n v="583.65" u="1"/>
        <n v="315.61" u="1"/>
        <n v="978.19" u="1"/>
        <n v="2109.9699999999998" u="1"/>
        <n v="424.04" u="1"/>
        <n v="436.61009999999999" u="1"/>
        <n v="1307.8900000000001" u="1"/>
        <n v="424.87" u="1"/>
        <n v="3846" u="1"/>
        <n v="905" u="1"/>
        <n v="1503.0300999999999" u="1"/>
        <n v="532.44799999999998" u="1"/>
        <n v="792.69119999999998" u="1"/>
        <n v="117.92" u="1"/>
        <n v="26.13" u="1"/>
        <n v="453.75" u="1"/>
        <n v="420.03" u="1"/>
        <n v="582.08799999999997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0000000001" u="1"/>
        <n v="695.72" u="1"/>
        <n v="174.81" u="1"/>
        <n v="1619.2175999999999" u="1"/>
        <n v="2045.34" u="1"/>
        <n v="2972.64" u="1"/>
        <n v="4903.1400000000003" u="1"/>
        <n v="1149.8" u="1"/>
        <n v="1241.3699999999999" u="1"/>
        <n v="930" u="1"/>
        <n v="1532.9" u="1"/>
        <n v="8157.74" u="1"/>
        <n v="13708.38" u="1"/>
        <n v="12867.37" u="1"/>
        <n v="494.58" u="1"/>
        <n v="469.77" u="1"/>
        <n v="434.43" u="1"/>
        <n v="726.79039999999998" u="1"/>
        <n v="601.31200000000001" u="1"/>
        <n v="863.08" u="1"/>
        <n v="1424.96" u="1"/>
        <n v="812.7" u="1"/>
        <n v="383.95" u="1"/>
        <n v="409.24799999999999" u="1"/>
        <n v="195.16" u="1"/>
        <n v="170.5" u="1"/>
        <n v="2890.98" u="1"/>
        <n v="2634.9" u="1"/>
        <n v="1517.6895999999999" u="1"/>
        <n v="500.23680000000002" u="1"/>
        <n v="713.976" u="1"/>
        <n v="1002.25" u="1"/>
        <n v="330.1" u="1"/>
        <n v="496.28" u="1"/>
        <n v="187.59" u="1"/>
        <n v="3492.2622000000001" u="1"/>
        <n v="886.25" u="1"/>
        <n v="1356.3620000000001" u="1"/>
        <n v="2998.4717999999998" u="1"/>
        <n v="611.32000000000005" u="1"/>
        <n v="3124.7444999999998" u="1"/>
        <n v="1226.68" u="1"/>
        <n v="1866.68" u="1"/>
        <n v="756.75990000000002" u="1"/>
        <n v="862.74720000000002" u="1"/>
        <n v="1665.24" u="1"/>
        <n v="14527.37" u="1"/>
        <n v="9116.52" u="1"/>
        <n v="1624" u="1"/>
        <n v="1932" u="1"/>
        <n v="19746.580000000002" u="1"/>
        <n v="364.72" u="1"/>
        <n v="6614.45" u="1"/>
        <n v="408.14" u="1"/>
        <n v="408.3" u="1"/>
        <n v="3273.06" u="1"/>
        <n v="788.9" u="1"/>
        <n v="313.86660000000001" u="1"/>
        <n v="3120.06" u="1"/>
        <n v="404.1" u="1"/>
        <n v="1219.2768000000001" u="1"/>
        <n v="14441.36" u="1"/>
        <n v="13240.28" u="1"/>
        <n v="556.72" u="1"/>
        <n v="925.36" u="1"/>
        <n v="2572.5100000000002" u="1"/>
        <n v="237.67" u="1"/>
        <n v="802.8" u="1"/>
        <n v="644.9" u="1"/>
        <n v="2163.77" u="1"/>
        <n v="1527.79" u="1"/>
        <n v="557.91" u="1"/>
        <n v="1297.3599999999999" u="1"/>
        <n v="941.67" u="1"/>
        <n v="739.88" u="1"/>
        <n v="1913.49" u="1"/>
        <n v="3199.36" u="1"/>
        <n v="3099.38" u="1"/>
        <n v="8148.14" u="1"/>
        <n v="927.9" u="1"/>
        <n v="241.97499999999999" u="1"/>
        <n v="329.8" u="1"/>
        <n v="214.56" u="1"/>
        <n v="8432.64" u="1"/>
        <n v="2950.5" u="1"/>
        <n v="438.78" u="1"/>
        <n v="877.56" u="1"/>
        <n v="907.2" u="1"/>
        <n v="212.5" u="1"/>
        <n v="403.95" u="1"/>
        <n v="1429.68" u="1"/>
        <n v="494.15" u="1"/>
        <n v="484.26" u="1"/>
        <n v="809.02080000000001" u="1"/>
        <n v="6555.9059999999999" u="1"/>
        <n v="84.924000000000007" u="1"/>
        <n v="4746.6000000000004" u="1"/>
        <n v="215.22" u="1"/>
        <n v="2106" u="1"/>
        <n v="2901" u="1"/>
        <n v="1534" u="1"/>
        <n v="845.9" u="1"/>
        <n v="574.9" u="1"/>
        <n v="637.26" u="1"/>
        <n v="303.94" u="1"/>
        <n v="534.20000000000005" u="1"/>
        <n v="790.32" u="1"/>
        <n v="525.15" u="1"/>
        <n v="131.5" u="1"/>
        <n v="4512.8999999999996" u="1"/>
        <n v="1132.82" u="1"/>
        <n v="18702.88" u="1"/>
        <n v="19764.045399999999" u="1"/>
        <n v="1921.77" u="1"/>
        <n v="804.96" u="1"/>
        <n v="650.88" u="1"/>
        <n v="2058.462" u="1"/>
        <n v="34176.559999999998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0000000002" u="1"/>
        <n v="1162.6500000000001" u="1"/>
        <n v="2161.04" u="1"/>
        <n v="548.35199999999998" u="1"/>
        <n v="702.91200000000003" u="1"/>
        <n v="1524.992" u="1"/>
        <n v="606.28" u="1"/>
        <n v="514.28" u="1"/>
        <n v="2406.8000000000002" u="1"/>
        <n v="198.93" u="1"/>
        <n v="547.23199999999997" u="1"/>
        <n v="194.65600000000001" u="1"/>
        <n v="1606.1130000000001" u="1"/>
        <n v="568.35990000000004" u="1"/>
        <n v="1280.43" u="1"/>
        <n v="566.4" u="1"/>
        <n v="2890.5504000000001" u="1"/>
        <n v="527.79" u="1"/>
        <n v="204.45599999999999" u="1"/>
        <n v="724.78399999999999" u="1"/>
        <n v="264.23039999999997" u="1"/>
        <n v="594.21600000000001" u="1"/>
        <n v="694.25850000000003" u="1"/>
        <n v="2496.0749999999998" u="1"/>
        <n v="1428.99" u="1"/>
        <n v="2307.5003999999999" u="1"/>
        <n v="696.23199999999997" u="1"/>
        <n v="221.49" u="1"/>
        <n v="4195.54" u="1"/>
        <n v="2649.54" u="1"/>
        <n v="585.27840000000003" u="1"/>
        <n v="601.74239999999998" u="1"/>
        <n v="901.56" u="1"/>
        <n v="407.74720000000002" u="1"/>
        <n v="265.22719999999998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79999999999995" u="1"/>
        <n v="862.44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0000000000005" u="1"/>
        <n v="2406.6558" u="1"/>
        <n v="1485.9280000000001" u="1"/>
        <n v="670.56659999999999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099999999997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3999999999" u="1"/>
        <n v="3045.94" u="1"/>
        <n v="6212.74" u="1"/>
        <n v="50821.03" u="1"/>
        <n v="6874.64" u="1"/>
        <n v="710.58" u="1"/>
        <n v="1581.38" u="1"/>
        <n v="563.20000000000005" u="1"/>
        <n v="1224" u="1"/>
        <n v="2258.6729999999998" u="1"/>
        <n v="2606" u="1"/>
        <n v="258.55" u="1"/>
        <n v="264.10000000000002" u="1"/>
        <n v="528.20000000000005" u="1"/>
        <n v="215.28" u="1"/>
        <n v="4133.5200000000004" u="1"/>
        <n v="1349.24" u="1"/>
        <n v="345.8" u="1"/>
        <n v="1299.04" u="1"/>
        <n v="1054.8900000000001" u="1"/>
        <n v="982.61" u="1"/>
        <n v="1698.0319999999999" u="1"/>
        <n v="1022.1792" u="1"/>
        <n v="1124.8800000000001" u="1"/>
        <n v="774" u="1"/>
        <n v="2079.83" u="1"/>
        <n v="3480.8" u="1"/>
        <n v="1091.58" u="1"/>
        <n v="2719.78" u="1"/>
        <n v="17610" u="1"/>
        <n v="2269.2321000000002" u="1"/>
        <n v="395.30399999999997" u="1"/>
        <n v="1637.8879999999999" u="1"/>
        <n v="990.36" u="1"/>
        <n v="537.52" u="1"/>
        <n v="275.2" u="1"/>
        <n v="2019.66" u="1"/>
        <n v="850.34" u="1"/>
        <n v="505.89" u="1"/>
        <n v="521.38" u="1"/>
        <n v="630.42999999999995" u="1"/>
        <n v="1711.82" u="1"/>
        <n v="2227.84" u="1"/>
        <n v="219.39" u="1"/>
        <n v="1247.94" u="1"/>
        <n v="539.62" u="1"/>
        <n v="159.45500000000001" u="1"/>
        <n v="265.66660000000002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69999999997" u="1"/>
        <n v="1674.55" u="1"/>
        <n v="219.56" u="1"/>
        <n v="439.81" u="1"/>
        <n v="730.56" u="1"/>
        <n v="458.07" u="1"/>
        <n v="4374" u="1"/>
        <n v="331.58" u="1"/>
        <n v="322.16000000000003" u="1"/>
        <n v="211.22" u="1"/>
        <n v="650.70000000000005" u="1"/>
        <n v="768.21" u="1"/>
        <n v="1167.93" u="1"/>
        <n v="1493.5" u="1"/>
        <n v="4036.3" u="1"/>
        <n v="15492.45" u="1"/>
        <n v="1256.52" u="1"/>
        <n v="357.39" u="1"/>
        <n v="1874.5440000000001" u="1"/>
        <n v="50.97" u="1"/>
        <n v="410.75" u="1"/>
        <n v="188.78" u="1"/>
        <n v="1472.7439999999999" u="1"/>
        <n v="232.57919999999999" u="1"/>
        <n v="66.989999999999995" u="1"/>
        <n v="359.29599999999999" u="1"/>
        <n v="41.41" u="1"/>
        <n v="250.78" u="1"/>
        <n v="180.05500000000001" u="1"/>
        <n v="1717.87" u="1"/>
        <n v="204.25" u="1"/>
        <n v="7419.9840000000004" u="1"/>
        <n v="659.22" u="1"/>
        <n v="588.38" u="1"/>
        <n v="621.27" u="1"/>
        <n v="426.98009999999999" u="1"/>
        <n v="863.18" u="1"/>
        <n v="1547.39" u="1"/>
        <n v="1085.5039999999999" u="1"/>
        <n v="751" u="1"/>
        <n v="186.91" u="1"/>
        <n v="621.096" u="1"/>
        <n v="466.33440000000002" u="1"/>
        <n v="670.07360000000006" u="1"/>
        <n v="290.34660000000002" u="1"/>
        <n v="3748.41" u="1"/>
        <n v="795.2" u="1"/>
        <n v="1066.8599999999999" u="1"/>
        <n v="1271.8900000000001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00000000002" u="1"/>
        <n v="517.89" u="1"/>
        <n v="959.67" u="1"/>
        <n v="987.79" u="1"/>
        <n v="4170.8500000000004" u="1"/>
        <n v="3732.88" u="1"/>
        <n v="4527.5626000000002" u="1"/>
        <n v="1239.5899999999999" u="1"/>
        <n v="2267" u="1"/>
        <n v="1634.87" u="1"/>
        <n v="1152.79" u="1"/>
        <n v="9113.02" u="1"/>
        <n v="1627.01" u="1"/>
        <n v="1104.67" u="1"/>
        <n v="3396.6039999999998" u="1"/>
        <n v="3173.6480000000001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719.32" u="1"/>
        <n v="1980" u="1"/>
        <n v="344.25" u="1"/>
        <n v="1848.04" u="1"/>
        <n v="93.41" u="1"/>
        <n v="767.47500000000002" u="1"/>
        <n v="420.69" u="1"/>
        <n v="522.14400000000001" u="1"/>
        <n v="1735.232" u="1"/>
        <n v="227.39" u="1"/>
        <n v="325" u="1"/>
        <n v="27970.86" u="1"/>
        <n v="1425.53" u="1"/>
        <n v="2727.77" u="1"/>
        <n v="902.09" u="1"/>
        <n v="730.43" u="1"/>
        <n v="4607.2647999999999" u="1"/>
        <n v="2339.56" u="1"/>
        <n v="1321.8194000000001" u="1"/>
        <n v="673.95" u="1"/>
        <n v="345" u="1"/>
        <n v="2974.65" u="1"/>
        <n v="452.1" u="1"/>
        <n v="373.63" u="1"/>
        <n v="2454.7399999999998" u="1"/>
        <n v="2801.6765" u="1"/>
        <n v="2421.79" u="1"/>
        <n v="1335.6369999999999" u="1"/>
        <n v="1172.8570999999999" u="1"/>
        <n v="721.995" u="1"/>
        <n v="1134" u="1"/>
        <n v="252.07" u="1"/>
        <n v="584.92039999999997" u="1"/>
        <n v="871.11" u="1"/>
        <n v="693.6" u="1"/>
        <n v="931.32510000000002" u="1"/>
        <n v="1488.56" u="1"/>
        <n v="426.5" u="1"/>
        <n v="242.16" u="1"/>
        <n v="909.8" u="1"/>
        <n v="462.73" u="1"/>
        <n v="568.16" u="1"/>
        <n v="165.18" u="1"/>
        <n v="128.32" u="1"/>
        <n v="593.79999999999995" u="1"/>
        <n v="99.6" u="1"/>
        <n v="102.15" u="1"/>
        <n v="626.5" u="1"/>
        <n v="158.54" u="1"/>
        <n v="106.25" u="1"/>
        <n v="154.41" u="1"/>
        <n v="75.819999999999993" u="1"/>
        <n v="86.62" u="1"/>
        <n v="94.92" u="1"/>
        <n v="20.87" u="1"/>
        <n v="76.599999999999994" u="1"/>
        <n v="80.53" u="1"/>
        <n v="157.44" u="1"/>
        <n v="55.74" u="1"/>
        <n v="207.35" u="1"/>
        <n v="78" u="1"/>
        <n v="115.2" u="1"/>
        <n v="65.569999999999993" u="1"/>
        <n v="244.99" u="1"/>
        <n v="95.67" u="1"/>
        <n v="136.9" u="1"/>
        <n v="126.37" u="1"/>
        <n v="92.43" u="1"/>
        <n v="7600.02" u="1"/>
        <n v="375.04" u="1"/>
        <n v="936.8" u="1"/>
        <n v="828.9" u="1"/>
        <n v="264.91000000000003" u="1"/>
        <n v="1289.07" u="1"/>
        <n v="231.1" u="1"/>
        <n v="3070.02" u="1"/>
        <n v="977.06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199999999995" u="1"/>
        <n v="227.15100000000001" u="1"/>
        <n v="19.86" u="1"/>
        <n v="35620.385000000002" u="1"/>
        <n v="457.68" u="1"/>
        <n v="1584.92" u="1"/>
        <n v="942.48" u="1"/>
        <n v="1877.82" u="1"/>
        <n v="1146.9000000000001" u="1"/>
        <n v="487.44" u="1"/>
        <n v="1875.37" u="1"/>
        <n v="552.35" u="1"/>
        <n v="767.12" u="1"/>
        <n v="66.680000000000007" u="1"/>
        <n v="426.56" u="1"/>
        <n v="2106.3200000000002" u="1"/>
        <n v="2192.8000000000002" u="1"/>
        <n v="783.12" u="1"/>
        <n v="188.72" u="1"/>
        <n v="1074.4000000000001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000000000001" u="1"/>
        <n v="1214.94" u="1"/>
        <n v="3540.87" u="1"/>
        <n v="1706.8828000000001" u="1"/>
        <n v="1296.1500000000001" u="1"/>
        <n v="3105" u="1"/>
        <n v="400.29" u="1"/>
        <n v="1362.09" u="1"/>
        <n v="702.79" u="1"/>
        <n v="35076.339999999997" u="1"/>
        <n v="1027.3800000000001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0000000001" u="1"/>
        <n v="226.79" u="1"/>
        <n v="644.64" u="1"/>
        <n v="772.2" u="1"/>
        <n v="5977.29" u="1"/>
        <n v="9002.69" u="1"/>
        <n v="739.4452" u="1"/>
        <n v="275.02999999999997" u="1"/>
        <n v="212" u="1"/>
        <n v="1365.34" u="1"/>
        <n v="1142.624" u="1"/>
        <n v="795.29" u="1"/>
        <n v="955.13599999999997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07" u="1"/>
        <n v="670.72" u="1"/>
        <n v="715.08" u="1"/>
        <n v="560.51199999999994" u="1"/>
        <n v="420.23520000000002" u="1"/>
        <n v="567.77279999999996" u="1"/>
        <n v="1590.32" u="1"/>
        <n v="424.25" u="1"/>
        <n v="1122" u="1"/>
        <n v="2069.06" u="1"/>
        <n v="1005.56" u="1"/>
        <n v="330.27" u="1"/>
        <n v="283.29000000000002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" u="1"/>
        <n v="13161.35" u="1"/>
        <n v="954.79" u="1"/>
        <n v="1488.18" u="1"/>
        <n v="1631.09" u="1"/>
        <n v="3680.8" u="1"/>
        <n v="2242.1799999999998" u="1"/>
        <n v="656.9" u="1"/>
        <n v="863.04" u="1"/>
        <n v="1774.89" u="1"/>
        <n v="2578.8000000000002" u="1"/>
        <n v="858.42" u="1"/>
        <n v="1848.23" u="1"/>
        <n v="609.79999999999995" u="1"/>
        <n v="406.8" u="1"/>
        <n v="609.9" u="1"/>
        <n v="1654.78" u="1"/>
        <n v="1376.78" u="1"/>
        <n v="1816.5" u="1"/>
        <n v="2076.5100000000002" u="1"/>
        <n v="1716.17" u="1"/>
        <n v="654.52" u="1"/>
        <n v="823.9" u="1"/>
        <n v="500.8" u="1"/>
        <n v="3289.46" u="1"/>
        <n v="263.61" u="1"/>
        <n v="657.81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09999999996" u="1"/>
        <n v="323.13339999999999" u="1"/>
        <n v="1276.9792" u="1"/>
        <n v="1008.44" u="1"/>
        <n v="833.64" u="1"/>
        <n v="2136.4299999999998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0000000001" u="1"/>
        <n v="244.56" u="1"/>
        <n v="617.87" u="1"/>
        <n v="1255.1300000000001" u="1"/>
        <n v="572.05999999999995" u="1"/>
        <n v="1155.3399999999999" u="1"/>
        <n v="1155.3599999999999" u="1"/>
        <n v="929.7" u="1"/>
        <n v="929.71" u="1"/>
        <n v="3354.59" u="1"/>
        <n v="2321.8000000000002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0000000001" u="1"/>
        <n v="684.88" u="1"/>
        <n v="207.67" u="1"/>
        <n v="1413.9398000000001" u="1"/>
        <n v="140.44" u="1"/>
        <n v="168.89" u="1"/>
        <n v="468.94" u="1"/>
        <n v="75.180000000000007" u="1"/>
        <n v="160.76" u="1"/>
        <n v="74.849999999999994" u="1"/>
        <n v="44.59" u="1"/>
        <n v="72.8" u="1"/>
        <n v="718.82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0000000003" u="1"/>
        <n v="1472.0160000000001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000000001" u="1"/>
        <n v="5294.8" u="1"/>
        <n v="5363.3670000000002" u="1"/>
        <n v="6325.69" u="1"/>
        <n v="278.89999999999998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07" u="1"/>
        <n v="974.06" u="1"/>
        <n v="985.16" u="1"/>
        <n v="1165.33" u="1"/>
        <n v="861.84" u="1"/>
        <n v="766.75199999999995" u="1"/>
        <n v="563.5499999999999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5" u="1"/>
        <n v="588.81989999999996" u="1"/>
        <n v="718.63679999999999" u="1"/>
        <n v="189.64" u="1"/>
        <n v="164.59" u="1"/>
        <n v="2331.7199999999998" u="1"/>
        <n v="97.92" u="1"/>
        <n v="70.59" u="1"/>
        <n v="355.572" u="1"/>
        <n v="1830" u="1"/>
        <n v="480.22980000000001" u="1"/>
        <n v="1016.4" u="1"/>
        <n v="139.24" u="1"/>
        <n v="143.47999999999999" u="1"/>
        <n v="303.86" u="1"/>
        <n v="311.27999999999997" u="1"/>
        <n v="183.43" u="1"/>
        <n v="185.26" u="1"/>
        <n v="945.33600000000001" u="1"/>
        <n v="196.672" u="1"/>
        <n v="502.42500000000001" u="1"/>
        <n v="156.21" u="1"/>
        <n v="613.32000000000005" u="1"/>
        <n v="2124" u="1"/>
        <n v="2732.96" u="1"/>
        <n v="424.8" u="1"/>
        <n v="597.83010000000002" u="1"/>
        <n v="217.67500000000001" u="1"/>
        <n v="5475.2510000000002" u="1"/>
        <n v="284.65339999999998" u="1"/>
        <n v="1449.57" u="1"/>
        <n v="7672.9380000000001" u="1"/>
        <n v="886.3116" u="1"/>
        <n v="730.15" u="1"/>
        <n v="631.39" u="1"/>
        <n v="752.81920000000002" u="1"/>
        <n v="814.29600000000005" u="1"/>
        <n v="718.36800000000005" u="1"/>
        <n v="790.47199999999998" u="1"/>
        <n v="618.20640000000003" u="1"/>
        <n v="429.8" u="1"/>
        <n v="851.45" u="1"/>
        <n v="390.18" u="1"/>
        <n v="798.81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599999999997" u="1"/>
        <n v="5157.7700000000004" u="1"/>
        <n v="598.41" u="1"/>
        <n v="455" u="1"/>
        <n v="1257.3430000000001" u="1"/>
        <n v="1713" u="1"/>
        <n v="23047.56" u="1"/>
        <n v="175.99" u="1"/>
        <n v="227.32" u="1"/>
        <n v="616.16" u="1"/>
        <n v="2266.7399999999998" u="1"/>
        <n v="411.74" u="1"/>
        <n v="1086.8900000000001" u="1"/>
        <n v="3239.2559999999999" u="1"/>
        <n v="424" u="1"/>
        <n v="3257.75" u="1"/>
        <n v="135.55000000000001" u="1"/>
        <n v="41.36" u="1"/>
        <n v="3220.02" u="1"/>
        <n v="2997.28" u="1"/>
        <n v="2992.08" u="1"/>
        <n v="2174.8337999999999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0000000002" u="1"/>
        <n v="1139.8399999999999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7999999999999" u="1"/>
        <n v="80.069999999999993" u="1"/>
        <n v="42.8" u="1"/>
        <n v="89.99" u="1"/>
        <n v="86.99" u="1"/>
        <n v="44.48" u="1"/>
        <n v="41.96" u="1"/>
        <n v="91.5" u="1"/>
        <n v="97.75" u="1"/>
        <n v="214.03200000000001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39999999996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5" u="1"/>
        <n v="1396.56" u="1"/>
        <n v="1034" u="1"/>
        <n v="347.25" u="1"/>
        <n v="108.61" u="1"/>
        <n v="138.06" u="1"/>
        <n v="1045.3399999999999" u="1"/>
        <n v="856.16" u="1"/>
        <n v="1278.4000000000001" u="1"/>
        <n v="2679.9" u="1"/>
        <n v="1520.68" u="1"/>
        <n v="5367.8861999999999" u="1"/>
        <n v="2303.3719999999998" u="1"/>
        <n v="613.67999999999995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" u="1"/>
        <n v="81.180000000000007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09999999999" u="1"/>
        <n v="12083.57" u="1"/>
        <n v="5008.6000000000004" u="1"/>
        <n v="195.3" u="1"/>
        <n v="457.94" u="1"/>
        <n v="1323.74" u="1"/>
        <n v="216.84" u="1"/>
        <n v="481.34" u="1"/>
        <n v="297.14" u="1"/>
        <n v="297.25" u="1"/>
        <n v="80.739999999999995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7999999999999" u="1"/>
        <n v="364.6" u="1"/>
        <n v="195.47" u="1"/>
        <n v="82.58" u="1"/>
        <n v="197.07" u="1"/>
        <n v="198.02" u="1"/>
        <n v="443.32" u="1"/>
        <n v="735.24" u="1"/>
        <n v="635.26859999999999" u="1"/>
        <n v="1201.48" u="1"/>
        <n v="839" u="1"/>
        <n v="91.82" u="1"/>
        <n v="84.98" u="1"/>
        <n v="80.55" u="1"/>
        <n v="73.41" u="1"/>
        <n v="85.99" u="1"/>
        <n v="58.56" u="1"/>
        <n v="76.14" u="1"/>
        <n v="80.430000000000007" u="1"/>
        <n v="41.25" u="1"/>
        <n v="152.88" u="1"/>
        <n v="88.95" u="1"/>
        <n v="39.340000000000003" u="1"/>
        <n v="76.05" u="1"/>
        <n v="94.99" u="1"/>
        <n v="99.99" u="1"/>
        <n v="94.74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05" u="1"/>
        <n v="98.99" u="1"/>
        <n v="58.64" u="1"/>
        <n v="45.51" u="1"/>
        <n v="82.49" u="1"/>
        <n v="95.8" u="1"/>
        <n v="91.99" u="1"/>
        <n v="75.900000000000006" u="1"/>
        <n v="77.400000000000006" u="1"/>
        <n v="37.409999999999997" u="1"/>
        <n v="110.97" u="1"/>
        <n v="78.42" u="1"/>
        <n v="34.450000000000003" u="1"/>
        <n v="93.03" u="1"/>
        <n v="349.99" u="1"/>
        <n v="104.76" u="1"/>
        <n v="143.11000000000001" u="1"/>
        <n v="39.799999999999997" u="1"/>
        <n v="88.52" u="1"/>
        <n v="88.34" u="1"/>
        <n v="89.43" u="1"/>
        <n v="107.53" u="1"/>
        <n v="869.25" u="1"/>
        <n v="59" u="1"/>
        <n v="59.12" u="1"/>
        <n v="272.08999999999997" u="1"/>
        <n v="700.35" u="1"/>
        <n v="461.19" u="1"/>
        <n v="2830.98" u="1"/>
        <n v="780.16459999999995" u="1"/>
        <n v="6440" u="1"/>
        <n v="25.61" u="1"/>
        <n v="133.11000000000001" u="1"/>
        <n v="1178.6199999999999" u="1"/>
        <n v="189.55" u="1"/>
        <n v="208.82" u="1"/>
        <n v="1528.1365000000001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00000000005" u="1"/>
        <n v="132.49" u="1"/>
        <n v="1361.6" u="1"/>
        <n v="1053.9000000000001" u="1"/>
        <n v="1395.85" u="1"/>
        <n v="2128.08" u="1"/>
        <n v="957.56" u="1"/>
        <n v="366.23" u="1"/>
        <n v="622.4" u="1"/>
        <n v="3058.63" u="1"/>
        <n v="1165.46" u="1"/>
        <n v="835.72" u="1"/>
        <n v="1045" u="1"/>
        <n v="1672" u="1"/>
        <n v="226.01499999999999" u="1"/>
        <n v="2967.28" u="1"/>
        <n v="3274.24" u="1"/>
        <n v="1463" u="1"/>
        <n v="731.96" u="1"/>
        <n v="1790.61" u="1"/>
        <n v="1250.3599999999999" u="1"/>
        <n v="4164.57" u="1"/>
        <n v="23840.87" u="1"/>
        <n v="1448.9" u="1"/>
        <n v="492" u="1"/>
        <n v="574.5376" u="1"/>
        <n v="2140.1632" u="1"/>
        <n v="370.10399999999998" u="1"/>
        <n v="6113.65" u="1"/>
        <n v="2124.63" u="1"/>
        <n v="2123.5500000000002" u="1"/>
        <n v="273.26" u="1"/>
        <n v="2098.14" u="1"/>
        <n v="549.94000000000005" u="1"/>
        <n v="920.04" u="1"/>
        <n v="1966.5" u="1"/>
        <n v="100.72" u="1"/>
        <n v="518.46" u="1"/>
        <n v="2134.6799999999998" u="1"/>
        <n v="2501.4" u="1"/>
        <n v="691.29" u="1"/>
        <n v="402.88" u="1"/>
        <n v="2666.8020000000001" u="1"/>
        <n v="5067.49" u="1"/>
        <n v="23689.03" u="1"/>
        <n v="102.31" u="1"/>
        <n v="2624.58" u="1"/>
        <n v="1230.0999999999999" u="1"/>
        <n v="886.48739999999998" u="1"/>
        <n v="3463.08" u="1"/>
        <n v="1265.02" u="1"/>
        <n v="2633.4" u="1"/>
        <n v="291" u="1"/>
        <n v="1383.86" u="1"/>
        <n v="2012.864" u="1"/>
        <n v="178.49440000000001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447.81" u="1"/>
        <n v="458" u="1"/>
        <n v="458.32" u="1"/>
        <n v="213.215" u="1"/>
        <n v="552.61500000000001" u="1"/>
        <n v="205" u="1"/>
        <n v="215.19" u="1"/>
        <n v="497.49990000000003" u="1"/>
        <n v="335.53339999999997" u="1"/>
        <n v="390.83" u="1"/>
        <n v="211.42240000000001" u="1"/>
        <n v="700.86239999999998" u="1"/>
        <n v="680.23500000000001" u="1"/>
        <n v="643.73119999999994" u="1"/>
        <n v="498.13119999999998" u="1"/>
        <n v="648.12159999999994" u="1"/>
        <n v="499.36320000000001" u="1"/>
        <n v="1370.96" u="1"/>
        <n v="1524.54" u="1"/>
        <n v="1144.82" u="1"/>
        <n v="3282.3" u="1"/>
        <n v="5989.2" u="1"/>
        <n v="22379.38" u="1"/>
        <n v="1605.89" u="1"/>
        <n v="320.39999999999998" u="1"/>
        <n v="164.48" u="1"/>
        <n v="1509.04" u="1"/>
        <n v="1382.42" u="1"/>
        <n v="13.5" u="1"/>
        <n v="351.36" u="1"/>
        <n v="141.16" u="1"/>
        <n v="3421.41" u="1"/>
        <n v="743.22" u="1"/>
        <n v="1192.8900000000001" u="1"/>
        <n v="1207.8900000000001" u="1"/>
        <n v="1130.1600000000001" u="1"/>
        <n v="2482.9499999999998" u="1"/>
        <n v="724.14" u="1"/>
        <n v="125.6" u="1"/>
        <n v="583.29" u="1"/>
        <n v="835.2" u="1"/>
        <n v="147.31" u="1"/>
        <n v="1505.53" u="1"/>
        <n v="621.33000000000004" u="1"/>
        <n v="507.6" u="1"/>
        <n v="21663.18" u="1"/>
        <n v="280.54000000000002" u="1"/>
        <n v="194.43" u="1"/>
        <n v="9844.98" u="1"/>
        <n v="43720.38" u="1"/>
        <n v="4845.1099999999997" u="1"/>
        <n v="13850.1" u="1"/>
        <n v="7848.39" u="1"/>
        <n v="295.63" u="1"/>
        <n v="22628.54" u="1"/>
        <n v="619.02" u="1"/>
        <n v="3064.21" u="1"/>
        <n v="1499.07" u="1"/>
        <n v="3024.6" u="1"/>
        <n v="549.20000000000005" u="1"/>
        <n v="2014.27" u="1"/>
        <n v="4685.68" u="1"/>
        <n v="994.43430000000001" u="1"/>
        <n v="974.97" u="1"/>
        <n v="1517.895" u="1"/>
        <n v="762.49599999999998" u="1"/>
        <n v="1361.52" u="1"/>
        <n v="11067" u="1"/>
        <n v="1585.75" u="1"/>
        <n v="2195.7800000000002" u="1"/>
        <n v="1686.24" u="1"/>
        <n v="565.83000000000004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0999999999" u="1"/>
        <n v="1548.2061000000001" u="1"/>
        <n v="779.35249999999996" u="1"/>
        <n v="1483.1247000000001" u="1"/>
        <n v="1369.05" u="1"/>
        <n v="3899.22" u="1"/>
        <n v="161.30000000000001" u="1"/>
        <n v="3122.8" u="1"/>
        <n v="1056.98" u="1"/>
        <n v="1546.9" u="1"/>
        <n v="1835.68" u="1"/>
        <n v="151.53" u="1"/>
        <n v="843.18" u="1"/>
        <n v="471.55439999999999" u="1"/>
        <n v="2621.87" u="1"/>
        <n v="265.89999999999998" u="1"/>
        <n v="1009.51" u="1"/>
        <n v="2197.34" u="1"/>
        <n v="172.99" u="1"/>
        <n v="1828.1953000000001" u="1"/>
        <n v="919.69" u="1"/>
        <n v="1706.5591999999999" u="1"/>
        <n v="1760.7357" u="1"/>
        <n v="4473.6099999999997" u="1"/>
        <n v="17237.52" u="1"/>
        <n v="4953.7" u="1"/>
        <n v="12518.08" u="1"/>
        <n v="981.38879999999995" u="1"/>
        <n v="784" u="1"/>
        <n v="21120.518" u="1"/>
        <n v="35076.348700000002" u="1"/>
        <n v="3992.27" u="1"/>
        <n v="1575" u="1"/>
        <n v="455.7" u="1"/>
        <n v="1255" u="1"/>
        <n v="3556" u="1"/>
        <n v="2528.9899999999998" u="1"/>
        <n v="1241.8" u="1"/>
        <n v="1953" u="1"/>
        <n v="1243.8" u="1"/>
        <n v="600.55999999999995" u="1"/>
        <n v="435.8" u="1"/>
        <n v="824.68" u="1"/>
        <n v="3508.9423999999999" u="1"/>
        <n v="2228.1383999999998" u="1"/>
        <n v="1951.5715" u="1"/>
        <n v="860.09519999999998" u="1"/>
        <n v="1070.4785999999999" u="1"/>
        <n v="202" u="1"/>
        <n v="1797" u="1"/>
        <n v="1878.6015" u="1"/>
        <n v="4142.9799999999996" u="1"/>
        <n v="381.67160000000001" u="1"/>
        <n v="332.58" u="1"/>
        <n v="2869.6714999999999" u="1"/>
        <n v="1460.8508999999999" u="1"/>
        <n v="2225.52" u="1"/>
        <n v="724.17" u="1"/>
        <n v="2792.35" u="1"/>
        <n v="6.14" u="1"/>
        <n v="76" u="1"/>
        <n v="504.94" u="1"/>
        <n v="2016" u="1"/>
        <n v="3437.64" u="1"/>
        <n v="1251.3956000000001" u="1"/>
        <n v="1346.43" u="1"/>
        <n v="900.8" u="1"/>
        <n v="3753.8" u="1"/>
        <n v="3295.74" u="1"/>
        <n v="2820.07" u="1"/>
        <n v="3182.49" u="1"/>
        <n v="4127.3100000000004" u="1"/>
        <n v="2840.1469999999999" u="1"/>
        <n v="3425.99" u="1"/>
        <n v="12996.12" u="1"/>
        <n v="22385.040000000001" u="1"/>
        <n v="3548.2116000000001" u="1"/>
        <n v="2478.4870999999998" u="1"/>
        <n v="1106.8" u="1"/>
        <n v="3332.93" u="1"/>
        <n v="2298.7199999999998" u="1"/>
        <n v="436.49" u="1"/>
        <n v="795" u="1"/>
        <n v="1439.53" u="1"/>
        <n v="855.40499999999997" u="1"/>
        <n v="417.42399999999998" u="1"/>
        <n v="421.00799999999998" u="1"/>
        <n v="2186.54" u="1"/>
        <n v="8195.1299999999992" u="1"/>
        <n v="380.56" u="1"/>
        <n v="2356.31" u="1"/>
        <n v="652.95000000000005" u="1"/>
        <n v="624.37" u="1"/>
        <n v="970.2" u="1"/>
        <n v="9850.44" u="1"/>
        <n v="400.1" u="1"/>
        <n v="1982.75" u="1"/>
        <n v="944.48" u="1"/>
        <n v="1013.2" u="1"/>
        <n v="3567.31" u="1"/>
        <n v="341.24250000000001" u="1"/>
        <n v="100.42" u="1"/>
        <n v="587.94989999999996" u="1"/>
        <n v="521.57280000000003" u="1"/>
        <n v="616.69439999999997" u="1"/>
        <n v="1428.46" u="1"/>
        <n v="574.55999999999995" u="1"/>
        <n v="1956.65" u="1"/>
        <n v="3901.77" u="1"/>
        <n v="20312.71" u="1"/>
        <n v="2495.61" u="1"/>
        <n v="2262.6999999999998" u="1"/>
        <n v="316.89999999999998" u="1"/>
        <n v="1756.9" u="1"/>
        <n v="468.72" u="1"/>
        <n v="573.6" u="1"/>
        <n v="348.15" u="1"/>
        <n v="390.95" u="1"/>
        <n v="1214.9000000000001" u="1"/>
        <n v="7875.32" u="1"/>
        <n v="7387.49" u="1"/>
        <n v="848.82" u="1"/>
        <n v="489.92" u="1"/>
        <n v="14864.08" u="1"/>
        <n v="388.88" u="1"/>
        <n v="2571.9699999999998" u="1"/>
        <n v="3801.68" u="1"/>
        <n v="3530.3850000000002" u="1"/>
        <n v="1914.3" u="1"/>
        <n v="2250" u="1"/>
        <n v="1800.0640000000001" u="1"/>
        <n v="1039.6400000000001" u="1"/>
        <n v="674.8" u="1"/>
        <n v="13279.27" u="1"/>
        <n v="963" u="1"/>
        <n v="29417.85" u="1"/>
        <n v="9033.36" u="1"/>
        <n v="366.48" u="1"/>
        <n v="990.32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000000000004" u="1"/>
        <n v="395.31" u="1"/>
        <n v="2054.7800000000002" u="1"/>
        <n v="2700.8" u="1"/>
        <n v="2301.4699999999998" u="1"/>
        <n v="98.43" u="1"/>
        <n v="130.29" u="1"/>
        <n v="404.18" u="1"/>
        <n v="3787.91" u="1"/>
        <n v="4832.6954999999998" u="1"/>
        <n v="1381.67" u="1"/>
        <n v="1654" u="1"/>
        <n v="1697.34" u="1"/>
        <n v="4582.26" u="1"/>
        <n v="7003.32" u="1"/>
        <n v="1061.0237999999999" u="1"/>
        <n v="7310.76" u="1"/>
        <n v="892" u="1"/>
        <n v="1177.6128000000001" u="1"/>
        <n v="1374.48" u="1"/>
        <n v="937" u="1"/>
        <n v="1256.8499999999999" u="1"/>
        <n v="402.9" u="1"/>
        <n v="2813.74" u="1"/>
        <n v="2734.3463000000002" u="1"/>
        <n v="4628.6000000000004" u="1"/>
        <n v="568.52" u="1"/>
        <n v="2656.35" u="1"/>
        <n v="1138.04" u="1"/>
        <n v="728.65" u="1"/>
        <n v="2047.4" u="1"/>
        <n v="6656" u="1"/>
        <n v="5712.5249999999996" u="1"/>
        <n v="3607.4560000000001" u="1"/>
        <n v="3967.95" u="1"/>
        <n v="3159.45" u="1"/>
        <n v="1937.7824000000001" u="1"/>
        <n v="1388.9829" u="1"/>
        <n v="316.73" u="1"/>
        <n v="408.91199999999998" u="1"/>
        <n v="1062.6559999999999" u="1"/>
        <n v="596.48009999999999" u="1"/>
        <n v="414.84800000000001" u="1"/>
        <n v="351.56799999999998" u="1"/>
        <n v="499.98" u="1"/>
        <n v="311.12" u="1"/>
        <n v="850.77" u="1"/>
        <n v="141.58000000000001" u="1"/>
        <n v="21335.88" u="1"/>
        <n v="2135.88" u="1"/>
        <n v="125.69" u="1"/>
        <n v="684.43200000000002" u="1"/>
        <n v="992.32" u="1"/>
        <n v="194.6112" u="1"/>
        <n v="1966.41" u="1"/>
        <n v="250.92" u="1"/>
        <n v="1437" u="1"/>
        <n v="3204.4" u="1"/>
        <n v="157.304" u="1"/>
        <n v="214.8" u="1"/>
        <n v="465.95249999999999" u="1"/>
        <n v="405.2466" u="1"/>
        <n v="439.7799" u="1"/>
        <n v="611.96799999999996" u="1"/>
        <n v="1383.7760000000001" u="1"/>
        <n v="167.34" u="1"/>
        <n v="569.29" u="1"/>
        <n v="2162.19" u="1"/>
        <n v="611.16750000000002" u="1"/>
        <n v="410.07" u="1"/>
        <n v="282.35199999999998" u="1"/>
        <n v="337.76" u="1"/>
        <n v="183.45" u="1"/>
        <n v="807.9" u="1"/>
        <n v="1125.8" u="1"/>
        <n v="886.24" u="1"/>
        <n v="4901.08" u="1"/>
        <n v="578.98" u="1"/>
        <n v="1199" u="1"/>
        <n v="617.04999999999995" u="1"/>
        <n v="2387.4699999999998" u="1"/>
        <n v="1752.7" u="1"/>
        <n v="539.85" u="1"/>
        <n v="1516.01" u="1"/>
        <n v="3689.69" u="1"/>
        <n v="1122.0999999999999" u="1"/>
        <n v="501.98" u="1"/>
        <n v="887.27" u="1"/>
        <n v="1818.68" u="1"/>
        <n v="1856" u="1"/>
        <n v="1176.9100000000001" u="1"/>
        <n v="1155.93" u="1"/>
        <n v="860.78" u="1"/>
        <n v="2352.7199999999998" u="1"/>
        <n v="250.97" u="1"/>
        <n v="1073.25" u="1"/>
        <n v="1015.12" u="1"/>
        <n v="684.16660000000002" u="1"/>
        <n v="4299.1400000000003" u="1"/>
        <n v="193.78" u="1"/>
        <n v="2665.35" u="1"/>
        <n v="3171.92" u="1"/>
        <n v="629.13" u="1"/>
        <n v="472" u="1"/>
        <n v="1746.34" u="1"/>
        <n v="606.15" u="1"/>
        <n v="1179.9000000000001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00000000001" u="1"/>
        <n v="2862.0540000000001" u="1"/>
        <n v="515.77" u="1"/>
        <n v="937.18" u="1"/>
        <n v="573.78" u="1"/>
        <n v="1017" u="1"/>
        <n v="213.34" u="1"/>
        <n v="3628" u="1"/>
        <n v="1033.1099999999999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69999999997" u="1"/>
        <n v="202.81" u="1"/>
        <n v="10097.84" u="1"/>
        <n v="11145.081200000001" u="1"/>
        <n v="1141.6400000000001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5" u="1"/>
        <n v="167.25" u="1"/>
        <n v="1749.67" u="1"/>
        <n v="1053.5999999999999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7999999998" u="1"/>
        <n v="616.01880000000006" u="1"/>
        <n v="5148" u="1"/>
        <n v="226.01" u="1"/>
        <n v="2857.89" u="1"/>
        <n v="1339.44" u="1"/>
        <n v="1770" u="1"/>
        <n v="9608" u="1"/>
        <n v="4714.8999999999996" u="1"/>
        <n v="4077.7175999999999" u="1"/>
        <n v="592.20000000000005" u="1"/>
        <n v="2748.36" u="1"/>
        <n v="720.52" u="1"/>
        <n v="1902" u="1"/>
        <n v="1855.28" u="1"/>
        <n v="4573.41" u="1"/>
        <n v="6206.3680000000004" u="1"/>
        <n v="10525.156199999999" u="1"/>
        <n v="3483.09" u="1"/>
        <n v="488.55" u="1"/>
        <n v="404.25" u="1"/>
        <n v="1063" u="1"/>
        <n v="401.3" u="1"/>
        <n v="1254" u="1"/>
        <n v="574.91" u="1"/>
        <n v="3104.64" u="1"/>
        <n v="725.45740000000001" u="1"/>
        <n v="849.83" u="1"/>
        <n v="453.24" u="1"/>
        <n v="120.87" u="1"/>
        <n v="4027.05" u="1"/>
        <n v="513.69000000000005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599999999996" u="1"/>
        <n v="304.42" u="1"/>
        <n v="293.8" u="1"/>
        <n v="542.58000000000004" u="1"/>
        <n v="283.60000000000002" u="1"/>
        <n v="378.02" u="1"/>
        <n v="575.17999999999995" u="1"/>
        <n v="643.44000000000005" u="1"/>
        <n v="482.58" u="1"/>
        <n v="755.28" u="1"/>
        <n v="262.14" u="1"/>
        <n v="126.24" u="1"/>
        <n v="3000" u="1"/>
        <n v="107.97" u="1"/>
        <n v="135.69999999999999" u="1"/>
        <n v="404.91739999999999" u="1"/>
        <n v="109.16" u="1"/>
        <n v="157.06" u="1"/>
        <n v="743.32" u="1"/>
        <n v="274.35000000000002" u="1"/>
        <n v="3292.8" u="1"/>
        <n v="770.5" u="1"/>
        <n v="925.68" u="1"/>
        <n v="2769.84" u="1"/>
        <n v="2853.73" u="1"/>
        <n v="232.48" u="1"/>
        <n v="3625.6696999999999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00000000003" u="1"/>
        <n v="964.54399999999998" u="1"/>
        <n v="630.55999999999995" u="1"/>
        <n v="318.5" u="1"/>
        <n v="-113.4" u="1"/>
        <n v="-283.5" u="1"/>
        <n v="-6945.82" u="1"/>
        <n v="-56.7" u="1"/>
        <n v="9.4499999999999993" u="1"/>
        <n v="-396.9" u="1"/>
        <n v="-18.899999999999999" u="1"/>
        <n v="-3591" u="1"/>
        <n v="-226.8" u="1"/>
        <n v="-529.20000000000005" u="1"/>
        <n v="359.16" u="1"/>
        <n v="3719.1" u="1"/>
        <n v="-2721.6" u="1"/>
        <n v="-189" u="1"/>
        <n v="-141.76" u="1"/>
        <n v="-1058.4000000000001" u="1"/>
        <n v="18.899999999999999" u="1"/>
        <n v="-170.1" u="1"/>
        <n v="-1701" u="1"/>
        <n v="-850.5" u="1"/>
        <n v="-198.46" u="1"/>
        <n v="-680.4" u="1"/>
        <n v="1311.03" u="1"/>
        <n v="1340.16" u="1"/>
        <n v="21025.919999999998" u="1"/>
        <n v="12043.647000000001" u="1"/>
        <n v="43133.317600000002" u="1"/>
        <n v="5850.99" u="1"/>
        <n v="6861.57" u="1"/>
        <n v="2548.73" u="1"/>
        <n v="2536.1999999999998" u="1"/>
        <n v="1800.63" u="1"/>
        <n v="2995.2" u="1"/>
        <n v="1094.8399999999999" u="1"/>
        <n v="559.80999999999995" u="1"/>
        <n v="970.38" u="1"/>
        <n v="143.24" u="1"/>
        <n v="5345.39" u="1"/>
        <n v="621.33119999999997" u="1"/>
        <n v="627.71" u="1"/>
        <n v="566.62" u="1"/>
        <n v="29158.560000000001" u="1"/>
        <n v="4854.1899999999996" u="1"/>
        <n v="2279.7199999999998" u="1"/>
        <n v="1760" u="1"/>
        <n v="26643.7" u="1"/>
        <n v="49008.18" u="1"/>
        <n v="4796.3999999999996" u="1"/>
        <n v="12024" u="1"/>
        <n v="643.95000000000005" u="1"/>
        <n v="1192.24" u="1"/>
        <n v="1462.6489999999999" u="1"/>
        <n v="4169.29" u="1"/>
        <n v="3614.0832" u="1"/>
        <n v="1280.25" u="1"/>
        <n v="822.9" u="1"/>
        <n v="2553.0700000000002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0000000003" u="1"/>
        <n v="848.33439999999996" u="1"/>
        <n v="589.76289999999995" u="1"/>
        <n v="1269.8699999999999" u="1"/>
        <n v="751.8" u="1"/>
        <n v="2488.5300000000002" u="1"/>
        <n v="827.4" u="1"/>
        <n v="919.6" u="1"/>
        <n v="336.6" u="1"/>
        <n v="6459.1949999999997" u="1"/>
        <n v="845.48" u="1"/>
        <n v="3934.3110000000001" u="1"/>
        <n v="3316.1777999999999" u="1"/>
        <n v="512.81100000000004" u="1"/>
        <n v="296.36" u="1"/>
        <n v="1908.8534999999999" u="1"/>
        <n v="2714.1044000000002" u="1"/>
        <n v="321.45" u="1"/>
        <n v="405.39" u="1"/>
        <n v="9554.67" u="1"/>
        <n v="443.42" u="1"/>
        <n v="826" u="1"/>
        <n v="30022.080000000002" u="1"/>
        <n v="33813.24" u="1"/>
        <n v="3686.54" u="1"/>
        <n v="29714.58" u="1"/>
        <n v="4864.2" u="1"/>
        <n v="28497.3" u="1"/>
        <n v="4854.53" u="1"/>
        <n v="904.04160000000002" u="1"/>
        <n v="182.81" u="1"/>
        <n v="581.95000000000005" u="1"/>
        <n v="1007.3" u="1"/>
        <n v="1564.82" u="1"/>
        <n v="1922.18" u="1"/>
        <n v="443.61" u="1"/>
        <n v="1428.3" u="1"/>
        <n v="51553.89" u="1"/>
        <n v="12807.44" u="1"/>
        <n v="31401.999199999998" u="1"/>
        <n v="694.43" u="1"/>
        <n v="809.56" u="1"/>
        <n v="1109.28" u="1"/>
        <n v="4324.8999999999996" u="1"/>
        <n v="432.13" u="1"/>
        <n v="1912.145" u="1"/>
        <n v="2564.41" u="1"/>
        <n v="2812.76" u="1"/>
        <n v="2362.2600000000002" u="1"/>
        <n v="5386.9" u="1"/>
        <n v="438.88" u="1"/>
        <n v="799.30970000000002" u="1"/>
        <n v="437.64620000000002" u="1"/>
        <n v="907.62850000000003" u="1"/>
        <n v="16888.14" u="1"/>
        <n v="1897.9021" u="1"/>
        <n v="2007.5046" u="1"/>
        <n v="28994.01" u="1"/>
        <n v="2985.49" u="1"/>
        <n v="1981.2" u="1"/>
        <n v="1857.5154" u="1"/>
      </sharedItems>
    </cacheField>
    <cacheField name="Taxa" numFmtId="0">
      <sharedItems containsString="0" containsBlank="1" containsNumber="1" minValue="0" maxValue="1726.4"/>
    </cacheField>
    <cacheField name="Outras Taxas" numFmtId="0">
      <sharedItems containsString="0" containsBlank="1" containsNumber="1" minValue="0" maxValue="2003.58"/>
    </cacheField>
    <cacheField name="Taxa DU" numFmtId="0">
      <sharedItems containsString="0" containsBlank="1" containsNumber="1" minValue="0" maxValue="208.31"/>
    </cacheField>
    <cacheField name="Taxa BR" numFmtId="0">
      <sharedItems containsString="0" containsBlank="1" containsNumber="1" minValue="0" maxValue="64.650000000000006"/>
    </cacheField>
    <cacheField name="Taxa Extra" numFmtId="0">
      <sharedItems containsString="0" containsBlank="1" containsNumber="1" minValue="0" maxValue="902.5"/>
    </cacheField>
    <cacheField name="Fee" numFmtId="0">
      <sharedItems containsString="0" containsBlank="1" containsNumber="1" minValue="0" maxValue="2568.04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MANUAL"/>
        <s v="ARGO(TMS)"/>
        <s v="WOOBA"/>
        <s v="ZUPPER"/>
        <s v="SABRE"/>
        <s v="KONTRIP"/>
        <s v="GOVER"/>
        <s v="LEMONTECH"/>
        <m/>
        <s v="EBOOKING" u="1"/>
      </sharedItems>
    </cacheField>
    <cacheField name="CAMPO" numFmtId="0">
      <sharedItems containsBlank="1" count="33">
        <s v="Contrato de fornecedor"/>
        <s v="Falta de Fornecedor"/>
        <s v="Canal de venda"/>
        <s v="Bilhete duplicado"/>
        <s v="Falta de informação Gerencial"/>
        <s v="Não identificado"/>
        <s v="Duplicidade de RLOC"/>
        <s v="Mais de um campo não preenchido"/>
        <s v="Matrícula"/>
        <s v="Finalidade"/>
        <s v="Forma de Pagamento indevida"/>
        <s v="Pagamento não permitido para cobrança"/>
        <s v="Centro de custo"/>
        <s v="Conciliação de Cartão"/>
        <s v="Tarifa mínima"/>
        <s v="Tarifa máxima"/>
        <s v="Falta informação nos trechos"/>
        <s v="Bilhete conciliado"/>
        <s v="Empenho/departamento"/>
        <s v="Projeto"/>
        <m/>
        <s v="OS" u="1"/>
        <s v="Nível funcionário" u="1"/>
        <s v="Controle de comissão pós paga" u="1"/>
        <s v="Caractere inválido" u="1"/>
        <s v="Informação de controle" u="1"/>
        <s v="Cadastro enviado errado no Benner" u="1"/>
        <s v="Falha no processo de integração" u="1"/>
        <s v="Contrato de fornecedor/cliente" u="1"/>
        <s v="Bilhete incompleto" u="1"/>
        <s v="Valores da Tarifa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uplicidade de Contabilização"/>
        <s v="Dados Gerenciais"/>
        <s v="Sistema"/>
        <s v="Edição não Permitida"/>
        <m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CORP"/>
        <s v="Suporte KCS"/>
        <s v="INOVENTS"/>
        <s v="Operações - ZUPPER"/>
        <s v="Conciliação aérea"/>
        <s v="Operações - KONTRIP"/>
        <s v="Operações - FCM"/>
        <s v="Central de Emissão"/>
        <s v="Suporte Benner"/>
        <m/>
        <s v="Operações CORP" u="1"/>
      </sharedItems>
    </cacheField>
    <cacheField name="Dias (Data Inclusão)" numFmtId="0" databaseField="0">
      <fieldGroup base="3">
        <rangePr groupBy="days" startDate="2025-01-17T17:44:41" endDate="2025-08-08T06:03:06"/>
        <groupItems count="368">
          <s v="&lt;17/01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8/08/2025"/>
        </groupItems>
      </fieldGroup>
    </cacheField>
    <cacheField name="Meses (Data Inclusão)" numFmtId="0" databaseField="0">
      <fieldGroup base="3">
        <rangePr groupBy="months" startDate="2025-01-17T17:44:41" endDate="2025-08-08T06:03:06"/>
        <groupItems count="14">
          <s v="&lt;17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0">
  <r>
    <n v="22687782"/>
    <n v="23491432"/>
    <s v="ACC01"/>
    <x v="0"/>
    <d v="2025-08-06T08:51:56"/>
    <s v="0 a 02 dias"/>
    <s v="03 a 05 dias"/>
    <s v="5FLEUO"/>
    <s v="MANUAL"/>
    <s v="SERVICO"/>
    <s v="Elaine Cristina Martins"/>
    <s v="Elaine Cristina Martins"/>
    <x v="0"/>
    <s v="-"/>
    <s v="-"/>
    <s v="OFF LINE"/>
    <s v="Invoice"/>
    <s v="Faturado"/>
    <s v="Serviço"/>
    <s v="N"/>
    <s v="-"/>
    <s v="Claro S/a"/>
    <s v="-"/>
    <s v="Ciclo Academy"/>
    <s v="-"/>
    <s v="-"/>
    <n v="170240"/>
    <x v="0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87782"/>
    <n v="23491443"/>
    <s v="ACC02"/>
    <x v="0"/>
    <d v="2025-08-06T08:51:56"/>
    <s v="0 a 02 dias"/>
    <s v="03 a 05 dias"/>
    <s v="5FLEUO"/>
    <s v="MANUAL"/>
    <s v="FEE+TAXAS"/>
    <s v="Elaine Cristina Martins"/>
    <s v="Elaine Cristina Martins"/>
    <x v="0"/>
    <s v="-"/>
    <s v="-"/>
    <s v="OFF LINE"/>
    <s v="Invoice"/>
    <s v="Faturado"/>
    <s v="Serviço"/>
    <s v="N"/>
    <s v="-"/>
    <s v="Claro S/a"/>
    <s v="-"/>
    <s v="Ciclo Academy"/>
    <s v="-"/>
    <s v="-"/>
    <n v="170240"/>
    <x v="1"/>
    <n v="0"/>
    <n v="0"/>
    <n v="0"/>
    <n v="0"/>
    <n v="0"/>
    <n v="2568.04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91760"/>
    <n v="23494797"/>
    <s v="ACC01"/>
    <x v="1"/>
    <d v="2025-08-06T09:08:26"/>
    <s v="0 a 02 dias"/>
    <s v="0 a 02 dias"/>
    <s v="5GMXUP"/>
    <s v="MANUAL"/>
    <s v="SERVICO"/>
    <s v="Elaine Cristina Martins"/>
    <s v="Elaine Cristina Martins"/>
    <x v="1"/>
    <s v="-"/>
    <s v="-"/>
    <s v="OFF LINE"/>
    <s v="Invoice"/>
    <s v="Faturado"/>
    <s v="Serviço"/>
    <s v="N"/>
    <s v="-"/>
    <s v="Claro S/a"/>
    <s v="-"/>
    <s v="Ciclo Academy"/>
    <s v="-"/>
    <s v="-"/>
    <n v="170240"/>
    <x v="0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91760"/>
    <n v="23494800"/>
    <s v="ACC02"/>
    <x v="1"/>
    <d v="2025-08-06T09:08:26"/>
    <s v="0 a 02 dias"/>
    <s v="0 a 02 dias"/>
    <s v="5GMXUP"/>
    <s v="MANUAL"/>
    <s v="FEE+TAXAS"/>
    <s v="Elaine Cristina Martins"/>
    <s v="Elaine Cristina Martins"/>
    <x v="1"/>
    <s v="-"/>
    <s v="-"/>
    <s v="OFF LINE"/>
    <s v="Invoice"/>
    <s v="Faturado"/>
    <s v="Serviço"/>
    <s v="N"/>
    <s v="-"/>
    <s v="Claro S/a"/>
    <s v="-"/>
    <s v="Ciclo Academy"/>
    <s v="-"/>
    <s v="-"/>
    <n v="170240"/>
    <x v="1"/>
    <n v="0"/>
    <n v="0"/>
    <n v="0"/>
    <n v="0"/>
    <n v="0"/>
    <n v="2568.04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82882"/>
    <n v="23487228"/>
    <s v="ACC01"/>
    <x v="2"/>
    <d v="2025-08-05T00:15:23"/>
    <s v="03 a 05 dias"/>
    <s v="03 a 05 dias"/>
    <s v="5FKC78"/>
    <s v="TMS"/>
    <s v="TADEU FERNANDES"/>
    <s v="Ariane de Sousa Farias"/>
    <s v="Ariane de Sousa Farias"/>
    <x v="2"/>
    <n v="276"/>
    <s v="-"/>
    <s v="OFF LINE"/>
    <s v="Invoice"/>
    <s v="Faturado"/>
    <s v="Hotel"/>
    <s v="N"/>
    <s v="Grupo Ache"/>
    <s v="Biogaia Ab"/>
    <s v="-"/>
    <s v="-"/>
    <s v="-"/>
    <s v="-"/>
    <s v="-"/>
    <x v="2"/>
    <n v="0"/>
    <n v="0"/>
    <n v="0"/>
    <n v="0"/>
    <n v="0"/>
    <n v="0"/>
    <s v="Reserva importada do Sistema TMS. OS: 276"/>
    <s v="Fornecedor não preenchido! (ACC01)"/>
    <s v="ARGO(TMS)"/>
    <s v="Falta de Fornecedor"/>
    <s v="Campo Fornecedor"/>
    <s v="Dados do Fornecedor"/>
    <s v="Qualidade dos dados"/>
    <s v="KONTIK BUSINESS TRAVEL"/>
  </r>
  <r>
    <n v="22700836"/>
    <n v="23503046"/>
    <s v="ACC01"/>
    <x v="3"/>
    <d v="2025-08-07T12:54:33"/>
    <s v="0 a 02 dias"/>
    <s v="0 a 02 dias"/>
    <n v="19480079"/>
    <s v="WOOBA"/>
    <s v="NEVER/WELTON"/>
    <s v="Welton Silva da Cunha"/>
    <s v="Welton Silva da Cunha"/>
    <x v="3"/>
    <s v="teste"/>
    <s v="-"/>
    <s v="OFF LINE"/>
    <s v="Invoice"/>
    <s v="Faturado"/>
    <s v="Hotel"/>
    <s v="N"/>
    <s v="Grupo Constellation"/>
    <s v="Constellation"/>
    <s v="-"/>
    <s v="Cardim Plaza Hotel"/>
    <s v="-"/>
    <s v="-"/>
    <s v="-"/>
    <x v="3"/>
    <n v="0"/>
    <n v="0"/>
    <n v="0"/>
    <n v="0"/>
    <n v="0"/>
    <n v="0"/>
    <s v="Reserva importada do Sistema WOOBA. Id: 1014"/>
    <s v="Canal de venda não preenchido! (ACC01)"/>
    <s v="WOOBA"/>
    <s v="Canal de venda"/>
    <s v="Falta de informação Gerencial"/>
    <s v="Dados do Fornecedor"/>
    <s v="Qualidade dos dados"/>
    <s v="KONTIK BUSINESS TRAVEL"/>
  </r>
  <r>
    <n v="22700837"/>
    <n v="23503048"/>
    <s v="ACC01"/>
    <x v="4"/>
    <d v="2025-08-07T12:54:34"/>
    <s v="0 a 02 dias"/>
    <s v="0 a 02 dias"/>
    <n v="19480475"/>
    <s v="WOOBA"/>
    <s v="NEVER/VANESSA"/>
    <s v="Welton Silva da Cunha"/>
    <s v="Welton Silva da Cunha"/>
    <x v="4"/>
    <s v="TESTE2"/>
    <s v="-"/>
    <s v="OFF LINE"/>
    <s v="Invoice"/>
    <s v="Faturado"/>
    <s v="Hotel"/>
    <s v="N"/>
    <s v="Grupo Constellation"/>
    <s v="Constellation"/>
    <s v="-"/>
    <s v="Dan Inn Planalto Sao Paulo"/>
    <s v="-"/>
    <s v="-"/>
    <s v="-"/>
    <x v="4"/>
    <n v="0"/>
    <n v="0"/>
    <n v="0"/>
    <n v="0"/>
    <n v="10.45"/>
    <n v="0"/>
    <s v="Reserva importada do Sistema WOOBA. Id: 1015"/>
    <s v="Canal de venda não preenchido! (ACC01)"/>
    <s v="WOOBA"/>
    <s v="Canal de venda"/>
    <s v="Falta de informação Gerencial"/>
    <s v="Dados do Fornecedor"/>
    <s v="Qualidade dos dados"/>
    <s v="KONTIK BUSINESS TRAVEL"/>
  </r>
  <r>
    <n v="22691840"/>
    <n v="23494864"/>
    <s v="ACC01"/>
    <x v="5"/>
    <d v="2025-08-06T09:11:04"/>
    <s v="0 a 02 dias"/>
    <s v="0 a 02 dias"/>
    <s v="5GDF7M"/>
    <s v="MANUAL"/>
    <s v="SERVICO"/>
    <s v="Elaine Cristina Martins"/>
    <s v="Elaine Cristina Martins"/>
    <x v="5"/>
    <s v="-"/>
    <s v="-"/>
    <s v="OFF LINE"/>
    <s v="Invoice"/>
    <s v="Faturado"/>
    <s v="Serviço"/>
    <s v="N"/>
    <s v="-"/>
    <s v="Claro S/a"/>
    <s v="-"/>
    <s v="Ciclo Academy"/>
    <s v="-"/>
    <s v="INOVENTS"/>
    <n v="170240"/>
    <x v="0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INOVENTS"/>
  </r>
  <r>
    <n v="22691840"/>
    <n v="23494866"/>
    <s v="ACC02"/>
    <x v="5"/>
    <d v="2025-08-06T09:11:04"/>
    <s v="0 a 02 dias"/>
    <s v="0 a 02 dias"/>
    <s v="5GDF7M"/>
    <s v="MANUAL"/>
    <s v="FEE+TAXAS"/>
    <s v="Elaine Cristina Martins"/>
    <s v="Elaine Cristina Martins"/>
    <x v="5"/>
    <s v="-"/>
    <s v="-"/>
    <s v="OFF LINE"/>
    <s v="Invoice"/>
    <s v="Faturado"/>
    <s v="Serviço"/>
    <s v="N"/>
    <s v="-"/>
    <s v="Claro S/a"/>
    <s v="-"/>
    <s v="Ciclo Academy"/>
    <s v="-"/>
    <s v="INOVENTS"/>
    <n v="170240"/>
    <x v="1"/>
    <n v="0"/>
    <n v="0"/>
    <n v="0"/>
    <n v="0"/>
    <n v="0"/>
    <n v="2568.04"/>
    <s v="-"/>
    <s v="Necessário cadastrar um contrato para o cliente &quot;&quot;"/>
    <s v="MANUAL"/>
    <s v="Contrato de fornecedor"/>
    <s v="Análise Cadastro"/>
    <s v="Dados do Fornecedor"/>
    <s v="Qualidade dos dados"/>
    <s v="INOVENTS"/>
  </r>
  <r>
    <n v="22649882"/>
    <n v="23459418"/>
    <s v="ACC01"/>
    <x v="6"/>
    <d v="2025-08-05T20:30:21"/>
    <s v="03 a 05 dias"/>
    <s v="09 a 15 dias"/>
    <s v="HNMBIK"/>
    <s v="MANUAL"/>
    <s v="BARBARA MAGALHA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3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19"/>
    <s v="ACC02"/>
    <x v="6"/>
    <d v="2025-08-05T20:30:21"/>
    <s v="03 a 05 dias"/>
    <s v="09 a 15 dias"/>
    <s v="HNMBIK"/>
    <s v="MANUAL"/>
    <s v="JAMYLE PINHEIRO FACANHA CAVALCANTE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0"/>
    <s v="ACC03"/>
    <x v="6"/>
    <d v="2025-08-05T20:30:21"/>
    <s v="03 a 05 dias"/>
    <s v="09 a 15 dias"/>
    <s v="HNMBIK"/>
    <s v="MANUAL"/>
    <s v="CHRISTIANE GURGEL DO AMARAL CHA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1"/>
    <s v="ACC04"/>
    <x v="6"/>
    <d v="2025-08-05T20:30:21"/>
    <s v="03 a 05 dias"/>
    <s v="09 a 15 dias"/>
    <s v="HNMBIK"/>
    <s v="MANUAL"/>
    <s v="HELEN LIDIA ME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2"/>
    <s v="ACC05"/>
    <x v="6"/>
    <d v="2025-08-05T20:30:21"/>
    <s v="03 a 05 dias"/>
    <s v="09 a 15 dias"/>
    <s v="HNMBIK"/>
    <s v="MANUAL"/>
    <s v="DAMARIS RAQUELINA MALAQUIAS SARAI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3"/>
    <s v="ACC06"/>
    <x v="6"/>
    <d v="2025-08-05T20:30:21"/>
    <s v="03 a 05 dias"/>
    <s v="09 a 15 dias"/>
    <s v="HNMBIK"/>
    <s v="MANUAL"/>
    <s v="ANTONIA LETICIA DE SOUZ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4"/>
    <s v="ACC07"/>
    <x v="6"/>
    <d v="2025-08-05T20:30:21"/>
    <s v="03 a 05 dias"/>
    <s v="09 a 15 dias"/>
    <s v="HNMBIK"/>
    <s v="MANUAL"/>
    <s v="ROSALINA FARIAS DIA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5"/>
    <s v="ACC08"/>
    <x v="6"/>
    <d v="2025-08-05T20:30:21"/>
    <s v="03 a 05 dias"/>
    <s v="09 a 15 dias"/>
    <s v="HNMBIK"/>
    <s v="MANUAL"/>
    <s v="LUANA CAROLINA LIMA DO NASCIME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6"/>
    <s v="ACC09"/>
    <x v="6"/>
    <d v="2025-08-05T20:30:21"/>
    <s v="03 a 05 dias"/>
    <s v="09 a 15 dias"/>
    <s v="HNMBIK"/>
    <s v="MANUAL"/>
    <s v="RAQUEL PEREIRA DA SIL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7"/>
    <s v="ACC10"/>
    <x v="6"/>
    <d v="2025-08-05T20:30:21"/>
    <s v="03 a 05 dias"/>
    <s v="09 a 15 dias"/>
    <s v="HNMBIK"/>
    <s v="MANUAL"/>
    <s v="DANIELA VAZ CAMIL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8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8"/>
    <s v="ACC11"/>
    <x v="6"/>
    <d v="2025-08-05T20:30:21"/>
    <s v="03 a 05 dias"/>
    <s v="09 a 15 dias"/>
    <s v="HNMBIK"/>
    <s v="MANUAL"/>
    <s v="JESSICA RODRIGUES VIAN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9"/>
    <s v="ACC12"/>
    <x v="6"/>
    <d v="2025-08-05T20:30:21"/>
    <s v="03 a 05 dias"/>
    <s v="09 a 15 dias"/>
    <s v="HNMBIK"/>
    <s v="MANUAL"/>
    <s v="JULIANA SILVA MACIEL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0"/>
    <s v="ACC13"/>
    <x v="6"/>
    <d v="2025-08-05T20:30:21"/>
    <s v="03 a 05 dias"/>
    <s v="09 a 15 dias"/>
    <s v="HNMBIK"/>
    <s v="MANUAL"/>
    <s v="RAISA SANTOS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1"/>
    <s v="ACC14"/>
    <x v="6"/>
    <d v="2025-08-05T20:30:21"/>
    <s v="03 a 05 dias"/>
    <s v="09 a 15 dias"/>
    <s v="HNMBIK"/>
    <s v="MANUAL"/>
    <s v="DANIELA APRIGIO TEL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8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2"/>
    <s v="ACC15"/>
    <x v="6"/>
    <d v="2025-08-05T20:30:21"/>
    <s v="03 a 05 dias"/>
    <s v="09 a 15 dias"/>
    <s v="HNMBIK"/>
    <s v="MANUAL"/>
    <s v="ANA CARLA BARROSO DE SOUSA TOMA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3"/>
    <s v="ACC16"/>
    <x v="6"/>
    <d v="2025-08-05T20:30:21"/>
    <s v="03 a 05 dias"/>
    <s v="09 a 15 dias"/>
    <s v="HNMBIK"/>
    <s v="MANUAL"/>
    <s v="MARIA GISANE DOS SANTOS MACHAD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4"/>
    <s v="ACC17"/>
    <x v="6"/>
    <d v="2025-08-05T20:30:21"/>
    <s v="03 a 05 dias"/>
    <s v="09 a 15 dias"/>
    <s v="HNMBIK"/>
    <s v="MANUAL"/>
    <s v="RANGIELE DO CARMO ASSUNCA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5"/>
    <s v="ACC18"/>
    <x v="6"/>
    <d v="2025-08-05T20:30:21"/>
    <s v="03 a 05 dias"/>
    <s v="09 a 15 dias"/>
    <s v="HNMBIK"/>
    <s v="MANUAL"/>
    <s v="LUNARA SOUSA MOT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6"/>
    <s v="ACC19"/>
    <x v="6"/>
    <d v="2025-08-05T20:30:21"/>
    <s v="03 a 05 dias"/>
    <s v="09 a 15 dias"/>
    <s v="HNMBIK"/>
    <s v="MANUAL"/>
    <s v="HERLIA FERREIRA PEREIRA PALACI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7"/>
    <s v="ACC20"/>
    <x v="6"/>
    <d v="2025-08-05T20:30:21"/>
    <s v="03 a 05 dias"/>
    <s v="09 a 15 dias"/>
    <s v="HNMBIK"/>
    <s v="MANUAL"/>
    <s v="GEANNE PIRES DE MESQUIT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8"/>
    <s v="ACC21"/>
    <x v="6"/>
    <d v="2025-08-05T20:30:21"/>
    <s v="03 a 05 dias"/>
    <s v="09 a 15 dias"/>
    <s v="HNMBIK"/>
    <s v="MANUAL"/>
    <s v="DANIELE FREITAS CAVALCANTE DE OLIV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9"/>
    <s v="ACC22"/>
    <x v="6"/>
    <d v="2025-08-05T20:30:21"/>
    <s v="03 a 05 dias"/>
    <s v="09 a 15 dias"/>
    <s v="HNMBIK"/>
    <s v="MANUAL"/>
    <s v="ADAILMA MENDES DOS SANTO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0"/>
    <s v="ACC23"/>
    <x v="6"/>
    <d v="2025-08-05T20:30:21"/>
    <s v="03 a 05 dias"/>
    <s v="09 a 15 dias"/>
    <s v="HNMBIK"/>
    <s v="MANUAL"/>
    <s v="KELEN CRISTINA MARTINS ALENCAR PI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1"/>
    <s v="ACC24"/>
    <x v="6"/>
    <d v="2025-08-05T20:30:21"/>
    <s v="03 a 05 dias"/>
    <s v="09 a 15 dias"/>
    <s v="HNMBIK"/>
    <s v="MANUAL"/>
    <s v="JORGEANA MORAIS MONTEIR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2"/>
    <s v="ACC25"/>
    <x v="6"/>
    <d v="2025-08-05T20:30:21"/>
    <s v="03 a 05 dias"/>
    <s v="09 a 15 dias"/>
    <s v="HNMBIK"/>
    <s v="MANUAL"/>
    <s v="ANA CAROLINA CORRE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3"/>
    <s v="ACC26"/>
    <x v="6"/>
    <d v="2025-08-05T20:30:21"/>
    <s v="03 a 05 dias"/>
    <s v="09 a 15 dias"/>
    <s v="HNMBIK"/>
    <s v="MANUAL"/>
    <s v="IRLA GOMES DE SOUZ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4"/>
    <s v="ACC27"/>
    <x v="6"/>
    <d v="2025-08-05T20:30:21"/>
    <s v="03 a 05 dias"/>
    <s v="09 a 15 dias"/>
    <s v="HNMBIK"/>
    <s v="MANUAL"/>
    <s v="DAIANA MAGALHAES DE PAI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5"/>
    <s v="ACC28"/>
    <x v="6"/>
    <d v="2025-08-05T20:30:21"/>
    <s v="03 a 05 dias"/>
    <s v="09 a 15 dias"/>
    <s v="HNMBIK"/>
    <s v="MANUAL"/>
    <s v="FERNANDA HELENA ALVES DA ROC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6"/>
    <s v="ACC29"/>
    <x v="6"/>
    <d v="2025-08-05T20:30:21"/>
    <s v="03 a 05 dias"/>
    <s v="09 a 15 dias"/>
    <s v="HNMBIK"/>
    <s v="MANUAL"/>
    <s v="KESSYA CARDOSO LIM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7"/>
    <s v="ACC30"/>
    <x v="6"/>
    <d v="2025-08-05T20:30:21"/>
    <s v="03 a 05 dias"/>
    <s v="09 a 15 dias"/>
    <s v="HNMBIK"/>
    <s v="MANUAL"/>
    <s v="JESSICA CORREIA SAL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8"/>
    <s v="ACC31"/>
    <x v="6"/>
    <d v="2025-08-05T20:30:21"/>
    <s v="03 a 05 dias"/>
    <s v="09 a 15 dias"/>
    <s v="HNMBIK"/>
    <s v="MANUAL"/>
    <s v="MICHELLE PEREIRA DE OLIV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8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9"/>
    <s v="ACC32"/>
    <x v="6"/>
    <d v="2025-08-05T20:30:21"/>
    <s v="03 a 05 dias"/>
    <s v="09 a 15 dias"/>
    <s v="HNMBIK"/>
    <s v="MANUAL"/>
    <s v="NATALIA TAVARES DE ALMEID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0"/>
    <s v="ACC33"/>
    <x v="6"/>
    <d v="2025-08-05T20:30:21"/>
    <s v="03 a 05 dias"/>
    <s v="09 a 15 dias"/>
    <s v="HNMBIK"/>
    <s v="MANUAL"/>
    <s v="ANDREZZA RAYANNE ALVES DE ALMEID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1"/>
    <s v="ACC34"/>
    <x v="6"/>
    <d v="2025-08-05T20:30:21"/>
    <s v="03 a 05 dias"/>
    <s v="09 a 15 dias"/>
    <s v="HNMBIK"/>
    <s v="MANUAL"/>
    <s v="LILIAN KESSIA ALVES SIEB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2"/>
    <s v="ACC35"/>
    <x v="6"/>
    <d v="2025-08-05T20:30:21"/>
    <s v="03 a 05 dias"/>
    <s v="09 a 15 dias"/>
    <s v="HNMBIK"/>
    <s v="MANUAL"/>
    <s v="MONALISA DO NASCIMENTO RIBEIR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3"/>
    <s v="ACC36"/>
    <x v="6"/>
    <d v="2025-08-05T20:30:21"/>
    <s v="03 a 05 dias"/>
    <s v="09 a 15 dias"/>
    <s v="HNMBIK"/>
    <s v="MANUAL"/>
    <s v="PRISCILA ADRIAN RODRIGU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4"/>
    <s v="ACC37"/>
    <x v="6"/>
    <d v="2025-08-05T20:30:21"/>
    <s v="03 a 05 dias"/>
    <s v="09 a 15 dias"/>
    <s v="HNMBIK"/>
    <s v="MANUAL"/>
    <s v="NATALIA FARIAS DE SOUS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5"/>
    <s v="ACC38"/>
    <x v="6"/>
    <d v="2025-08-05T20:30:21"/>
    <s v="03 a 05 dias"/>
    <s v="09 a 15 dias"/>
    <s v="HNMBIK"/>
    <s v="MANUAL"/>
    <s v="MARIANA MELO CAMURC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6"/>
    <s v="ACC39"/>
    <x v="6"/>
    <d v="2025-08-05T20:30:21"/>
    <s v="03 a 05 dias"/>
    <s v="09 a 15 dias"/>
    <s v="HNMBIK"/>
    <s v="MANUAL"/>
    <s v="YOHANNA MARIA MENEZES DO NASCIME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7"/>
    <s v="ACC40"/>
    <x v="6"/>
    <d v="2025-08-05T20:30:21"/>
    <s v="03 a 05 dias"/>
    <s v="09 a 15 dias"/>
    <s v="HNMBIK"/>
    <s v="MANUAL"/>
    <s v="MARIA ELINARA COSTA REBOUCA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8"/>
    <s v="ACC41"/>
    <x v="6"/>
    <d v="2025-08-05T20:30:21"/>
    <s v="03 a 05 dias"/>
    <s v="09 a 15 dias"/>
    <s v="HNMBIK"/>
    <s v="MANUAL"/>
    <s v="ANA MICHELLE LOUREIRO LOB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8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9"/>
    <s v="ACC42"/>
    <x v="6"/>
    <d v="2025-08-05T20:30:21"/>
    <s v="03 a 05 dias"/>
    <s v="09 a 15 dias"/>
    <s v="HNMBIK"/>
    <s v="MANUAL"/>
    <s v="MAIARA MARIA NASCIMENTO DE ARAUJ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0"/>
    <s v="ACC43"/>
    <x v="6"/>
    <d v="2025-08-05T20:30:21"/>
    <s v="03 a 05 dias"/>
    <s v="09 a 15 dias"/>
    <s v="HNMBIK"/>
    <s v="MANUAL"/>
    <s v="THISIANIA ROMERO VIEIRA SOAR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1"/>
    <s v="ACC44"/>
    <x v="6"/>
    <d v="2025-08-05T20:30:21"/>
    <s v="03 a 05 dias"/>
    <s v="09 a 15 dias"/>
    <s v="HNMBIK"/>
    <s v="MANUAL"/>
    <s v="CRISLANE ALENCARINA LIMA DA SIL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2"/>
    <s v="ACC45"/>
    <x v="6"/>
    <d v="2025-08-05T20:30:21"/>
    <s v="03 a 05 dias"/>
    <s v="09 a 15 dias"/>
    <s v="HNMBIK"/>
    <s v="MANUAL"/>
    <s v="PAULA AMANDA DO CARMO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3"/>
    <s v="ACC46"/>
    <x v="6"/>
    <d v="2025-08-05T20:30:21"/>
    <s v="03 a 05 dias"/>
    <s v="09 a 15 dias"/>
    <s v="HNMBIK"/>
    <s v="MANUAL"/>
    <s v="DIANA CARLA MORAES DOS SANTO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5"/>
    <s v="ACC47"/>
    <x v="6"/>
    <d v="2025-08-05T20:30:21"/>
    <s v="03 a 05 dias"/>
    <s v="09 a 15 dias"/>
    <s v="HNMBIK"/>
    <s v="MANUAL"/>
    <s v="LUDMILA VIRNA OLIVEIRA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6"/>
    <s v="ACC48"/>
    <x v="6"/>
    <d v="2025-08-05T20:30:21"/>
    <s v="03 a 05 dias"/>
    <s v="09 a 15 dias"/>
    <s v="HNMBIK"/>
    <s v="MANUAL"/>
    <s v="CLAUDIANA HONORATO MIGUEL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7"/>
    <s v="ACC49"/>
    <x v="6"/>
    <d v="2025-08-05T20:30:21"/>
    <s v="03 a 05 dias"/>
    <s v="09 a 15 dias"/>
    <s v="HNMBIK"/>
    <s v="MANUAL"/>
    <s v="SAN MILK RODRIGUES QUEIRO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8"/>
    <s v="ACC50"/>
    <x v="6"/>
    <d v="2025-08-05T20:30:21"/>
    <s v="03 a 05 dias"/>
    <s v="09 a 15 dias"/>
    <s v="HNMBIK"/>
    <s v="MANUAL"/>
    <s v="JENNIFER MAINARA DA SILVA FACAN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9"/>
    <s v="ACC51"/>
    <x v="6"/>
    <d v="2025-08-05T20:30:21"/>
    <s v="03 a 05 dias"/>
    <s v="09 a 15 dias"/>
    <s v="HNMBIK"/>
    <s v="MANUAL"/>
    <s v="THAIS MESQUITA GARCI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8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0"/>
    <s v="ACC52"/>
    <x v="6"/>
    <d v="2025-08-05T20:30:21"/>
    <s v="03 a 05 dias"/>
    <s v="09 a 15 dias"/>
    <s v="HNMBIK"/>
    <s v="MANUAL"/>
    <s v="ARLETE CAVALCANTE ASSUNCA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9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1"/>
    <s v="ACC53"/>
    <x v="6"/>
    <d v="2025-08-05T20:30:21"/>
    <s v="03 a 05 dias"/>
    <s v="09 a 15 dias"/>
    <s v="HNMBIK"/>
    <s v="MANUAL"/>
    <s v="KELIANE DA SILVA SOAR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0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2"/>
    <s v="ACC54"/>
    <x v="6"/>
    <d v="2025-08-05T20:30:21"/>
    <s v="03 a 05 dias"/>
    <s v="09 a 15 dias"/>
    <s v="HNMBIK"/>
    <s v="MANUAL"/>
    <s v="MIKAELLA DOS SANTOS AL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1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3"/>
    <s v="ACC55"/>
    <x v="6"/>
    <d v="2025-08-05T20:30:21"/>
    <s v="03 a 05 dias"/>
    <s v="09 a 15 dias"/>
    <s v="HNMBIK"/>
    <s v="MANUAL"/>
    <s v="ANNA CLARA DOMINGOS AL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2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4"/>
    <s v="ACC56"/>
    <x v="6"/>
    <d v="2025-08-05T20:30:21"/>
    <s v="03 a 05 dias"/>
    <s v="09 a 15 dias"/>
    <s v="HNMBIK"/>
    <s v="MANUAL"/>
    <s v="FRANCISCA ERICA COSTA DE MENEZ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3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5"/>
    <s v="ACC57"/>
    <x v="6"/>
    <d v="2025-08-05T20:30:21"/>
    <s v="03 a 05 dias"/>
    <s v="09 a 15 dias"/>
    <s v="HNMBIK"/>
    <s v="MANUAL"/>
    <s v="LUIZIANNE MARIA GONCALVES DE ALENCAR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4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6"/>
    <s v="ACC58"/>
    <x v="6"/>
    <d v="2025-08-05T20:30:21"/>
    <s v="03 a 05 dias"/>
    <s v="09 a 15 dias"/>
    <s v="HNMBIK"/>
    <s v="MANUAL"/>
    <s v="LUAN MIKAEL DE SOUSA PER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5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7"/>
    <s v="ACC59"/>
    <x v="6"/>
    <d v="2025-08-05T20:30:21"/>
    <s v="03 a 05 dias"/>
    <s v="09 a 15 dias"/>
    <s v="HNMBIK"/>
    <s v="MANUAL"/>
    <s v="ANA CAROLINA MOREIRA QUEIRO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6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8"/>
    <s v="ACC60"/>
    <x v="6"/>
    <d v="2025-08-05T20:30:21"/>
    <s v="03 a 05 dias"/>
    <s v="09 a 15 dias"/>
    <s v="HNMBIK"/>
    <s v="MANUAL"/>
    <s v="GABRIEL DA SILVA ROC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7"/>
    <s v="INOVENTS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79559"/>
    <n v="23484064"/>
    <s v="ACC01"/>
    <x v="7"/>
    <d v="2025-08-05T15:24:04"/>
    <s v="03 a 05 dias"/>
    <s v="03 a 05 dias"/>
    <s v="B3NZNT"/>
    <s v="MANUAL"/>
    <s v="BUENO BARBOSA/RENATA"/>
    <s v="Danny Junqueira Martins"/>
    <s v="Danny Junqueira Martins"/>
    <x v="7"/>
    <s v="-"/>
    <s v="-"/>
    <s v="OFF LINE"/>
    <s v="Invoice"/>
    <s v="Faturado"/>
    <s v="Aéreo"/>
    <s v="N"/>
    <s v="Grupo Jti"/>
    <s v="Jti Distribuidora - Sao Paulo - Vila Nova Conceicao"/>
    <s v="-"/>
    <s v="Iberia"/>
    <n v="2971556787"/>
    <s v="INOVENTS"/>
    <s v="ID152723"/>
    <x v="6"/>
    <n v="464.43"/>
    <n v="0"/>
    <n v="0"/>
    <n v="0"/>
    <n v="0"/>
    <n v="655.21"/>
    <s v="-"/>
    <s v="Verificação de bilhetes: Bilhete 2971556787 já sendo utilizado para este fornecedor."/>
    <s v="MANUAL"/>
    <s v="Bilhete duplicado"/>
    <s v="Bilhete Já Contabilizado"/>
    <s v="Duplicidade de Contabilização"/>
    <s v="Qualidade dos dados"/>
    <s v="INOVENTS"/>
  </r>
  <r>
    <n v="22679559"/>
    <n v="23484078"/>
    <s v="ACC02"/>
    <x v="7"/>
    <d v="2025-08-05T15:24:04"/>
    <s v="03 a 05 dias"/>
    <s v="03 a 05 dias"/>
    <s v="B3NZNT"/>
    <s v="MANUAL"/>
    <s v="SIMOES BARBOSA/FRANCISCO"/>
    <s v="Danny Junqueira Martins"/>
    <s v="Danny Junqueira Martins"/>
    <x v="7"/>
    <s v="-"/>
    <s v="-"/>
    <s v="OFF LINE"/>
    <s v="Invoice"/>
    <s v="Faturado"/>
    <s v="Aéreo"/>
    <s v="N"/>
    <s v="Grupo Jti"/>
    <s v="Jti Distribuidora - Sao Paulo - Vila Nova Conceicao"/>
    <s v="-"/>
    <s v="Iberia"/>
    <n v="2971556785"/>
    <s v="INOVENTS"/>
    <s v="ID152723"/>
    <x v="6"/>
    <n v="464.43"/>
    <n v="0"/>
    <n v="0"/>
    <n v="0"/>
    <n v="0"/>
    <n v="655.21"/>
    <s v="-"/>
    <s v="Verificação de bilhetes: Bilhete 2971556787 já sendo utilizado para este fornecedor."/>
    <s v="MANUAL"/>
    <s v="Bilhete duplicado"/>
    <s v="Bilhete Já Contabilizado"/>
    <s v="Duplicidade de Contabilização"/>
    <s v="Qualidade dos dados"/>
    <s v="INOVENTS"/>
  </r>
  <r>
    <n v="22701701"/>
    <n v="23503867"/>
    <s v="ACC"/>
    <x v="8"/>
    <d v="2025-08-07T15:45:50"/>
    <s v="0 a 02 dias"/>
    <s v="0 a 02 dias"/>
    <s v="ZWHCTQ"/>
    <s v="MANUAL"/>
    <s v="ANA CARVALHO"/>
    <s v="Laura Sales de Paula"/>
    <s v="Laura Sales de Paula"/>
    <x v="8"/>
    <s v="-"/>
    <s v="-"/>
    <s v="OFF LINE"/>
    <s v="Invoice"/>
    <s v="Cartão convênio"/>
    <s v="Aéreo"/>
    <s v="N"/>
    <s v="Grupo Zupper"/>
    <s v="Zupper Cartao"/>
    <s v="-"/>
    <s v="Azul Linhas Aereas"/>
    <n v="3023503866"/>
    <s v="ZUPPER"/>
    <s v="-"/>
    <x v="7"/>
    <n v="46.36"/>
    <n v="0"/>
    <n v="0"/>
    <n v="0"/>
    <n v="0"/>
    <n v="56.71"/>
    <s v="-"/>
    <s v="36Faltou informar rateio de centro de custo/projeto abaixo da accounting"/>
    <s v="ZUPPER"/>
    <s v="Falta de informação Gerencial"/>
    <s v="Rateio de centro de custo/projeto"/>
    <s v="Dados Gerenciais"/>
    <s v="Qualidade dos dados"/>
    <s v="ZUPPER VIAGENS"/>
  </r>
  <r>
    <n v="22701543"/>
    <n v="23503696"/>
    <s v="ACC01"/>
    <x v="9"/>
    <d v="2025-08-07T15:30:50"/>
    <s v="0 a 02 dias"/>
    <s v="0 a 02 dias"/>
    <s v="XEE5VR"/>
    <s v="EBOOKING"/>
    <s v="CARLOS EDUARDO OLIVEIRA SA"/>
    <s v="Zupper"/>
    <s v="Zupper"/>
    <x v="9"/>
    <n v="6800303"/>
    <s v="-"/>
    <s v="OFF LINE"/>
    <s v="Cartão de crédito"/>
    <s v="Cartão de crédito"/>
    <s v="Aéreo"/>
    <s v="N"/>
    <s v="Grupo Zupper"/>
    <s v="Carlos e O Sa"/>
    <s v="-"/>
    <s v="Azul Linhas Aereas"/>
    <n v="6359382136"/>
    <s v="ZUPPER"/>
    <s v="-"/>
    <x v="8"/>
    <n v="106.98"/>
    <n v="0"/>
    <n v="0"/>
    <n v="0"/>
    <n v="0"/>
    <n v="224.88"/>
    <s v="-"/>
    <s v="Não foi possível encontrar configuração válida para Administradora de código 1 e Data Emissão 07/08/2025"/>
    <s v="ZUPPER"/>
    <s v="Não identificado"/>
    <s v="Análise Benner"/>
    <s v="Sistema"/>
    <s v="Qualidade dos dados"/>
    <s v="ZUPPER VIAGENS"/>
  </r>
  <r>
    <n v="22701543"/>
    <n v="23503698"/>
    <s v="ACC02"/>
    <x v="9"/>
    <d v="2025-08-07T15:30:50"/>
    <s v="0 a 02 dias"/>
    <s v="0 a 02 dias"/>
    <s v="XEE5VR"/>
    <s v="EBOOKING"/>
    <s v="CATARINA FATIMA OLIVEIRA"/>
    <s v="Zupper"/>
    <s v="Zupper"/>
    <x v="9"/>
    <n v="6800303"/>
    <s v="-"/>
    <s v="OFF LINE"/>
    <s v="Cartão de crédito"/>
    <s v="Cartão de crédito"/>
    <s v="Aéreo"/>
    <s v="N"/>
    <s v="Grupo Zupper"/>
    <s v="Carlos e O Sa"/>
    <s v="-"/>
    <s v="Azul Linhas Aereas"/>
    <n v="5083348355"/>
    <s v="ZUPPER"/>
    <s v="-"/>
    <x v="8"/>
    <n v="106.98"/>
    <n v="0"/>
    <n v="0"/>
    <n v="0"/>
    <n v="0"/>
    <n v="0"/>
    <s v="-"/>
    <s v="Não foi possível encontrar configuração válida para Administradora de código 1 e Data Emissão 07/08/2025"/>
    <s v="ZUPPER"/>
    <s v="Não identificado"/>
    <s v="Análise Benner"/>
    <s v="Sistema"/>
    <s v="Qualidade dos dados"/>
    <s v="ZUPPER VIAGENS"/>
  </r>
  <r>
    <n v="22705296"/>
    <n v="23507214"/>
    <s v="ACC01"/>
    <x v="10"/>
    <d v="2025-08-08T01:05:20"/>
    <s v="0 a 02 dias"/>
    <s v="0 a 02 dias"/>
    <s v="XQUV5U"/>
    <s v="EBOOKING"/>
    <s v="RAIMUNDA JULIA BRANDAO"/>
    <s v="Zupper"/>
    <s v="Zupper"/>
    <x v="10"/>
    <n v="6802172"/>
    <s v="-"/>
    <s v="OFF LINE"/>
    <s v="Cartão de crédito"/>
    <s v="Cartão de crédito"/>
    <s v="Aéreo"/>
    <s v="N"/>
    <s v="Grupo Zupper"/>
    <s v="Raimunda Julia de Freitas Brandao"/>
    <s v="-"/>
    <s v="Azul Linhas Aereas"/>
    <n v="8282448174"/>
    <s v="ZUPPER"/>
    <s v="-"/>
    <x v="9"/>
    <n v="54.45"/>
    <n v="0"/>
    <n v="0"/>
    <n v="0"/>
    <n v="0"/>
    <n v="32.549999999999997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462516"/>
    <n v="23302108"/>
    <s v="ACC01"/>
    <x v="11"/>
    <d v="2025-07-30T11:34:51"/>
    <s v="09 a 15 dias"/>
    <s v="31 dias ou +"/>
    <s v="5BOOFQ"/>
    <s v="MANUAL"/>
    <s v="SERGIO HARUO KAWAMATA"/>
    <s v="Patricia Pinato Ferreira Lima"/>
    <s v="Patricia Pinato Ferreira Lima"/>
    <x v="11"/>
    <s v="EMERGENCIAL TKT 563982"/>
    <s v="-"/>
    <s v="OFF LINE"/>
    <s v="Cartão de crédito"/>
    <s v="Cartão de crédito"/>
    <s v="Hotel"/>
    <s v="N"/>
    <s v="Grupo British American Tobacco"/>
    <s v="Bat Souza Cruz"/>
    <s v="-"/>
    <s v="Grande Hotel Paranavai"/>
    <s v="-"/>
    <s v="EMERGENCIAL"/>
    <s v="-"/>
    <x v="10"/>
    <n v="0"/>
    <n v="0"/>
    <n v="0"/>
    <n v="0"/>
    <n v="0"/>
    <n v="0"/>
    <s v="atendimento emergencial tkt 563982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89919"/>
    <n v="23493494"/>
    <s v="ACC01"/>
    <x v="12"/>
    <d v="2025-08-05T22:50:17"/>
    <s v="03 a 05 dias"/>
    <s v="03 a 05 dias"/>
    <s v="5GIAFM"/>
    <s v="MANUAL"/>
    <s v="EDER GALVAO"/>
    <s v="Alexandre Fernando Papa"/>
    <s v="Alexandre Fernando Papa"/>
    <x v="12"/>
    <s v="-"/>
    <s v="-"/>
    <s v="OFF LINE"/>
    <s v="Cartão de crédito"/>
    <s v="Cartão de crédito"/>
    <s v="Hotel"/>
    <s v="N"/>
    <s v="Grupo British American Tobacco"/>
    <s v="Bat Souza Cruz"/>
    <s v="-"/>
    <s v="Morangos Hotel"/>
    <s v="-"/>
    <s v="EMERGENCIAL"/>
    <s v="-"/>
    <x v="11"/>
    <n v="445.2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84720"/>
    <n v="23488563"/>
    <s v="ACC01"/>
    <x v="13"/>
    <d v="2025-08-05T10:21:39"/>
    <s v="03 a 05 dias"/>
    <s v="03 a 05 dias"/>
    <s v="UDXTET"/>
    <s v="SABRE"/>
    <s v="MARTINS/ISRAEL MAURICIO"/>
    <s v="WS"/>
    <s v="WS"/>
    <x v="13"/>
    <s v="FGFSIG"/>
    <s v="-"/>
    <s v="ON LINE"/>
    <s v="Cartão de crédito"/>
    <s v="Cartão de crédito"/>
    <s v="Aéreo"/>
    <s v="N"/>
    <s v="Grupo Glory"/>
    <s v="Glory"/>
    <s v="-"/>
    <s v="Gol Linhas Aereas"/>
    <n v="2142678674"/>
    <s v="FCM-OPE-SAO-PVI-BTC-CONCUR"/>
    <s v="-"/>
    <x v="12"/>
    <n v="85.3"/>
    <n v="0"/>
    <n v="0"/>
    <n v="0"/>
    <n v="0"/>
    <n v="0"/>
    <s v="Reserva importada por HubTravel"/>
    <s v="Centro de custo não preenchido! (ACC01) Matrícula não preenchida! (ACC01) Informação referencial 2 não preenchida! (ACC01) Projeto não preenchido! "/>
    <s v="SABRE"/>
    <s v="Mais de um campo não preenchido"/>
    <s v="Falta de informação Gerencial"/>
    <s v="Dados do Fornecedor"/>
    <s v="Qualidade dos dados"/>
    <s v="KONTIK BUSINESS TRAVEL"/>
  </r>
  <r>
    <n v="22667864"/>
    <n v="23475643"/>
    <s v="ACC01"/>
    <x v="14"/>
    <d v="2025-08-05T07:36:19"/>
    <s v="03 a 05 dias"/>
    <s v="06 a 08 dias"/>
    <s v="AJXNWQT"/>
    <s v="SABRE"/>
    <s v="LIMA/FABIO BARBOSA"/>
    <s v="WS"/>
    <s v="WS"/>
    <x v="14"/>
    <s v="AJXNWQ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13"/>
    <n v="27.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692217"/>
    <n v="23495214"/>
    <s v="ACC01"/>
    <x v="15"/>
    <d v="2025-08-06T10:19:09"/>
    <s v="0 a 02 dias"/>
    <s v="0 a 02 dias"/>
    <s v="FQQARC"/>
    <s v="SABRE"/>
    <s v="KIEVITSBOSCH VIEIRA/THAIS KIEVITSBOSCH"/>
    <s v="WS"/>
    <s v="WS"/>
    <x v="15"/>
    <s v=" FQQARC"/>
    <s v="-"/>
    <s v="ON LINE"/>
    <s v="Cartão de crédito"/>
    <s v="Cartão de crédito"/>
    <s v="Aéreo"/>
    <s v="N"/>
    <s v="Grupo Elanco"/>
    <s v="Elanco - Morumbi"/>
    <s v="-"/>
    <s v="Gol Linhas Aereas"/>
    <n v="2142779681"/>
    <s v="FCM-OPE-SAO-PVI-BTC-CONCUR"/>
    <s v="-"/>
    <x v="14"/>
    <n v="60.62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699175"/>
    <n v="23501462"/>
    <s v="ACC01"/>
    <x v="16"/>
    <d v="2025-08-07T09:09:12"/>
    <s v="0 a 02 dias"/>
    <s v="0 a 02 dias"/>
    <s v="FAKDZZC"/>
    <s v="SABRE"/>
    <s v="DI SERIO/RICARDO MARTINI MR"/>
    <s v="WS"/>
    <s v="WS"/>
    <x v="16"/>
    <s v="FAKDZZ"/>
    <s v="CPT"/>
    <s v="ON LINE"/>
    <s v="Invoice"/>
    <s v="Faturado"/>
    <s v="Carro"/>
    <s v="N"/>
    <s v="Grupo Ses"/>
    <s v="Ses Dth"/>
    <s v="-"/>
    <s v="-"/>
    <s v="-"/>
    <s v="FCM-OPE-SAO-PVI-BTC-CONCUR"/>
    <s v="-"/>
    <x v="15"/>
    <n v="1726.4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93671"/>
    <n v="23496581"/>
    <s v="ACC01"/>
    <x v="17"/>
    <d v="2025-08-06T13:38:19"/>
    <s v="0 a 02 dias"/>
    <s v="0 a 02 dias"/>
    <s v="MTEZKG"/>
    <s v="SABRE"/>
    <s v="SERPA/DANIELLE RODRIGUES CHIC"/>
    <s v="Flavia Constanzi do Nascimento"/>
    <s v="WS"/>
    <x v="17"/>
    <s v="MTEZKG"/>
    <s v="-"/>
    <s v="ON LINE"/>
    <s v="Cartão de crédito"/>
    <s v="Cartão AMEX"/>
    <s v="Aéreo"/>
    <s v="N"/>
    <s v="Grupo Adidas"/>
    <s v="Adidas do Brasil Ltda"/>
    <s v="-"/>
    <s v="Latam Airlines Brasil"/>
    <n v="2971270833"/>
    <s v="FCM-OPE-SAO-PVI-BTC-CONCUR"/>
    <s v="-"/>
    <x v="16"/>
    <n v="55.65"/>
    <n v="256.97000000000003"/>
    <n v="0"/>
    <n v="55.65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2"/>
    <s v="ACC02"/>
    <x v="17"/>
    <d v="2025-08-06T13:38:19"/>
    <s v="0 a 02 dias"/>
    <s v="0 a 02 dias"/>
    <s v="MTEZKG"/>
    <s v="SABRE"/>
    <s v="SERPA/DANIELLE RODRIGUES CHIC"/>
    <s v="Flavia Constanzi do Nascimento"/>
    <s v="WS"/>
    <x v="17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1"/>
    <s v="FCM-OPE-SAO-PVI-BTC-CONCUR"/>
    <s v="-"/>
    <x v="17"/>
    <n v="0"/>
    <n v="0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3"/>
    <s v="ACC03"/>
    <x v="17"/>
    <d v="2025-08-06T13:38:19"/>
    <s v="0 a 02 dias"/>
    <s v="0 a 02 dias"/>
    <s v="MTEZKG"/>
    <s v="SABRE"/>
    <s v="SERPA/DANIELLE RODRIGUES CHIC"/>
    <s v="Flavia Constanzi do Nascimento"/>
    <s v="WS"/>
    <x v="17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2"/>
    <s v="FCM-OPE-SAO-PVI-BTC-CONCUR"/>
    <s v="-"/>
    <x v="17"/>
    <n v="0"/>
    <n v="39.68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701489"/>
    <n v="23503652"/>
    <s v="ACC01"/>
    <x v="18"/>
    <d v="2025-08-07T14:56:26"/>
    <s v="0 a 02 dias"/>
    <s v="0 a 02 dias"/>
    <s v="LA9575542VFFO"/>
    <s v="EBOOKING"/>
    <s v="Hiroyama/Rodrigo"/>
    <s v="Kontrip"/>
    <s v="Kontrip"/>
    <x v="18"/>
    <s v="-"/>
    <s v="-"/>
    <s v="OFF LINE"/>
    <s v="Cartão de crédito"/>
    <s v="Cartão de crédito"/>
    <s v="Aéreo"/>
    <s v="N"/>
    <s v="Independente"/>
    <s v="Tap Air Portugal"/>
    <s v="-"/>
    <s v="Latam Airlines Brasil"/>
    <n v="2244704214"/>
    <s v="KONTRIP"/>
    <s v="-"/>
    <x v="18"/>
    <n v="67.75"/>
    <n v="0"/>
    <n v="40"/>
    <n v="0"/>
    <n v="0"/>
    <n v="26.39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526"/>
    <n v="23503679"/>
    <s v="ACC01"/>
    <x v="19"/>
    <d v="2025-08-07T15:02:01"/>
    <s v="0 a 02 dias"/>
    <s v="0 a 02 dias"/>
    <s v="YINS5C"/>
    <s v="EBOOKING"/>
    <s v="Boelter/Joel"/>
    <s v="Kontrip"/>
    <s v="Kontrip"/>
    <x v="19"/>
    <s v="-"/>
    <s v="-"/>
    <s v="OFF LINE"/>
    <s v="Cartão de crédito"/>
    <s v="Cartão de crédito"/>
    <s v="Aéreo"/>
    <s v="N"/>
    <s v="Grupo Kontrip"/>
    <s v="Felice Automoveis Ltda"/>
    <s v="-"/>
    <s v="Azul Linhas Aereas"/>
    <n v="721127445"/>
    <s v="KONTRIP"/>
    <s v="-"/>
    <x v="19"/>
    <n v="116.64"/>
    <n v="0"/>
    <n v="0"/>
    <n v="0"/>
    <n v="0"/>
    <n v="203.08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4257"/>
    <n v="23506291"/>
    <s v="ACC01"/>
    <x v="20"/>
    <d v="2025-08-07T20:31:09"/>
    <s v="0 a 02 dias"/>
    <s v="0 a 02 dias"/>
    <s v="SP4F5K"/>
    <s v="EBOOKING"/>
    <s v="SANTOS/SUELLEN"/>
    <s v="Kontrip"/>
    <s v="Kontrip"/>
    <x v="20"/>
    <s v="-"/>
    <s v="-"/>
    <s v="OFF LINE"/>
    <s v="Cartão de crédito"/>
    <s v="Cartão de crédito"/>
    <s v="Aéreo"/>
    <s v="N"/>
    <s v="Grupo Kontrip"/>
    <s v="M3. Business Group Ltda"/>
    <s v="-"/>
    <s v="Azul Linhas Aereas"/>
    <n v="259866459"/>
    <s v="KONTRIP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4264"/>
    <n v="23506303"/>
    <s v="ACC01"/>
    <x v="21"/>
    <d v="2025-08-07T20:33:40"/>
    <s v="0 a 02 dias"/>
    <s v="0 a 02 dias"/>
    <s v="VMYRHG"/>
    <s v="EBOOKING"/>
    <s v="VALENTE/KEILA"/>
    <s v="Kontrip"/>
    <s v="Kontrip"/>
    <x v="21"/>
    <s v="-"/>
    <s v="-"/>
    <s v="OFF LINE"/>
    <s v="Cartão de crédito"/>
    <s v="Cartão de crédito"/>
    <s v="Aéreo"/>
    <s v="N"/>
    <s v="Grupo Kontrip"/>
    <s v="M3. Business Group Ltda"/>
    <s v="-"/>
    <s v="Azul Linhas Aereas"/>
    <n v="384657625"/>
    <s v="KONTRIP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4266"/>
    <n v="23506306"/>
    <s v="ACC01"/>
    <x v="22"/>
    <d v="2025-08-07T20:33:44"/>
    <s v="0 a 02 dias"/>
    <s v="0 a 02 dias"/>
    <s v="LLL72T"/>
    <s v="EBOOKING"/>
    <s v="OLIVEIRA/ADRIANA"/>
    <s v="Kontrip"/>
    <s v="Kontrip"/>
    <x v="22"/>
    <s v="-"/>
    <s v="-"/>
    <s v="OFF LINE"/>
    <s v="Cartão de crédito"/>
    <s v="Cartão de crédito"/>
    <s v="Aéreo"/>
    <s v="N"/>
    <s v="Grupo Kontrip"/>
    <s v="M3. Business Group Ltda"/>
    <s v="-"/>
    <s v="Azul Linhas Aereas"/>
    <n v="968746609"/>
    <s v="KONTRIP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4366"/>
    <n v="23506390"/>
    <s v="ACC01"/>
    <x v="23"/>
    <d v="2025-08-07T21:01:30"/>
    <s v="0 a 02 dias"/>
    <s v="0 a 02 dias"/>
    <s v="YPRQYN"/>
    <s v="EBOOKING"/>
    <s v="Borba/Felipe"/>
    <s v="Kontrip"/>
    <s v="Kontrip"/>
    <x v="23"/>
    <s v="-"/>
    <s v="-"/>
    <s v="OFF LINE"/>
    <s v="Invoice"/>
    <s v="Cartão convênio"/>
    <s v="Aéreo"/>
    <s v="N"/>
    <s v="Grupo Kontrip"/>
    <s v="Galera Gaming Jogos Eletronicos"/>
    <s v="-"/>
    <s v="Azul Linhas Aereas"/>
    <n v="553122361"/>
    <s v="KONTRIP"/>
    <s v="-"/>
    <x v="21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3064"/>
    <n v="23505173"/>
    <s v="ACC01"/>
    <x v="24"/>
    <d v="2025-08-07T18:28:04"/>
    <s v="0 a 02 dias"/>
    <s v="0 a 02 dias"/>
    <s v="BPP6HH"/>
    <s v="EBOOKING"/>
    <s v="Alexandre Frosini Evangelista/Carlos"/>
    <s v="Kontrip"/>
    <s v="Kontrip"/>
    <x v="24"/>
    <s v="-"/>
    <s v="-"/>
    <s v="OFF LINE"/>
    <s v="Cartão de crédito"/>
    <s v="Cartão de crédito"/>
    <s v="Aéreo"/>
    <s v="N"/>
    <s v="Grupo Kontrip"/>
    <s v="Associacao Brasileira de Geracao Distribuida - Abgd"/>
    <s v="-"/>
    <s v="Azul Linhas Aereas"/>
    <n v="530146970"/>
    <s v="KONTRIP"/>
    <s v="-"/>
    <x v="22"/>
    <n v="45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3095"/>
    <n v="23505205"/>
    <s v="ACC01"/>
    <x v="25"/>
    <d v="2025-08-07T18:31:54"/>
    <s v="0 a 02 dias"/>
    <s v="0 a 02 dias"/>
    <s v="KQRSAC"/>
    <s v="EBOOKING"/>
    <s v="Sampaio/Bergsan"/>
    <s v="Kontrip"/>
    <s v="Kontrip"/>
    <x v="25"/>
    <s v="-"/>
    <s v="-"/>
    <s v="OFF LINE"/>
    <s v="Cartão de crédito"/>
    <s v="Cartão de crédito"/>
    <s v="Aéreo"/>
    <s v="N"/>
    <s v="Grupo Kontrip"/>
    <s v="Ntsec - Network Security"/>
    <s v="-"/>
    <s v="Gol Linhas Aereas"/>
    <n v="2142916171"/>
    <s v="KONTRIP"/>
    <s v="-"/>
    <x v="23"/>
    <n v="36.67"/>
    <n v="0"/>
    <n v="145.04"/>
    <n v="0"/>
    <n v="0"/>
    <n v="111.68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3175"/>
    <n v="23505287"/>
    <s v="ACC01"/>
    <x v="26"/>
    <d v="2025-08-07T18:39:16"/>
    <s v="0 a 02 dias"/>
    <s v="0 a 02 dias"/>
    <s v="IRPIKD"/>
    <s v="EBOOKING"/>
    <s v="Sampaio/Bergsan"/>
    <s v="Kontrip"/>
    <s v="Kontrip"/>
    <x v="26"/>
    <s v="-"/>
    <s v="-"/>
    <s v="OFF LINE"/>
    <s v="Cartão de crédito"/>
    <s v="Cartão de crédito"/>
    <s v="Aéreo"/>
    <s v="N"/>
    <s v="Grupo Kontrip"/>
    <s v="Ntsec - Network Security"/>
    <s v="-"/>
    <s v="Gol Linhas Aereas"/>
    <n v="2142916962"/>
    <s v="KONTRIP"/>
    <s v="-"/>
    <x v="24"/>
    <n v="51.07"/>
    <n v="0"/>
    <n v="169.88"/>
    <n v="0"/>
    <n v="0"/>
    <n v="130.81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686963"/>
    <n v="23490647"/>
    <s v="ACC01"/>
    <x v="27"/>
    <d v="2025-08-06T18:28:02"/>
    <s v="0 a 02 dias"/>
    <s v="03 a 05 dias"/>
    <s v="YOVNRQ"/>
    <s v="EBOOKING"/>
    <s v="ALMEIDA/LUIZ"/>
    <s v="Kontrip"/>
    <s v="Kontrip"/>
    <x v="27"/>
    <s v="-"/>
    <s v="-"/>
    <s v="OFF LINE"/>
    <s v="Invoice"/>
    <s v="Cartão convênio"/>
    <s v="Aéreo"/>
    <s v="S"/>
    <s v="Grupo Kontrip"/>
    <s v="Araforros Ind e Comercio de Perfilados Ltda Em Recuperacao Judicial"/>
    <s v="-"/>
    <s v="Azul Linhas Aereas"/>
    <n v="3023498529"/>
    <s v="KONTRIP"/>
    <s v="-"/>
    <x v="25"/>
    <n v="0"/>
    <n v="0"/>
    <n v="0"/>
    <n v="0"/>
    <n v="0"/>
    <n v="0"/>
    <s v="obs"/>
    <s v="Validação do documento: Valor dever ser maior que zero !"/>
    <s v="KONTRIP"/>
    <s v="Não identificado"/>
    <s v="Análise Benner"/>
    <s v="Sistema"/>
    <s v="Qualidade dos dados"/>
    <s v="KONTRIP VIAGENS"/>
  </r>
  <r>
    <n v="22693553"/>
    <n v="23496484"/>
    <s v="ACC01"/>
    <x v="28"/>
    <d v="2025-08-06T12:55:23"/>
    <s v="0 a 02 dias"/>
    <s v="0 a 02 dias"/>
    <s v="EFCSHY"/>
    <s v="EBOOKING"/>
    <s v="ROGERIO DE FRANÇA/PAULO"/>
    <s v="Kontrip"/>
    <s v="Kontrip"/>
    <x v="28"/>
    <s v="-"/>
    <s v="-"/>
    <s v="OFF LINE"/>
    <s v="Cartão de crédito"/>
    <s v="Cartão de crédito"/>
    <s v="Aéreo"/>
    <s v="N"/>
    <s v="Grupo Kontrip"/>
    <s v="Mei Instalacao Industrial Ltda"/>
    <s v="-"/>
    <s v="Azul Linhas Aereas"/>
    <n v="442777606"/>
    <s v="KONTRIP"/>
    <s v="-"/>
    <x v="26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692401"/>
    <n v="23495383"/>
    <s v="ACC01"/>
    <x v="29"/>
    <d v="2025-08-06T10:55:59"/>
    <s v="0 a 02 dias"/>
    <s v="0 a 02 dias"/>
    <s v="NRFVAS"/>
    <s v="MANUAL"/>
    <s v="Cardoso/Felipe"/>
    <s v="Kontrip"/>
    <s v="Kontrip"/>
    <x v="29"/>
    <s v="-"/>
    <s v="-"/>
    <s v="OFF LINE"/>
    <s v="Cartão de crédito"/>
    <s v="Cartão de crédito"/>
    <s v="Aéreo"/>
    <s v="S"/>
    <s v="Grupo Kontrip"/>
    <s v="Kontrip - Vendas Cartao de Credito"/>
    <s v="-"/>
    <s v="Latam Airlines Brasil"/>
    <n v="2243683469"/>
    <s v="KONTRIP"/>
    <s v="-"/>
    <x v="27"/>
    <n v="30.95"/>
    <n v="0"/>
    <n v="59.03"/>
    <n v="0"/>
    <n v="0"/>
    <n v="0"/>
    <s v="obsCancelamento VOID do pax FELIPE CARDOSO"/>
    <s v="Verificação de bilhetes: Bilhete 2243683469 já sendo utilizado para este fornecedor."/>
    <s v="KONTRIP"/>
    <s v="Bilhete duplicado"/>
    <s v="Bilhete Já Contabilizado"/>
    <s v="Duplicidade de Contabilização"/>
    <s v="Qualidade dos dados"/>
    <s v="KONTRIP VIAGENS"/>
  </r>
  <r>
    <n v="22700765"/>
    <n v="23502981"/>
    <s v="ACC01"/>
    <x v="30"/>
    <d v="2025-08-07T12:43:35"/>
    <s v="0 a 02 dias"/>
    <s v="0 a 02 dias"/>
    <s v="CME1UD"/>
    <s v="EBOOKING"/>
    <s v="MARIO MOUTINHO/LUIZ"/>
    <s v="Kontrip"/>
    <s v="Kontrip"/>
    <x v="30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781870213"/>
    <s v="KONTRIP"/>
    <s v="-"/>
    <x v="28"/>
    <n v="119.51"/>
    <n v="0"/>
    <n v="201.31"/>
    <n v="0"/>
    <n v="0"/>
    <n v="66.430000000000007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473"/>
    <n v="23502703"/>
    <s v="ACC01"/>
    <x v="31"/>
    <d v="2025-08-07T12:28:19"/>
    <s v="0 a 02 dias"/>
    <s v="0 a 02 dias"/>
    <s v="WAQULI"/>
    <s v="EBOOKING"/>
    <s v="Santos Junior/Roberto"/>
    <s v="Kontrip"/>
    <s v="Kontrip"/>
    <x v="31"/>
    <s v="-"/>
    <s v="-"/>
    <s v="OFF LINE"/>
    <s v="Cartão de crédito"/>
    <s v="Cartão de crédito"/>
    <s v="Aéreo"/>
    <s v="N"/>
    <s v="Grupo Kontrip"/>
    <s v="Memora"/>
    <s v="-"/>
    <s v="Latam Airlines Brasil"/>
    <n v="2244411354"/>
    <s v="KONTRIP"/>
    <s v="-"/>
    <x v="29"/>
    <n v="80.69"/>
    <n v="0"/>
    <n v="0"/>
    <n v="0"/>
    <n v="0"/>
    <n v="88.19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624"/>
    <n v="23502845"/>
    <s v="ACC01"/>
    <x v="32"/>
    <d v="2025-08-07T12:37:01"/>
    <s v="0 a 02 dias"/>
    <s v="0 a 02 dias"/>
    <s v="UHQOPY"/>
    <s v="EBOOKING"/>
    <s v="Powell/Alexandre"/>
    <s v="Kontrip"/>
    <s v="Kontrip"/>
    <x v="32"/>
    <s v="-"/>
    <s v="-"/>
    <s v="OFF LINE"/>
    <s v="Cartão de crédito"/>
    <s v="Cartão de crédito"/>
    <s v="Aéreo"/>
    <s v="N"/>
    <s v="Grupo Kontrip"/>
    <s v="Powell Consultoria"/>
    <s v="-"/>
    <s v="Latam Airlines Brasil"/>
    <n v="2244375759"/>
    <s v="KONTRIP"/>
    <s v="-"/>
    <x v="30"/>
    <n v="450"/>
    <n v="0"/>
    <n v="0"/>
    <n v="0"/>
    <n v="0"/>
    <n v="40"/>
    <s v="obs"/>
    <s v="Verificação de bilhetes: Bilhete 2244375759 já sendo utilizado para este fornecedor."/>
    <s v="KONTRIP"/>
    <s v="Bilhete duplicado"/>
    <s v="Bilhete Já Contabilizado"/>
    <s v="Duplicidade de Contabilização"/>
    <s v="Qualidade dos dados"/>
    <s v="KONTRIP VIAGENS"/>
  </r>
  <r>
    <n v="22700741"/>
    <n v="23502957"/>
    <s v="ACC01"/>
    <x v="33"/>
    <d v="2025-08-07T12:42:54"/>
    <s v="0 a 02 dias"/>
    <s v="0 a 02 dias"/>
    <s v="LA9579303WVLK"/>
    <s v="EBOOKING"/>
    <s v="KERTZMAN/IVAN"/>
    <s v="Kontrip"/>
    <s v="Kontrip"/>
    <x v="33"/>
    <s v="-"/>
    <s v="-"/>
    <s v="OFF LINE"/>
    <s v="Cartão de crédito"/>
    <s v="Cartão de crédito"/>
    <s v="Aéreo"/>
    <s v="N"/>
    <s v="Grupo Kontrip"/>
    <s v="Imadec"/>
    <s v="-"/>
    <s v="Latam Airlines Brasil"/>
    <n v="2244684148"/>
    <s v="KONTRIP"/>
    <s v="-"/>
    <x v="31"/>
    <n v="43.65"/>
    <n v="0"/>
    <n v="60.07"/>
    <n v="0"/>
    <n v="0"/>
    <n v="39.65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696940"/>
    <n v="23499770"/>
    <s v="ACC01"/>
    <x v="34"/>
    <d v="2025-08-06T21:01:21"/>
    <s v="0 a 02 dias"/>
    <s v="0 a 02 dias"/>
    <s v="LA9578941SQLG"/>
    <s v="EBOOKING"/>
    <s v="Elizabeth Guilarte/Dayana"/>
    <s v="Kontrip"/>
    <s v="Kontrip"/>
    <x v="34"/>
    <s v="-"/>
    <s v="-"/>
    <s v="OFF LINE"/>
    <s v="Cartão de crédito"/>
    <s v="Cartão de crédito"/>
    <s v="Aéreo"/>
    <s v="N"/>
    <s v="Grupo Kontrip"/>
    <s v="Zubale Brasil Tecnologia Ltda."/>
    <s v="-"/>
    <s v="Latam Airlines Brasil"/>
    <n v="2244613800"/>
    <s v="KONTRIP"/>
    <s v="-"/>
    <x v="32"/>
    <n v="60.62"/>
    <n v="0"/>
    <n v="180.55"/>
    <n v="0"/>
    <n v="0"/>
    <n v="119.16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696941"/>
    <n v="23499771"/>
    <s v="ACC01"/>
    <x v="35"/>
    <d v="2025-08-06T21:03:09"/>
    <s v="0 a 02 dias"/>
    <s v="0 a 02 dias"/>
    <s v="LA9578787ETLE"/>
    <s v="EBOOKING"/>
    <s v="Elizabeth Guilarte/Dayana"/>
    <s v="Kontrip"/>
    <s v="Kontrip"/>
    <x v="34"/>
    <s v="-"/>
    <s v="-"/>
    <s v="OFF LINE"/>
    <s v="Cartão de crédito"/>
    <s v="Cartão de crédito"/>
    <s v="Aéreo"/>
    <s v="N"/>
    <s v="Grupo Kontrip"/>
    <s v="Zubale Brasil Tecnologia Ltda."/>
    <s v="-"/>
    <s v="Latam Airlines Brasil"/>
    <n v="2244613732"/>
    <s v="KONTRIP"/>
    <s v="-"/>
    <x v="33"/>
    <n v="52.56"/>
    <n v="0"/>
    <n v="208.31"/>
    <n v="0"/>
    <n v="0"/>
    <n v="137.49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699617"/>
    <n v="23501892"/>
    <s v="ACC01"/>
    <x v="36"/>
    <d v="2025-08-07T10:34:10"/>
    <s v="0 a 02 dias"/>
    <s v="0 a 02 dias"/>
    <s v="XNK8WT"/>
    <s v="EBOOKING"/>
    <s v="SILVA/ABEL"/>
    <s v="Kontrip"/>
    <s v="Kontrip"/>
    <x v="35"/>
    <s v="-"/>
    <s v="-"/>
    <s v="OFF LINE"/>
    <s v="Cartão de crédito"/>
    <s v="Cartão de crédito"/>
    <s v="Aéreo"/>
    <s v="N"/>
    <s v="Grupo Kontrip"/>
    <s v="Topocart Topografia Engenharia e Aerolevantamentos"/>
    <s v="-"/>
    <s v="Azul Linhas Aereas"/>
    <n v="778248674"/>
    <s v="KONTRIP"/>
    <s v="-"/>
    <x v="34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023"/>
    <n v="23502265"/>
    <s v="ACC01"/>
    <x v="37"/>
    <d v="2025-08-07T11:43:19"/>
    <s v="0 a 02 dias"/>
    <s v="0 a 02 dias"/>
    <s v="RQYD9H"/>
    <s v="EBOOKING"/>
    <s v="Leguizamón/Iolanda"/>
    <s v="Kontrip"/>
    <s v="Kontrip"/>
    <x v="36"/>
    <s v="-"/>
    <s v="-"/>
    <s v="OFF LINE"/>
    <s v="Cartão de crédito"/>
    <s v="Cartão de crédito"/>
    <s v="Aéreo"/>
    <s v="N"/>
    <s v="Grupo Kontrip"/>
    <s v="Iolanda de Almeida Leguizamon Ltda"/>
    <s v="-"/>
    <s v="Azul Linhas Aereas"/>
    <n v="545138544"/>
    <s v="KONTRIP"/>
    <s v="-"/>
    <x v="35"/>
    <n v="93.59"/>
    <n v="0"/>
    <n v="0"/>
    <n v="0"/>
    <n v="0"/>
    <n v="81.88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0023"/>
    <n v="23502266"/>
    <s v="ACC02"/>
    <x v="37"/>
    <d v="2025-08-07T11:43:19"/>
    <s v="0 a 02 dias"/>
    <s v="0 a 02 dias"/>
    <s v="RQYD9H"/>
    <s v="EBOOKING"/>
    <s v="Leguizamón/Jorge"/>
    <s v="Kontrip"/>
    <s v="Kontrip"/>
    <x v="36"/>
    <s v="-"/>
    <s v="-"/>
    <s v="OFF LINE"/>
    <s v="Cartão de crédito"/>
    <s v="Cartão de crédito"/>
    <s v="Aéreo"/>
    <s v="N"/>
    <s v="Grupo Kontrip"/>
    <s v="Iolanda de Almeida Leguizamon Ltda"/>
    <s v="-"/>
    <s v="Azul Linhas Aereas"/>
    <n v="380351125"/>
    <s v="KONTRIP"/>
    <s v="-"/>
    <x v="35"/>
    <n v="93.59"/>
    <n v="0"/>
    <n v="0"/>
    <n v="0"/>
    <n v="0"/>
    <n v="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0070"/>
    <n v="23502309"/>
    <s v="ACC01"/>
    <x v="38"/>
    <d v="2025-08-07T11:56:50"/>
    <s v="0 a 02 dias"/>
    <s v="0 a 02 dias"/>
    <s v="YM1U2G"/>
    <s v="EBOOKING"/>
    <s v="ESTEVAO PERDIGAO DE MIRANDA/LUIZ"/>
    <s v="Kontrip"/>
    <s v="Kontrip"/>
    <x v="37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743416547"/>
    <s v="KONTRIP"/>
    <s v="-"/>
    <x v="36"/>
    <n v="87.96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695090"/>
    <n v="23497957"/>
    <s v="ACC01"/>
    <x v="39"/>
    <d v="2025-08-06T17:42:50"/>
    <s v="0 a 02 dias"/>
    <s v="0 a 02 dias"/>
    <s v="QIGHPS"/>
    <s v="EBOOKING"/>
    <s v="FERREIRA/ISABELLE"/>
    <s v="Kontrip"/>
    <s v="Kontrip"/>
    <x v="38"/>
    <s v="-"/>
    <s v="-"/>
    <s v="OFF LINE"/>
    <s v="Cartão de crédito"/>
    <s v="Cartão de crédito"/>
    <s v="Aéreo"/>
    <s v="N"/>
    <s v="Grupo Kontrip"/>
    <s v="Tailler"/>
    <s v="-"/>
    <s v="Azul Linhas Aereas"/>
    <n v="408236868"/>
    <s v="KONTRIP"/>
    <s v="-"/>
    <x v="37"/>
    <n v="93.46"/>
    <n v="0"/>
    <n v="0"/>
    <n v="0"/>
    <n v="0"/>
    <n v="40.92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695192"/>
    <n v="23498043"/>
    <s v="ACC01"/>
    <x v="40"/>
    <d v="2025-08-06T18:01:59"/>
    <s v="0 a 02 dias"/>
    <s v="0 a 02 dias"/>
    <s v="YJD2PC"/>
    <s v="EBOOKING"/>
    <s v="FERREIRA/ISABELLE"/>
    <s v="Kontrip"/>
    <s v="Kontrip"/>
    <x v="39"/>
    <s v="-"/>
    <s v="-"/>
    <s v="OFF LINE"/>
    <s v="Cartão de crédito"/>
    <s v="Cartão de crédito"/>
    <s v="Aéreo"/>
    <s v="N"/>
    <s v="Grupo Kontrip"/>
    <s v="Tailler"/>
    <s v="-"/>
    <s v="Azul Linhas Aereas"/>
    <n v="267448399"/>
    <s v="KONTRIP"/>
    <s v="-"/>
    <x v="38"/>
    <n v="96.57"/>
    <n v="0"/>
    <n v="0"/>
    <n v="0"/>
    <n v="0"/>
    <n v="40.92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694293"/>
    <n v="23497154"/>
    <s v="ACC"/>
    <x v="41"/>
    <d v="2025-08-06T15:35:51"/>
    <s v="0 a 02 dias"/>
    <s v="0 a 02 dias"/>
    <s v="PLKSQW"/>
    <s v="MANUAL"/>
    <s v="ELIZABETH SILVA"/>
    <s v="Kontrip"/>
    <s v="Kontrip"/>
    <x v="40"/>
    <s v="-"/>
    <s v="-"/>
    <s v="OFF LINE"/>
    <s v="Invoice"/>
    <s v="Cartão convênio"/>
    <s v="Aéreo"/>
    <s v="N"/>
    <s v="Grupo Kontrip"/>
    <s v="Kontrip - Vendas Cartao de Credito"/>
    <s v="-"/>
    <s v="Azul Linhas Aereas"/>
    <n v="3023497153"/>
    <s v="KONTRIP"/>
    <s v="-"/>
    <x v="39"/>
    <n v="86.14"/>
    <n v="0"/>
    <n v="0"/>
    <n v="0"/>
    <n v="0"/>
    <n v="107.03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693812"/>
    <n v="23496718"/>
    <s v="ACC01"/>
    <x v="42"/>
    <d v="2025-08-06T13:50:13"/>
    <s v="0 a 02 dias"/>
    <s v="0 a 02 dias"/>
    <s v="II9WRC"/>
    <s v="EBOOKING"/>
    <s v="EMILIO BRANDAO DE ARAUJO/CARLOS"/>
    <s v="Kontrip"/>
    <s v="Kontrip"/>
    <x v="41"/>
    <s v="-"/>
    <s v="-"/>
    <s v="OFF LINE"/>
    <s v="Cartão de crédito"/>
    <s v="Cartão de crédito"/>
    <s v="Aéreo"/>
    <s v="N"/>
    <s v="Grupo Kontrip"/>
    <s v="Conorte Servicos Industriais Ltda"/>
    <s v="-"/>
    <s v="Azul Linhas Aereas"/>
    <n v="863078581"/>
    <s v="KONTRIP"/>
    <s v="-"/>
    <x v="40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651101"/>
    <n v="23460675"/>
    <s v="ACC01"/>
    <x v="43"/>
    <d v="2025-07-31T09:54:58"/>
    <s v="06 a 08 dias"/>
    <s v="09 a 15 dias"/>
    <s v="MQU7YH01"/>
    <s v="EBOOKING"/>
    <s v="GONÇALVES/GUSTAVO"/>
    <s v="Kontrip"/>
    <s v="Kontrip"/>
    <x v="42"/>
    <s v="-"/>
    <s v="-"/>
    <s v="OFF LINE"/>
    <s v="?"/>
    <s v="?"/>
    <s v="Aéreo"/>
    <s v="S"/>
    <s v="Grupo Kontrip"/>
    <s v="Associacao Colo de Deus e Santissima Virgem (a.c.d.s.v)"/>
    <s v="-"/>
    <s v="Azul Linhas Aereas"/>
    <n v="980419988"/>
    <s v="KONTRIP"/>
    <s v="-"/>
    <x v="41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761"/>
    <n v="23503924"/>
    <s v="ACC"/>
    <x v="44"/>
    <d v="2025-08-07T16:10:02"/>
    <s v="0 a 02 dias"/>
    <s v="0 a 02 dias"/>
    <s v="OMQC5Q"/>
    <s v="MANUAL"/>
    <s v="ANA PAULA NERI"/>
    <s v="Kontrip"/>
    <s v="Kontrip"/>
    <x v="43"/>
    <s v="-"/>
    <s v="-"/>
    <s v="OFF LINE"/>
    <s v="Cartão de crédito"/>
    <s v="Cartão de crédito"/>
    <s v="Aéreo"/>
    <s v="N"/>
    <s v="Grupo Kontrip"/>
    <s v="Tivita Tecnologia E Servicos Ltda"/>
    <s v="-"/>
    <s v="Azul Linhas Aereas"/>
    <n v="3023503923"/>
    <s v="KONTRIP"/>
    <s v="-"/>
    <x v="42"/>
    <n v="33.56"/>
    <n v="0"/>
    <n v="0"/>
    <n v="0"/>
    <n v="0"/>
    <n v="47.39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2702509"/>
    <n v="23504650"/>
    <s v="ACC01"/>
    <x v="45"/>
    <d v="2025-08-07T17:54:45"/>
    <s v="0 a 02 dias"/>
    <s v="0 a 02 dias"/>
    <s v="IMMTNW"/>
    <s v="EBOOKING"/>
    <s v="Ribeiro Gomes Amorim/Fernanda"/>
    <s v="Kontrip"/>
    <s v="Kontrip"/>
    <x v="44"/>
    <s v="-"/>
    <s v="-"/>
    <s v="OFF LINE"/>
    <s v="Cartão de crédito"/>
    <s v="Cartão de crédito"/>
    <s v="Aéreo"/>
    <s v="N"/>
    <s v="Grupo Kontrip"/>
    <s v="Vpr Consultoria, Eventos, Servicos e Treinamentos Ltda"/>
    <s v="-"/>
    <s v="Gol Linhas Aereas"/>
    <n v="2142913055"/>
    <s v="KONTRIP"/>
    <s v="-"/>
    <x v="43"/>
    <n v="59.95"/>
    <n v="0"/>
    <n v="0"/>
    <n v="0"/>
    <n v="0"/>
    <n v="15.2"/>
    <s v="obs"/>
    <s v="Não foi possível encontrar configuração válida para Administradora de código 1 e Data Emissão 06/08/2025"/>
    <s v="KONTRIP"/>
    <s v="Não identificado"/>
    <s v="Análise Benner"/>
    <s v="Sistema"/>
    <s v="Qualidade dos dados"/>
    <s v="KONTRIP VIAGENS"/>
  </r>
  <r>
    <n v="22702557"/>
    <n v="23504693"/>
    <s v="ACC01"/>
    <x v="46"/>
    <d v="2025-08-07T18:03:49"/>
    <s v="0 a 02 dias"/>
    <s v="0 a 02 dias"/>
    <s v="LN5PJQ"/>
    <s v="EBOOKING"/>
    <s v="PROENÇA/JOSE"/>
    <s v="Kontrip"/>
    <s v="Kontrip"/>
    <x v="45"/>
    <s v="-"/>
    <s v="-"/>
    <s v="OFF LINE"/>
    <s v="Cartão de crédito"/>
    <s v="Cartão de crédito"/>
    <s v="Aéreo"/>
    <s v="N"/>
    <s v="Grupo Kontrip"/>
    <s v="Associacao Colo de Deus e Santissima Virgem (a.c.d.s.v)"/>
    <s v="-"/>
    <s v="Azul Linhas Aereas"/>
    <n v="771850144"/>
    <s v="KONTRIP"/>
    <s v="-"/>
    <x v="44"/>
    <n v="48.16"/>
    <n v="0"/>
    <n v="0"/>
    <n v="0"/>
    <n v="0"/>
    <n v="78.38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2290"/>
    <n v="23504426"/>
    <s v="ACC01"/>
    <x v="47"/>
    <d v="2025-08-07T17:23:04"/>
    <s v="0 a 02 dias"/>
    <s v="0 a 02 dias"/>
    <s v="TE2DPR"/>
    <s v="EBOOKING"/>
    <s v="Ferrari/Vinicius"/>
    <s v="Kontrip"/>
    <s v="Kontrip"/>
    <x v="46"/>
    <s v="-"/>
    <s v="-"/>
    <s v="OFF LINE"/>
    <s v="Cartão de crédito"/>
    <s v="Cartão de crédito"/>
    <s v="Aéreo"/>
    <s v="N"/>
    <s v="Grupo Kontrip"/>
    <s v="Neurox"/>
    <s v="-"/>
    <s v="Azul Linhas Aereas"/>
    <n v="793480309"/>
    <s v="KONTRIP"/>
    <s v="-"/>
    <x v="45"/>
    <n v="60.62"/>
    <n v="0"/>
    <n v="0"/>
    <n v="0"/>
    <n v="0"/>
    <n v="255.05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2180"/>
    <n v="23504319"/>
    <s v="ACC01"/>
    <x v="48"/>
    <d v="2025-08-07T17:01:08"/>
    <s v="0 a 02 dias"/>
    <s v="0 a 02 dias"/>
    <s v="NQUL5E"/>
    <s v="EBOOKING"/>
    <s v="de Aguiar Ribeiro/Gustavo"/>
    <s v="Kontrip"/>
    <s v="Kontrip"/>
    <x v="47"/>
    <s v="-"/>
    <s v="-"/>
    <s v="OFF LINE"/>
    <s v="Cartão de crédito"/>
    <s v="Cartão de crédito"/>
    <s v="Aéreo"/>
    <s v="N"/>
    <s v="Grupo Kontrip"/>
    <s v="Tributo Devido Contabilidade e Assessoria Tributaria Ltda"/>
    <s v="-"/>
    <s v="Azul Linhas Aereas"/>
    <n v="663202476"/>
    <s v="KONTRIP"/>
    <s v="-"/>
    <x v="46"/>
    <n v="82.86"/>
    <n v="0"/>
    <n v="0"/>
    <n v="0"/>
    <n v="0"/>
    <n v="489.88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2180"/>
    <n v="23504320"/>
    <s v="ACC02"/>
    <x v="48"/>
    <d v="2025-08-07T17:01:08"/>
    <s v="0 a 02 dias"/>
    <s v="0 a 02 dias"/>
    <s v="NQUL5E"/>
    <s v="EBOOKING"/>
    <s v="BRANDÃO MAURICIO/Renata"/>
    <s v="Kontrip"/>
    <s v="Kontrip"/>
    <x v="47"/>
    <s v="-"/>
    <s v="-"/>
    <s v="OFF LINE"/>
    <s v="Cartão de crédito"/>
    <s v="Cartão de crédito"/>
    <s v="Aéreo"/>
    <s v="N"/>
    <s v="Grupo Kontrip"/>
    <s v="Tributo Devido Contabilidade e Assessoria Tributaria Ltda"/>
    <s v="-"/>
    <s v="Azul Linhas Aereas"/>
    <n v="392102362"/>
    <s v="KONTRIP"/>
    <s v="-"/>
    <x v="46"/>
    <n v="82.86"/>
    <n v="0"/>
    <n v="0"/>
    <n v="0"/>
    <n v="0"/>
    <n v="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2180"/>
    <n v="23504321"/>
    <s v="ACC03"/>
    <x v="48"/>
    <d v="2025-08-07T17:01:08"/>
    <s v="0 a 02 dias"/>
    <s v="0 a 02 dias"/>
    <s v="NQUL5E"/>
    <s v="EBOOKING"/>
    <s v="Gustavo Mauricio Ribeiro/Luiz"/>
    <s v="Kontrip"/>
    <s v="Kontrip"/>
    <x v="47"/>
    <s v="-"/>
    <s v="-"/>
    <s v="OFF LINE"/>
    <s v="Cartão de crédito"/>
    <s v="Cartão de crédito"/>
    <s v="Aéreo"/>
    <s v="N"/>
    <s v="Grupo Kontrip"/>
    <s v="Tributo Devido Contabilidade e Assessoria Tributaria Ltda"/>
    <s v="-"/>
    <s v="Azul Linhas Aereas"/>
    <n v="877397275"/>
    <s v="KONTRIP"/>
    <s v="-"/>
    <x v="46"/>
    <n v="82.86"/>
    <n v="0"/>
    <n v="0"/>
    <n v="0"/>
    <n v="0"/>
    <n v="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858"/>
    <n v="23504017"/>
    <s v="ACC01"/>
    <x v="49"/>
    <d v="2025-08-07T16:12:25"/>
    <s v="0 a 02 dias"/>
    <s v="0 a 02 dias"/>
    <s v="LA9579834VCKM"/>
    <s v="EBOOKING"/>
    <s v="TAIRA/PAULA"/>
    <s v="Kontrip"/>
    <s v="Kontrip"/>
    <x v="48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717121"/>
    <s v="KONTRIP"/>
    <s v="-"/>
    <x v="47"/>
    <n v="108.78"/>
    <n v="0"/>
    <n v="115.02"/>
    <n v="0"/>
    <n v="0"/>
    <n v="227.75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858"/>
    <n v="23504018"/>
    <s v="ACC02"/>
    <x v="49"/>
    <d v="2025-08-07T16:12:25"/>
    <s v="0 a 02 dias"/>
    <s v="0 a 02 dias"/>
    <s v="LA9579834VCKM"/>
    <s v="EBOOKING"/>
    <s v="LI PUMA JUNIOR/MICHELE"/>
    <s v="Kontrip"/>
    <s v="Kontrip"/>
    <x v="48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717122"/>
    <s v="KONTRIP"/>
    <s v="-"/>
    <x v="47"/>
    <n v="108.78"/>
    <n v="0"/>
    <n v="115.02"/>
    <n v="0"/>
    <n v="0"/>
    <n v="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858"/>
    <n v="23504019"/>
    <s v="ACC03"/>
    <x v="49"/>
    <d v="2025-08-07T16:12:25"/>
    <s v="0 a 02 dias"/>
    <s v="0 a 02 dias"/>
    <s v="LA9579834VCKM"/>
    <s v="EBOOKING"/>
    <s v="SANTOS/MARIANA"/>
    <s v="Kontrip"/>
    <s v="Kontrip"/>
    <x v="48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717123"/>
    <s v="KONTRIP"/>
    <s v="-"/>
    <x v="47"/>
    <n v="108.78"/>
    <n v="0"/>
    <n v="115.02"/>
    <n v="0"/>
    <n v="0"/>
    <n v="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923"/>
    <n v="23504074"/>
    <s v="ACC01"/>
    <x v="50"/>
    <d v="2025-08-07T16:19:01"/>
    <s v="0 a 02 dias"/>
    <s v="0 a 02 dias"/>
    <s v="ZIUBHS"/>
    <s v="EBOOKING"/>
    <s v="NOGUEIRA MARINI/FABRIZIO"/>
    <s v="Kontrip"/>
    <s v="Kontrip"/>
    <x v="49"/>
    <s v="-"/>
    <s v="-"/>
    <s v="OFF LINE"/>
    <s v="Cartão de crédito"/>
    <s v="Cartão de crédito"/>
    <s v="Aéreo"/>
    <s v="N"/>
    <s v="Grupo Kontrip"/>
    <s v="Fundamentos Sistemas"/>
    <s v="-"/>
    <s v="Azul Linhas Aereas"/>
    <n v="625487084"/>
    <s v="KONTRIP"/>
    <s v="-"/>
    <x v="48"/>
    <n v="91.57"/>
    <n v="0"/>
    <n v="0"/>
    <n v="0"/>
    <n v="0"/>
    <n v="163.47999999999999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963"/>
    <n v="23504109"/>
    <s v="ACC01"/>
    <x v="51"/>
    <d v="2025-08-07T16:25:04"/>
    <s v="0 a 02 dias"/>
    <s v="0 a 02 dias"/>
    <s v="ONT1UQ"/>
    <s v="EBOOKING"/>
    <s v="SILVEIRA/VINICIUS"/>
    <s v="Kontrip"/>
    <s v="Kontrip"/>
    <x v="50"/>
    <s v="-"/>
    <s v="-"/>
    <s v="OFF LINE"/>
    <s v="?"/>
    <s v="?"/>
    <s v="Aéreo"/>
    <s v="N"/>
    <s v="Grupo Kontrip"/>
    <s v="Associacao Colo de Deus e Santissima Virgem (a.c.d.s.v)"/>
    <s v="-"/>
    <s v="Azul Linhas Aereas"/>
    <n v="433154923"/>
    <s v="KONTRIP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963"/>
    <n v="23504110"/>
    <s v="ACC02"/>
    <x v="51"/>
    <d v="2025-08-07T16:25:04"/>
    <s v="0 a 02 dias"/>
    <s v="0 a 02 dias"/>
    <s v="ONT1UQ"/>
    <s v="EBOOKING"/>
    <s v="MARQUES/JONNATA"/>
    <s v="Kontrip"/>
    <s v="Kontrip"/>
    <x v="50"/>
    <s v="-"/>
    <s v="-"/>
    <s v="OFF LINE"/>
    <s v="?"/>
    <s v="?"/>
    <s v="Aéreo"/>
    <s v="N"/>
    <s v="Grupo Kontrip"/>
    <s v="Associacao Colo de Deus e Santissima Virgem (a.c.d.s.v)"/>
    <s v="-"/>
    <s v="Azul Linhas Aereas"/>
    <n v="530336503"/>
    <s v="KONTRIP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963"/>
    <n v="23504111"/>
    <s v="ACC03"/>
    <x v="51"/>
    <d v="2025-08-07T16:25:04"/>
    <s v="0 a 02 dias"/>
    <s v="0 a 02 dias"/>
    <s v="ONT1UQ"/>
    <s v="EBOOKING"/>
    <s v="SILVA/SUELLEN"/>
    <s v="Kontrip"/>
    <s v="Kontrip"/>
    <x v="50"/>
    <s v="-"/>
    <s v="-"/>
    <s v="OFF LINE"/>
    <s v="?"/>
    <s v="?"/>
    <s v="Aéreo"/>
    <s v="N"/>
    <s v="Grupo Kontrip"/>
    <s v="Associacao Colo de Deus e Santissima Virgem (a.c.d.s.v)"/>
    <s v="-"/>
    <s v="Azul Linhas Aereas"/>
    <n v="881669034"/>
    <s v="KONTRIP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963"/>
    <n v="23504112"/>
    <s v="ACC04"/>
    <x v="51"/>
    <d v="2025-08-07T16:25:04"/>
    <s v="0 a 02 dias"/>
    <s v="0 a 02 dias"/>
    <s v="ONT1UQ"/>
    <s v="EBOOKING"/>
    <s v="SANTOS/MARIA"/>
    <s v="Kontrip"/>
    <s v="Kontrip"/>
    <x v="50"/>
    <s v="-"/>
    <s v="-"/>
    <s v="OFF LINE"/>
    <s v="?"/>
    <s v="?"/>
    <s v="Aéreo"/>
    <s v="N"/>
    <s v="Grupo Kontrip"/>
    <s v="Associacao Colo de Deus e Santissima Virgem (a.c.d.s.v)"/>
    <s v="-"/>
    <s v="Azul Linhas Aereas"/>
    <n v="655926091"/>
    <s v="KONTRIP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964"/>
    <n v="23504113"/>
    <s v="ACC01"/>
    <x v="52"/>
    <d v="2025-08-07T16:28:05"/>
    <s v="0 a 02 dias"/>
    <s v="0 a 02 dias"/>
    <s v="WRYNTH"/>
    <s v="EBOOKING"/>
    <s v="Barros da Costa/Marília"/>
    <s v="Kontrip"/>
    <s v="Kontrip"/>
    <x v="51"/>
    <s v="-"/>
    <s v="-"/>
    <s v="OFF LINE"/>
    <s v="?"/>
    <s v="?"/>
    <s v="Aéreo"/>
    <s v="N"/>
    <s v="Grupo Kontrip"/>
    <s v="Associacao Colo de Deus e Santissima Virgem (a.c.d.s.v)"/>
    <s v="-"/>
    <s v="Azul Linhas Aereas"/>
    <n v="125955518"/>
    <s v="KONTRIP"/>
    <s v="-"/>
    <x v="49"/>
    <n v="92.53"/>
    <n v="0"/>
    <n v="0"/>
    <n v="0"/>
    <n v="0"/>
    <n v="123.12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701979"/>
    <n v="23504123"/>
    <s v="ACC01"/>
    <x v="53"/>
    <d v="2025-08-07T16:28:05"/>
    <s v="0 a 02 dias"/>
    <s v="0 a 02 dias"/>
    <s v="JIYUSM"/>
    <s v="EBOOKING"/>
    <s v="VICENTE DA SILVA/ELIZABETE"/>
    <s v="Kontrip"/>
    <s v="Kontrip"/>
    <x v="52"/>
    <s v="-"/>
    <s v="-"/>
    <s v="OFF LINE"/>
    <s v="Cartão de crédito"/>
    <s v="Cartão de crédito"/>
    <s v="Aéreo"/>
    <s v="N"/>
    <s v="Grupo Kontrip"/>
    <s v="Nayane"/>
    <s v="-"/>
    <s v="Latam Airlines Brasil"/>
    <n v="2244704749"/>
    <s v="KONTRIP"/>
    <s v="-"/>
    <x v="50"/>
    <n v="450"/>
    <n v="0"/>
    <n v="0"/>
    <n v="0"/>
    <n v="0"/>
    <n v="40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594"/>
    <n v="23503746"/>
    <s v="ACC01"/>
    <x v="54"/>
    <d v="2025-08-07T15:27:46"/>
    <s v="0 a 02 dias"/>
    <s v="0 a 02 dias"/>
    <s v="LA9574257CKOF"/>
    <s v="EBOOKING"/>
    <s v="Guerreiro Mason/Ricardo"/>
    <s v="Kontrip"/>
    <s v="Kontrip"/>
    <x v="53"/>
    <s v="-"/>
    <s v="-"/>
    <s v="OFF LINE"/>
    <s v="Cartão de crédito"/>
    <s v="Cartão de crédito"/>
    <s v="Aéreo"/>
    <s v="N"/>
    <s v="Grupo Kontrip"/>
    <s v="Fortymil Industria de Plasticos Ltda"/>
    <s v="-"/>
    <s v="Latam Airlines Brasil"/>
    <n v="2244707942"/>
    <s v="KONTRIP"/>
    <s v="-"/>
    <x v="51"/>
    <n v="116.64"/>
    <n v="0"/>
    <n v="57.74"/>
    <n v="0"/>
    <n v="0"/>
    <n v="38.11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1432"/>
    <n v="23503600"/>
    <s v="ACC01"/>
    <x v="55"/>
    <d v="2025-08-07T14:40:01"/>
    <s v="0 a 02 dias"/>
    <s v="0 a 02 dias"/>
    <s v="LA9578799IXZM"/>
    <s v="EBOOKING"/>
    <s v="Castelo Branco Mesquita/Ilanna"/>
    <s v="Kontrip"/>
    <s v="Kontrip"/>
    <x v="54"/>
    <s v="-"/>
    <s v="-"/>
    <s v="OFF LINE"/>
    <s v="Cartão de crédito"/>
    <s v="Cartão de crédito"/>
    <s v="Aéreo"/>
    <s v="N"/>
    <s v="Grupo Kontrip"/>
    <s v="Certare Engenharia e Consultoria"/>
    <s v="-"/>
    <s v="Latam Airlines Brasil"/>
    <n v="2244701000"/>
    <s v="KONTRIP"/>
    <s v="-"/>
    <x v="52"/>
    <n v="101.01"/>
    <n v="0"/>
    <n v="82.38"/>
    <n v="0"/>
    <n v="0"/>
    <n v="54.37"/>
    <s v="obs"/>
    <s v="Não foi possível encontrar configuração válida para Administradora de código 1 e Data Emissão 07/08/2025"/>
    <s v="KONTRIP"/>
    <s v="Não identificado"/>
    <s v="Análise Benner"/>
    <s v="Sistema"/>
    <s v="Qualidade dos dados"/>
    <s v="KONTRIP VIAGENS"/>
  </r>
  <r>
    <n v="22702374"/>
    <n v="23504524"/>
    <s v="ACC01"/>
    <x v="56"/>
    <d v="2025-08-07T17:32:02"/>
    <s v="0 a 02 dias"/>
    <s v="0 a 02 dias"/>
    <s v="AEQMHY"/>
    <s v="MANUAL"/>
    <s v="FERNANDO LEITE"/>
    <s v="Juliana Cardoso"/>
    <s v="Juliana Cardoso"/>
    <x v="55"/>
    <s v="-"/>
    <s v="-"/>
    <s v="OFF LINE"/>
    <s v="Invoice"/>
    <s v="Cartão convênio"/>
    <s v="Aéreo"/>
    <s v="N"/>
    <s v="Grupo Kontrip"/>
    <s v="Kontrip - Vendas Cartao de Credito"/>
    <s v="-"/>
    <s v="Azul Linhas Aereas"/>
    <n v="3023504523"/>
    <s v="KONTRIP"/>
    <s v="-"/>
    <x v="53"/>
    <n v="91.57"/>
    <n v="0"/>
    <n v="0"/>
    <n v="0"/>
    <n v="0"/>
    <n v="332.92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702374"/>
    <n v="23504547"/>
    <s v="ACC02"/>
    <x v="56"/>
    <d v="2025-08-07T17:32:02"/>
    <s v="0 a 02 dias"/>
    <s v="0 a 02 dias"/>
    <s v="AEQMHY"/>
    <s v="MANUAL"/>
    <s v="GILSON SILVA"/>
    <s v="Juliana Cardoso"/>
    <s v="Juliana Cardoso"/>
    <x v="55"/>
    <s v="-"/>
    <s v="-"/>
    <s v="OFF LINE"/>
    <s v="Invoice"/>
    <s v="Cartão convênio"/>
    <s v="Aéreo"/>
    <s v="N"/>
    <s v="Grupo Kontrip"/>
    <s v="Kontrip - Vendas Cartao de Credito"/>
    <s v="-"/>
    <s v="Azul Linhas Aereas"/>
    <n v="3023504548"/>
    <s v="KONTRIP"/>
    <s v="-"/>
    <x v="53"/>
    <n v="91.57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702374"/>
    <n v="23504550"/>
    <s v="ACC03"/>
    <x v="56"/>
    <d v="2025-08-07T17:32:02"/>
    <s v="0 a 02 dias"/>
    <s v="0 a 02 dias"/>
    <s v="AEQMHY"/>
    <s v="MANUAL"/>
    <s v="FLAVIO SANTIAGO RAMOS"/>
    <s v="Juliana Cardoso"/>
    <s v="Juliana Cardoso"/>
    <x v="55"/>
    <s v="-"/>
    <s v="-"/>
    <s v="OFF LINE"/>
    <s v="Invoice"/>
    <s v="Cartão convênio"/>
    <s v="Aéreo"/>
    <s v="N"/>
    <s v="Grupo Kontrip"/>
    <s v="Kontrip - Vendas Cartao de Credito"/>
    <s v="-"/>
    <s v="Azul Linhas Aereas"/>
    <n v="3023504555"/>
    <s v="KONTRIP"/>
    <s v="-"/>
    <x v="53"/>
    <n v="91.57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702374"/>
    <n v="23504552"/>
    <s v="ACC04"/>
    <x v="56"/>
    <d v="2025-08-07T17:32:02"/>
    <s v="0 a 02 dias"/>
    <s v="0 a 02 dias"/>
    <s v="AEQMHY"/>
    <s v="MANUAL"/>
    <s v="GABRIEL ARMOND DE OLIVEIRA"/>
    <s v="Juliana Cardoso"/>
    <s v="Juliana Cardoso"/>
    <x v="55"/>
    <s v="-"/>
    <s v="-"/>
    <s v="OFF LINE"/>
    <s v="Invoice"/>
    <s v="Cartão convênio"/>
    <s v="Aéreo"/>
    <s v="N"/>
    <s v="Grupo Kontrip"/>
    <s v="Kontrip - Vendas Cartao de Credito"/>
    <s v="-"/>
    <s v="Azul Linhas Aereas"/>
    <n v="3023504557"/>
    <s v="KONTRIP"/>
    <s v="-"/>
    <x v="53"/>
    <n v="91.57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702374"/>
    <n v="23504554"/>
    <s v="ACC05"/>
    <x v="56"/>
    <d v="2025-08-07T17:32:02"/>
    <s v="0 a 02 dias"/>
    <s v="0 a 02 dias"/>
    <s v="AEQMHY"/>
    <s v="MANUAL"/>
    <s v="JOSE LUIS BRITO DE OLIVEIRA"/>
    <s v="Juliana Cardoso"/>
    <s v="Juliana Cardoso"/>
    <x v="55"/>
    <s v="-"/>
    <s v="-"/>
    <s v="OFF LINE"/>
    <s v="Invoice"/>
    <s v="Cartão convênio"/>
    <s v="Aéreo"/>
    <s v="N"/>
    <s v="Grupo Kontrip"/>
    <s v="Kontrip - Vendas Cartao de Credito"/>
    <s v="-"/>
    <s v="Azul Linhas Aereas"/>
    <n v="3023504558"/>
    <s v="KONTRIP"/>
    <s v="-"/>
    <x v="53"/>
    <n v="91.57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660650"/>
    <n v="23469373"/>
    <s v="ACC01"/>
    <x v="57"/>
    <d v="2025-08-01T05:26:09"/>
    <s v="06 a 08 dias"/>
    <s v="06 a 08 dias"/>
    <s v="KTWYDMT"/>
    <s v="SABRE"/>
    <s v="GUALBINO/DANILO EDSON MR"/>
    <s v="Karen Aparecida Ferreira"/>
    <s v="Karen Aparecida Ferreira"/>
    <x v="56"/>
    <s v="KTWYDM"/>
    <s v="-"/>
    <s v="OFF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54"/>
    <n v="60.36"/>
    <n v="0"/>
    <n v="0"/>
    <n v="0"/>
    <n v="0"/>
    <n v="55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991"/>
    <n v="23505110"/>
    <s v="ACC01"/>
    <x v="58"/>
    <d v="2025-08-07T18:28:30"/>
    <s v="0 a 02 dias"/>
    <s v="0 a 02 dias"/>
    <s v="QHUXOS"/>
    <s v="SABRE"/>
    <s v="GOMEZ JORDAN/MATEO"/>
    <s v="Itamar de Souza"/>
    <s v="Karen Aparecida Ferreira"/>
    <x v="57"/>
    <s v="QHUXOS"/>
    <s v="-"/>
    <s v="ON LINE"/>
    <s v="?"/>
    <s v="TKT"/>
    <s v="Aéreo"/>
    <s v="N"/>
    <s v="Grupo Honeywell"/>
    <s v="Honeywell"/>
    <s v="Cliente FEE no POS"/>
    <s v="Latam Airlines Brasil"/>
    <n v="2971622841"/>
    <s v="FCM-OPE-SAO-PVI-BTC-CONCUR-HONEYWELL"/>
    <s v="-"/>
    <x v="1"/>
    <n v="0"/>
    <n v="450"/>
    <n v="0"/>
    <n v="17.88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03075"/>
    <n v="23505184"/>
    <s v="ACC01"/>
    <x v="59"/>
    <d v="2025-08-07T18:36:48"/>
    <s v="0 a 02 dias"/>
    <s v="0 a 02 dias"/>
    <s v="IVMQBNC"/>
    <s v="SABRE"/>
    <s v="GOMES SR/FABRICIO CAVALCANTI MR"/>
    <s v="Eliane da Silva Souza Paula"/>
    <s v="Eliane da Silva Souza Paula"/>
    <x v="58"/>
    <s v="IVMQBN"/>
    <s v="POA"/>
    <s v="ON LINE"/>
    <s v="Invoice"/>
    <s v="Faturado"/>
    <s v="Carro"/>
    <s v="N"/>
    <s v="Grupo Honeywell"/>
    <s v="Honeywell"/>
    <s v="Cliente FEE no POS"/>
    <s v="Localiza - Br - Rs - Porto Alegre - Sao Joao"/>
    <s v="-"/>
    <s v="FCM-OPE-SAO-PVI-BTC-CONCUR-HONEYWELL"/>
    <s v="-"/>
    <x v="55"/>
    <n v="68.489999999999995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686110"/>
    <n v="23489886"/>
    <s v="ACC01"/>
    <x v="60"/>
    <d v="2025-08-05T16:06:19"/>
    <s v="03 a 05 dias"/>
    <s v="03 a 05 dias"/>
    <s v="ISLQTUC"/>
    <s v="SABRE"/>
    <s v="ROCHA/CLEBER DOS SANTOS SIR"/>
    <s v="WS"/>
    <s v="WS"/>
    <x v="59"/>
    <s v="ISLQTU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56"/>
    <n v="100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7753"/>
    <n v="23475551"/>
    <s v="ACC01"/>
    <x v="61"/>
    <d v="2025-08-01T19:30:17"/>
    <s v="06 a 08 dias"/>
    <s v="06 a 08 dias"/>
    <s v="IRMFBJC"/>
    <s v="SABRE"/>
    <s v="ROCHA/CLEBER DOS SANTOS SIR"/>
    <s v="WS"/>
    <s v="WS"/>
    <x v="60"/>
    <s v="IRMFBJ"/>
    <s v="FLN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57"/>
    <n v="92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6098"/>
    <n v="23473958"/>
    <s v="ACC01"/>
    <x v="62"/>
    <d v="2025-08-01T17:16:01"/>
    <s v="06 a 08 dias"/>
    <s v="06 a 08 dias"/>
    <s v="YIHDQEC"/>
    <s v="SABRE"/>
    <s v="SANTOS/AILTON RIBEIRO DOS MR"/>
    <s v="WS"/>
    <s v="WS"/>
    <x v="61"/>
    <s v="YIHDQE"/>
    <s v="CWB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58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3510"/>
    <n v="23471555"/>
    <s v="ACC01"/>
    <x v="63"/>
    <d v="2025-08-01T10:21:12"/>
    <s v="06 a 08 dias"/>
    <s v="06 a 08 dias"/>
    <s v="CKJQDBC"/>
    <s v="SABRE"/>
    <s v="FALASQUI/LUIS EDUARDO MR"/>
    <s v="WS"/>
    <s v="WS"/>
    <x v="62"/>
    <s v="CKJQDB"/>
    <s v="M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59"/>
    <n v="8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1544"/>
    <n v="23503697"/>
    <s v="ACC01"/>
    <x v="64"/>
    <d v="2025-08-07T15:18:17"/>
    <s v="0 a 02 dias"/>
    <s v="0 a 02 dias"/>
    <s v="KYNHEFC"/>
    <s v="SABRE"/>
    <s v="SANTOS I/PATRICIA MS"/>
    <s v="WS"/>
    <s v="WS"/>
    <x v="63"/>
    <s v="KYNHEF"/>
    <s v="GRU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58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3266"/>
    <n v="23471354"/>
    <s v="ACC01"/>
    <x v="65"/>
    <d v="2025-08-02T04:18:35"/>
    <s v="06 a 08 dias"/>
    <s v="06 a 08 dias"/>
    <s v="YQFUMC"/>
    <s v="GOVER"/>
    <s v="GRACE CHINEN HIGA"/>
    <s v="Gover"/>
    <s v="Gover"/>
    <x v="64"/>
    <n v="4575595"/>
    <s v="-"/>
    <s v="ON LINE"/>
    <s v="Invoice"/>
    <s v="Cartão convênio"/>
    <s v="Aéreo"/>
    <s v="N"/>
    <s v="Grupo Icon"/>
    <s v="Rps"/>
    <s v="Cliente FEE no POS"/>
    <s v="Latam Airlines Brasil"/>
    <n v="2243830150"/>
    <s v="FCM-OPE-SAO-PVI-BTC-PRA/RPS"/>
    <s v="-"/>
    <x v="60"/>
    <n v="80.37"/>
    <n v="0"/>
    <n v="0"/>
    <n v="0"/>
    <n v="0"/>
    <n v="0"/>
    <s v="Reserva importada do sistema Gover. Id: 4575595"/>
    <s v="8914890/6016184&quot; possui uma transação de cartão efetivada"/>
    <s v="GOVER"/>
    <s v="Conciliação de Cartão"/>
    <s v="Financeiro Conciliado"/>
    <s v="Edição não Permitida"/>
    <s v="Processo Operacional"/>
    <s v="GRUPO KONTIK"/>
  </r>
  <r>
    <n v="22130785"/>
    <n v="23011274"/>
    <s v="ACC01"/>
    <x v="66"/>
    <d v="2025-08-06T11:55:28"/>
    <s v="0 a 02 dias"/>
    <s v="31 dias ou +"/>
    <n v="1545065602"/>
    <s v="MANUAL"/>
    <s v="ADRIANA BRENTANO"/>
    <s v="Gover"/>
    <s v="Gover"/>
    <x v="65"/>
    <n v="4401013"/>
    <s v="-"/>
    <s v="OFF LINE"/>
    <s v="Invoice"/>
    <s v="Faturado"/>
    <s v="Hotel"/>
    <s v="S"/>
    <s v="Grupo Icon"/>
    <s v="Pra"/>
    <s v="Cliente FEE no POS"/>
    <s v="Cozzy Suites Paraiso Hotel"/>
    <s v="-"/>
    <s v="FCM-OPE-SAO-PVI-BTC-PRA/RPS"/>
    <s v="-"/>
    <x v="61"/>
    <n v="0"/>
    <n v="0"/>
    <n v="0"/>
    <n v="0"/>
    <n v="0"/>
    <n v="57"/>
    <s v="Reserva importada do sistema Gover. Id: 4401013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2644463"/>
    <n v="23454658"/>
    <s v="ACC01"/>
    <x v="67"/>
    <d v="2025-07-29T12:20:45"/>
    <s v="09 a 15 dias"/>
    <s v="09 a 15 dias"/>
    <n v="19348843"/>
    <s v="GOVER"/>
    <s v="FLÁVIA VAZ DE SOUZA"/>
    <s v="Gover"/>
    <s v="Gover"/>
    <x v="66"/>
    <n v="4573812"/>
    <s v="-"/>
    <s v="ON LINE"/>
    <s v="Pagamento direto"/>
    <s v="Pagamento direto"/>
    <s v="Hotel"/>
    <s v="N"/>
    <s v="Grupo Icon"/>
    <s v="Rps"/>
    <s v="Cliente FEE no POS"/>
    <s v="Travel Inn Wise Indaiatuba"/>
    <s v="-"/>
    <s v="FCM-OPE-SAO-PVI-BTC-PRA/RPS"/>
    <s v="-"/>
    <x v="62"/>
    <n v="25.5"/>
    <n v="0"/>
    <n v="0"/>
    <n v="0"/>
    <n v="0"/>
    <n v="0"/>
    <s v="Reserva importada do sistema Gover. Id: 4573812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03341"/>
    <n v="23505449"/>
    <s v="ACC01"/>
    <x v="68"/>
    <d v="2025-08-07T19:21:34"/>
    <s v="0 a 02 dias"/>
    <s v="0 a 02 dias"/>
    <s v="5GK2HE"/>
    <s v="TMS"/>
    <s v="FREDERICO GALINDO"/>
    <s v="Tms"/>
    <s v="Tms"/>
    <x v="67"/>
    <n v="7985"/>
    <s v="Fortaleza / FOR"/>
    <s v="ON LINE"/>
    <s v="Invoice"/>
    <s v="Faturado"/>
    <s v="Carro"/>
    <s v="N"/>
    <s v="Grupo Mars"/>
    <s v="Mars Brasil - Guararema"/>
    <s v="-"/>
    <s v="-"/>
    <s v="-"/>
    <s v="FCM-OPE-SAO-PVI-MARS"/>
    <s v="-"/>
    <x v="63"/>
    <n v="0"/>
    <n v="0"/>
    <n v="0"/>
    <n v="0"/>
    <n v="0"/>
    <n v="0"/>
    <s v="Reserva importada do Sistema TMS. OS: 7985"/>
    <s v="Fornecedor não preenchido! (ACC01)"/>
    <s v="ARGO(TMS)"/>
    <s v="Falta de Fornecedor"/>
    <s v="Campo Fornecedor"/>
    <s v="Dados do Fornecedor"/>
    <s v="Qualidade dos dados"/>
    <s v="KONTIK BUSINESS TRAVEL"/>
  </r>
  <r>
    <n v="22701000"/>
    <n v="23503202"/>
    <s v="ACC01"/>
    <x v="69"/>
    <d v="2025-08-07T13:07:08"/>
    <s v="0 a 02 dias"/>
    <s v="0 a 02 dias"/>
    <s v="5GMPME"/>
    <s v="LEMONTECH"/>
    <s v="LUÍSA MARIA GOMEZ SUAREZ"/>
    <s v="Ana Cristina Neto de Almeida"/>
    <s v="Ana Cristina Neto de Almeida"/>
    <x v="68"/>
    <n v="1723264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64"/>
    <n v="21.98"/>
    <n v="9.9499999999999993"/>
    <n v="0"/>
    <n v="0"/>
    <n v="0"/>
    <n v="0"/>
    <s v="Reserva importada do Sistema Lemontech. Solicitação: 17232644"/>
    <s v="Fornecedor não preenchido! (ACC01)"/>
    <s v="LEMONTECH"/>
    <s v="Falta de Fornecedor"/>
    <s v="Campo Fornecedor"/>
    <s v="Dados do Fornecedor"/>
    <s v="Qualidade dos dados"/>
    <s v="KONTIK BUSINESS TRAVEL"/>
  </r>
  <r>
    <n v="22677964"/>
    <n v="23482555"/>
    <s v="ACC01"/>
    <x v="70"/>
    <d v="2025-08-04T12:00:46"/>
    <s v="03 a 05 dias"/>
    <s v="03 a 05 dias"/>
    <s v="5F11EU"/>
    <s v="LEMONTECH"/>
    <s v="PEDOT/RENAN"/>
    <s v="Hiran Ricardo da Silva Ramos"/>
    <s v="Hiran Ricardo da Silva Ramos"/>
    <x v="69"/>
    <n v="17072029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65"/>
    <n v="0"/>
    <n v="0"/>
    <n v="0"/>
    <n v="0"/>
    <n v="0"/>
    <n v="0"/>
    <s v="Reserva importada do Sistema Lemontech. Solicitação: 17072029"/>
    <s v="Fornecedor não preenchido! (ACC01)"/>
    <s v="LEMONTECH"/>
    <s v="Falta de Fornecedor"/>
    <s v="Campo Fornecedor"/>
    <s v="Dados do Fornecedor"/>
    <s v="Qualidade dos dados"/>
    <s v="KONTIK BUSINESS TRAVEL"/>
  </r>
  <r>
    <n v="22677965"/>
    <n v="23482556"/>
    <s v="ACC01"/>
    <x v="71"/>
    <d v="2025-08-04T12:00:46"/>
    <s v="03 a 05 dias"/>
    <s v="03 a 05 dias"/>
    <s v="5FXADU"/>
    <s v="LEMONTECH"/>
    <s v="MELLO DAMBROS/KAREN"/>
    <s v="Hiran Ricardo da Silva Ramos"/>
    <s v="Hiran Ricardo da Silva Ramos"/>
    <x v="69"/>
    <n v="17072037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66"/>
    <n v="0"/>
    <n v="0"/>
    <n v="0"/>
    <n v="0"/>
    <n v="0"/>
    <n v="0"/>
    <s v="Reserva importada do Sistema Lemontech. Solicitação: 17072037"/>
    <s v="Fornecedor não preenchido! (ACC01)"/>
    <s v="LEMONTECH"/>
    <s v="Falta de Fornecedor"/>
    <s v="Campo Fornecedor"/>
    <s v="Dados do Fornecedor"/>
    <s v="Qualidade dos dados"/>
    <s v="KONTIK BUSINESS TRAVEL"/>
  </r>
  <r>
    <n v="22653035"/>
    <n v="23462600"/>
    <s v="ACC01"/>
    <x v="72"/>
    <d v="2025-07-30T18:00:44"/>
    <s v="09 a 15 dias"/>
    <s v="09 a 15 dias"/>
    <s v="5FNFJX"/>
    <s v="LEMONTECH"/>
    <s v="MORASTONI/SHARI"/>
    <s v="Hiran Ricardo da Silva Ramos"/>
    <s v="Hiran Ricardo da Silva Ramos"/>
    <x v="70"/>
    <n v="1708827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65"/>
    <n v="0"/>
    <n v="0"/>
    <n v="0"/>
    <n v="0"/>
    <n v="0"/>
    <n v="0"/>
    <s v="Reserva importada do Sistema Lemontech. Solicitação: 17088272"/>
    <s v="Fornecedor não preenchido! (ACC01)"/>
    <s v="LEMONTECH"/>
    <s v="Falta de Fornecedor"/>
    <s v="Campo Fornecedor"/>
    <s v="Dados do Fornecedor"/>
    <s v="Qualidade dos dados"/>
    <s v="KONTIK BUSINESS TRAVEL"/>
  </r>
  <r>
    <n v="22699802"/>
    <n v="23502063"/>
    <s v="ACC01"/>
    <x v="73"/>
    <d v="2025-08-07T11:08:01"/>
    <s v="0 a 02 dias"/>
    <s v="0 a 02 dias"/>
    <s v="5GDH52"/>
    <s v="LEMONTECH"/>
    <s v="AMANDA BATISTA"/>
    <s v="Ana Cristina Neto de Almeida"/>
    <s v="Ana Cristina Neto de Almeida"/>
    <x v="71"/>
    <n v="1721882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67"/>
    <n v="0"/>
    <n v="0"/>
    <n v="0"/>
    <n v="0"/>
    <n v="0"/>
    <n v="0"/>
    <s v="Reserva importada do Sistema Lemontech. Solicitação: 17218825"/>
    <s v="Fornecedor não preenchido! (ACC01)"/>
    <s v="LEMONTECH"/>
    <s v="Falta de Fornecedor"/>
    <s v="Campo Fornecedor"/>
    <s v="Dados do Fornecedor"/>
    <s v="Qualidade dos dados"/>
    <s v="KONTIK BUSINESS TRAVEL"/>
  </r>
  <r>
    <n v="22699804"/>
    <n v="23502064"/>
    <s v="ACC01"/>
    <x v="74"/>
    <d v="2025-08-07T11:08:02"/>
    <s v="0 a 02 dias"/>
    <s v="0 a 02 dias"/>
    <s v="5GFH5W"/>
    <s v="LEMONTECH"/>
    <s v="AMANDA BATISTA"/>
    <s v="Ana Cristina Neto de Almeida"/>
    <s v="Ana Cristina Neto de Almeida"/>
    <x v="72"/>
    <n v="1721882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68"/>
    <n v="21.36"/>
    <n v="9.9499999999999993"/>
    <n v="0"/>
    <n v="0"/>
    <n v="0"/>
    <n v="0"/>
    <s v="Reserva importada do Sistema Lemontech. Solicitação: 17218825"/>
    <s v="Fornecedor não preenchido! (ACC01)"/>
    <s v="LEMONTECH"/>
    <s v="Falta de Fornecedor"/>
    <s v="Campo Fornecedor"/>
    <s v="Dados do Fornecedor"/>
    <s v="Qualidade dos dados"/>
    <s v="KONTIK BUSINESS TRAVEL"/>
  </r>
  <r>
    <n v="22704133"/>
    <n v="23506183"/>
    <s v="ACC01"/>
    <x v="75"/>
    <d v="2025-08-07T20:06:28"/>
    <s v="0 a 02 dias"/>
    <s v="0 a 02 dias"/>
    <s v="5GCE9D"/>
    <s v="LEMONTECH"/>
    <s v="DA SILVA/MARCIA"/>
    <s v="Ana Cristina Neto de Almeida"/>
    <s v="Ana Cristina Neto de Almeida"/>
    <x v="73"/>
    <n v="1723693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69"/>
    <n v="79.86"/>
    <n v="10.95"/>
    <n v="0"/>
    <n v="0"/>
    <n v="0"/>
    <n v="0"/>
    <s v="Reserva importada do Sistema Lemontech. Solicitação: 17236939"/>
    <s v="Fornecedor não preenchido! (ACC01)"/>
    <s v="LEMONTECH"/>
    <s v="Falta de Fornecedor"/>
    <s v="Campo Fornecedor"/>
    <s v="Dados do Fornecedor"/>
    <s v="Qualidade dos dados"/>
    <s v="KONTIK BUSINESS TRAVEL"/>
  </r>
  <r>
    <n v="22704134"/>
    <n v="23506184"/>
    <s v="ACC01"/>
    <x v="76"/>
    <d v="2025-08-07T20:06:28"/>
    <s v="0 a 02 dias"/>
    <s v="0 a 02 dias"/>
    <s v="5G4DNC"/>
    <s v="LEMONTECH"/>
    <s v="DA SILVA/MARCIA"/>
    <s v="Ana Cristina Neto de Almeida"/>
    <s v="Ana Cristina Neto de Almeida"/>
    <x v="74"/>
    <n v="1723693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70"/>
    <n v="0"/>
    <n v="0"/>
    <n v="0"/>
    <n v="0"/>
    <n v="0"/>
    <n v="0"/>
    <s v="Reserva importada do Sistema Lemontech. Solicitação: 17236939"/>
    <s v="Fornecedor não preenchido! (ACC01)"/>
    <s v="LEMONTECH"/>
    <s v="Falta de Fornecedor"/>
    <s v="Campo Fornecedor"/>
    <s v="Dados do Fornecedor"/>
    <s v="Qualidade dos dados"/>
    <s v="KONTIK BUSINESS TRAVEL"/>
  </r>
  <r>
    <n v="22700163"/>
    <n v="23502403"/>
    <s v="ACC01"/>
    <x v="77"/>
    <d v="2025-08-07T12:07:19"/>
    <s v="0 a 02 dias"/>
    <s v="0 a 02 dias"/>
    <s v="5G82H2"/>
    <s v="LEMONTECH"/>
    <s v="MARIA JULIA MATIAS"/>
    <s v="Ana Cristina Neto de Almeida"/>
    <s v="Ana Cristina Neto de Almeida"/>
    <x v="75"/>
    <n v="17226747"/>
    <s v="-"/>
    <s v="OFF LINE"/>
    <s v="Invoice"/>
    <s v="Faturado"/>
    <s v="Serviço"/>
    <s v="N"/>
    <s v="Grupo Lojas Renner"/>
    <s v="Youcom"/>
    <s v="-"/>
    <s v="-"/>
    <s v="-"/>
    <s v="KON-OPE-RIO-PVI-RENNER"/>
    <s v="-"/>
    <x v="71"/>
    <n v="52.19"/>
    <n v="10.95"/>
    <n v="0"/>
    <n v="0"/>
    <n v="0"/>
    <n v="0"/>
    <s v="Reserva importada do Sistema Lemontech. Solicitação: 17226747"/>
    <s v="Fornecedor não preenchido! (ACC01)"/>
    <s v="LEMONTECH"/>
    <s v="Falta de Fornecedor"/>
    <s v="Campo Fornecedor"/>
    <s v="Dados do Fornecedor"/>
    <s v="Qualidade dos dados"/>
    <s v="KONTIK BUSINESS TRAVEL"/>
  </r>
  <r>
    <n v="22700165"/>
    <n v="23502404"/>
    <s v="ACC01"/>
    <x v="78"/>
    <d v="2025-08-07T12:07:20"/>
    <s v="0 a 02 dias"/>
    <s v="0 a 02 dias"/>
    <s v="5GOWHX"/>
    <s v="LEMONTECH"/>
    <s v="MARIA JULIA MATIAS"/>
    <s v="Ana Cristina Neto de Almeida"/>
    <s v="Ana Cristina Neto de Almeida"/>
    <x v="76"/>
    <n v="17226747"/>
    <s v="-"/>
    <s v="OFF LINE"/>
    <s v="Invoice"/>
    <s v="Faturado"/>
    <s v="Serviço"/>
    <s v="N"/>
    <s v="Grupo Lojas Renner"/>
    <s v="Youcom"/>
    <s v="-"/>
    <s v="-"/>
    <s v="-"/>
    <s v="KON-OPE-RIO-PVI-RENNER"/>
    <s v="-"/>
    <x v="72"/>
    <n v="52.18"/>
    <n v="10.95"/>
    <n v="0"/>
    <n v="0"/>
    <n v="0"/>
    <n v="0"/>
    <s v="Reserva importada do Sistema Lemontech. Solicitação: 17226747"/>
    <s v="Fornecedor não preenchido! (ACC01)"/>
    <s v="LEMONTECH"/>
    <s v="Falta de Fornecedor"/>
    <s v="Campo Fornecedor"/>
    <s v="Dados do Fornecedor"/>
    <s v="Qualidade dos dados"/>
    <s v="KONTIK BUSINESS TRAVEL"/>
  </r>
  <r>
    <n v="22699794"/>
    <n v="23502055"/>
    <s v="ACC01"/>
    <x v="79"/>
    <d v="2025-08-07T11:07:29"/>
    <s v="0 a 02 dias"/>
    <s v="0 a 02 dias"/>
    <s v="5G5TGS"/>
    <s v="LEMONTECH"/>
    <s v="BRIETZIG/STEFANI"/>
    <s v="Ana Cristina Neto de Almeida"/>
    <s v="Ana Cristina Neto de Almeida"/>
    <x v="77"/>
    <n v="17205320"/>
    <s v="-"/>
    <s v="OFF LINE"/>
    <s v="Invoice"/>
    <s v="Faturado"/>
    <s v="Serviço"/>
    <s v="N"/>
    <s v="Grupo Lojas Renner"/>
    <s v="Youcom"/>
    <s v="-"/>
    <s v="-"/>
    <s v="-"/>
    <s v="KON-OPE-RIO-PVI-RENNER"/>
    <s v="-"/>
    <x v="73"/>
    <n v="23.23"/>
    <n v="9.9499999999999993"/>
    <n v="0"/>
    <n v="0"/>
    <n v="0"/>
    <n v="0"/>
    <s v="Reserva importada do Sistema Lemontech. Solicitação: 17205320"/>
    <s v="Fornecedor não preenchido! (ACC01)"/>
    <s v="LEMONTECH"/>
    <s v="Falta de Fornecedor"/>
    <s v="Campo Fornecedor"/>
    <s v="Dados do Fornecedor"/>
    <s v="Qualidade dos dados"/>
    <s v="KONTIK BUSINESS TRAVEL"/>
  </r>
  <r>
    <n v="22705301"/>
    <n v="23507217"/>
    <s v="ACC01"/>
    <x v="80"/>
    <d v="2025-08-08T01:06:04"/>
    <s v="0 a 02 dias"/>
    <s v="0 a 02 dias"/>
    <s v="5GETBV"/>
    <s v="LEMONTECH"/>
    <s v="VIEIRA FERNANDES/LILIAM"/>
    <s v="Ronaldo Pereira Muzel"/>
    <s v="Ronaldo Pereira Muzel"/>
    <x v="78"/>
    <n v="17240154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74"/>
    <n v="0"/>
    <n v="0"/>
    <n v="0"/>
    <n v="0"/>
    <n v="24.4"/>
    <n v="0"/>
    <s v="Reserva importada do Sistema Lemontech. Solicitação: 17240154"/>
    <s v="Fornecedor não preenchido! (ACC01)"/>
    <s v="LEMONTECH"/>
    <s v="Falta de Fornecedor"/>
    <s v="Campo Fornecedor"/>
    <s v="Dados do Fornecedor"/>
    <s v="Qualidade dos dados"/>
    <s v="KONTIK BUSINESS TRAVEL"/>
  </r>
  <r>
    <n v="22696209"/>
    <n v="23499064"/>
    <s v="ACC01"/>
    <x v="81"/>
    <d v="2025-08-06T19:55:51"/>
    <s v="0 a 02 dias"/>
    <s v="0 a 02 dias"/>
    <s v="5GTHM2"/>
    <s v="TMS"/>
    <s v="AMANDA SANTOS COELHO"/>
    <s v="Tms"/>
    <s v="Tms"/>
    <x v="79"/>
    <n v="76208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5"/>
    <n v="0"/>
    <n v="0"/>
    <n v="0"/>
    <n v="0"/>
    <n v="10.95"/>
    <n v="0"/>
    <s v="Reserva importada do Sistema TMS. OS: 76208"/>
    <s v="Fornecedor não preenchido! (ACC01)"/>
    <s v="ARGO(TMS)"/>
    <s v="Falta de Fornecedor"/>
    <s v="Campo Fornecedor"/>
    <s v="Dados do Fornecedor"/>
    <s v="Sistêmico"/>
    <s v="GRUPO KONTIK"/>
  </r>
  <r>
    <n v="22696295"/>
    <n v="23499141"/>
    <s v="ACC01"/>
    <x v="82"/>
    <d v="2025-08-06T20:05:24"/>
    <s v="0 a 02 dias"/>
    <s v="0 a 02 dias"/>
    <s v="5GRBZS"/>
    <s v="TMS"/>
    <s v="MAYARA SKRABA"/>
    <s v="Tms"/>
    <s v="Tms"/>
    <x v="80"/>
    <n v="76118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6"/>
    <n v="0"/>
    <n v="0"/>
    <n v="0"/>
    <n v="0"/>
    <n v="0"/>
    <n v="0"/>
    <s v="Reserva importada do Sistema TMS. OS: 76118"/>
    <s v="Fornecedor não preenchido! (ACC01)"/>
    <s v="ARGO(TMS)"/>
    <s v="Falta de Fornecedor"/>
    <s v="Campo Fornecedor"/>
    <s v="Dados do Fornecedor"/>
    <s v="Sistêmico"/>
    <s v="GRUPO KONTIK"/>
  </r>
  <r>
    <n v="22703814"/>
    <n v="23505905"/>
    <s v="ACC01"/>
    <x v="83"/>
    <d v="2025-08-07T20:06:37"/>
    <s v="0 a 02 dias"/>
    <s v="0 a 02 dias"/>
    <s v="5GS5K3"/>
    <s v="TMS"/>
    <s v="NILSON CESAR MONTEIRO NOGUEIRA"/>
    <s v="Tamara Michels Behn"/>
    <s v="Tamara Michels Behn"/>
    <x v="81"/>
    <n v="7630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77"/>
    <n v="0"/>
    <n v="0"/>
    <n v="0"/>
    <n v="0"/>
    <n v="20"/>
    <n v="0"/>
    <s v="Reserva importada do Sistema TMS. OS: 76308"/>
    <s v="Fornecedor não preenchido! (ACC01)"/>
    <s v="ARGO(TMS)"/>
    <s v="Falta de Fornecedor"/>
    <s v="Campo Fornecedor"/>
    <s v="Dados do Fornecedor"/>
    <s v="Qualidade dos dados"/>
    <s v="KONTIK BUSINESS TRAVEL"/>
  </r>
  <r>
    <n v="22703815"/>
    <n v="23505906"/>
    <s v="ACC01"/>
    <x v="84"/>
    <d v="2025-08-07T20:06:37"/>
    <s v="0 a 02 dias"/>
    <s v="0 a 02 dias"/>
    <s v="5GEG8D"/>
    <s v="TMS"/>
    <s v="MAURICIO CESAR LADEIRA"/>
    <s v="Tamara Michels Behn"/>
    <s v="Tamara Michels Behn"/>
    <x v="82"/>
    <n v="7630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78"/>
    <n v="0"/>
    <n v="0"/>
    <n v="0"/>
    <n v="0"/>
    <n v="0"/>
    <n v="0"/>
    <s v="Reserva importada do Sistema TMS. OS: 76307"/>
    <s v="Fornecedor não preenchido! (ACC01)"/>
    <s v="ARGO(TMS)"/>
    <s v="Falta de Fornecedor"/>
    <s v="Campo Fornecedor"/>
    <s v="Dados do Fornecedor"/>
    <s v="Qualidade dos dados"/>
    <s v="KONTIK BUSINESS TRAVEL"/>
  </r>
  <r>
    <n v="22651362"/>
    <n v="23460927"/>
    <s v="ACC01"/>
    <x v="85"/>
    <d v="2025-07-30T13:37:41"/>
    <s v="09 a 15 dias"/>
    <s v="09 a 15 dias"/>
    <s v="5FQTV2"/>
    <s v="TMS"/>
    <s v="FERNANDO OLIVEIRA CORREA"/>
    <s v="Tamara Michels Behn"/>
    <s v="Tamara Michels Behn"/>
    <x v="83"/>
    <n v="75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79"/>
    <n v="0"/>
    <n v="0"/>
    <n v="0"/>
    <n v="0"/>
    <n v="0"/>
    <n v="0"/>
    <s v="Reserva importada do Sistema TMS. OS: 75371"/>
    <s v="Fornecedor não preenchido! (ACC01)"/>
    <s v="ARGO(TMS)"/>
    <s v="Falta de Fornecedor"/>
    <s v="Campo Fornecedor"/>
    <s v="Dados do Fornecedor"/>
    <s v="Qualidade dos dados"/>
    <s v="KONTIK BUSINESS TRAVEL"/>
  </r>
  <r>
    <n v="22685870"/>
    <n v="23489673"/>
    <s v="ACC01"/>
    <x v="86"/>
    <d v="2025-08-05T13:15:33"/>
    <s v="03 a 05 dias"/>
    <s v="03 a 05 dias"/>
    <s v="5F8FVO"/>
    <s v="TMS"/>
    <s v="AELIO GOMES REGO"/>
    <s v="Tamara Michels Behn"/>
    <s v="Tamara Michels Behn"/>
    <x v="84"/>
    <n v="755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80"/>
    <n v="0"/>
    <n v="0"/>
    <n v="0"/>
    <n v="0"/>
    <n v="0"/>
    <n v="0"/>
    <s v="Reserva importada do Sistema TMS. OS: 75571"/>
    <s v="Fornecedor não preenchido! (ACC01)"/>
    <s v="ARGO(TMS)"/>
    <s v="Falta de Fornecedor"/>
    <s v="Campo Fornecedor"/>
    <s v="Dados do Fornecedor"/>
    <s v="Qualidade dos dados"/>
    <s v="KONTIK BUSINESS TRAVEL"/>
  </r>
  <r>
    <n v="22697828"/>
    <n v="23500590"/>
    <s v="ACC01"/>
    <x v="87"/>
    <d v="2025-08-07T00:30:50"/>
    <s v="0 a 02 dias"/>
    <s v="0 a 02 dias"/>
    <s v="5GVQEX"/>
    <s v="TMS"/>
    <s v="NEIMAR DOS SANTOS"/>
    <s v="Tamara Michels Behn"/>
    <s v="Tamara Michels Behn"/>
    <x v="85"/>
    <n v="7617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81"/>
    <n v="0"/>
    <n v="0"/>
    <n v="0"/>
    <n v="0"/>
    <n v="0"/>
    <n v="0"/>
    <s v="Reserva importada do Sistema TMS. OS: 76179"/>
    <s v="Fornecedor não preenchido! (ACC01)"/>
    <s v="ARGO(TMS)"/>
    <s v="Falta de Fornecedor"/>
    <s v="Campo Fornecedor"/>
    <s v="Dados do Fornecedor"/>
    <s v="Qualidade dos dados"/>
    <s v="KONTIK BUSINESS TRAVEL"/>
  </r>
  <r>
    <n v="22679969"/>
    <n v="23484417"/>
    <s v="ACC01"/>
    <x v="88"/>
    <d v="2025-08-04T17:05:15"/>
    <s v="03 a 05 dias"/>
    <s v="03 a 05 dias"/>
    <s v="5FTDL7"/>
    <s v="MANUAL"/>
    <s v="RAFAEL YANES SOARES"/>
    <s v="Tms"/>
    <s v="Tms"/>
    <x v="86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2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79983"/>
    <n v="23484427"/>
    <s v="ACC01"/>
    <x v="89"/>
    <d v="2025-08-04T17:06:27"/>
    <s v="03 a 05 dias"/>
    <s v="03 a 05 dias"/>
    <s v="4U61T7.F"/>
    <s v="MANUAL"/>
    <s v="RAFAEL YANES SOARES"/>
    <s v="Tms"/>
    <s v="Tms"/>
    <x v="86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2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700782"/>
    <n v="23502996"/>
    <s v="ACC01"/>
    <x v="90"/>
    <d v="2025-08-07T13:06:56"/>
    <s v="0 a 02 dias"/>
    <s v="0 a 02 dias"/>
    <s v="5GYQLX"/>
    <s v="TMS"/>
    <s v="VINICIUS SILVA"/>
    <s v="Diogo Dantas Gomes"/>
    <s v="Diogo Dantas Gomes"/>
    <x v="87"/>
    <n v="4979"/>
    <s v="-"/>
    <s v="OFF LINE"/>
    <s v="Invoice"/>
    <s v="Faturado"/>
    <s v="Hotel"/>
    <s v="N"/>
    <s v="Grupo Track e Field"/>
    <s v="Track e Field Co Sa Matriz"/>
    <s v="-"/>
    <s v="-"/>
    <s v="-"/>
    <s v="KON-OPE-SAO-PVI-BTC-ARGO"/>
    <s v="-"/>
    <x v="83"/>
    <n v="0"/>
    <n v="0"/>
    <n v="0"/>
    <n v="0"/>
    <n v="0"/>
    <n v="0"/>
    <s v="Reserva importada do Sistema TMS. OS: 4979"/>
    <s v="Fornecedor não preenchido! (ACC01)"/>
    <s v="ARGO(TMS)"/>
    <s v="Falta de Fornecedor"/>
    <s v="Campo Fornecedor"/>
    <s v="Dados do Fornecedor"/>
    <s v="Qualidade dos dados"/>
    <s v="KONTIK BUSINESS TRAVEL"/>
  </r>
  <r>
    <n v="22696206"/>
    <n v="23499061"/>
    <s v="ACC01"/>
    <x v="91"/>
    <d v="2025-08-06T19:55:42"/>
    <s v="0 a 02 dias"/>
    <s v="0 a 02 dias"/>
    <s v="5G2YMX"/>
    <s v="TMS"/>
    <s v="BIANCA RICHETTO ZEBER"/>
    <s v="Tms"/>
    <s v="Tms"/>
    <x v="88"/>
    <n v="574"/>
    <s v="-"/>
    <s v="ON LINE"/>
    <s v="Invoice"/>
    <s v="Faturado"/>
    <s v="Hotel"/>
    <s v="N"/>
    <s v="Grupo Track e Field"/>
    <s v="Tfsports Eventos Esportivos Ltda"/>
    <s v="-"/>
    <s v="-"/>
    <s v="-"/>
    <s v="KON-OPE-SAO-PVI-BTC-ARGO"/>
    <s v="-"/>
    <x v="84"/>
    <n v="0"/>
    <n v="0"/>
    <n v="0"/>
    <n v="0"/>
    <n v="12.16"/>
    <n v="0"/>
    <s v="Reserva importada do Sistema TMS. OS: 574"/>
    <s v="Fornecedor não preenchido! (ACC01)"/>
    <s v="ARGO(TMS)"/>
    <s v="Falta de Fornecedor"/>
    <s v="Campo Fornecedor"/>
    <s v="Dados do Fornecedor"/>
    <s v="Sistêmico"/>
    <s v="GRUPO KONTIK"/>
  </r>
  <r>
    <n v="22703819"/>
    <n v="23505909"/>
    <s v="ACC01"/>
    <x v="92"/>
    <d v="2025-08-07T20:10:22"/>
    <s v="0 a 02 dias"/>
    <s v="0 a 02 dias"/>
    <s v="5G6GID"/>
    <s v="TMS"/>
    <s v="ED CARLOS FRANCISCO"/>
    <s v="Raissa Iorio Cestari"/>
    <s v="Raissa Iorio Cestari"/>
    <x v="89"/>
    <n v="76303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85"/>
    <n v="0"/>
    <n v="0"/>
    <n v="0"/>
    <n v="0"/>
    <n v="0"/>
    <n v="0"/>
    <s v="Reserva importada do Sistema TMS. OS: 76303"/>
    <s v="Fornecedor não preenchido! (ACC01)"/>
    <s v="ARGO(TMS)"/>
    <s v="Falta de Fornecedor"/>
    <s v="Campo Fornecedor"/>
    <s v="Dados do Fornecedor"/>
    <s v="Qualidade dos dados"/>
    <s v="KONTIK BUSINESS TRAVEL"/>
  </r>
  <r>
    <n v="22703820"/>
    <n v="23505910"/>
    <s v="ACC01"/>
    <x v="93"/>
    <d v="2025-08-07T20:10:22"/>
    <s v="0 a 02 dias"/>
    <s v="0 a 02 dias"/>
    <s v="5G75I3"/>
    <s v="TMS"/>
    <s v="RAFAEL DE SOUSA COSTA"/>
    <s v="Raissa Iorio Cestari"/>
    <s v="Raissa Iorio Cestari"/>
    <x v="90"/>
    <n v="7630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86"/>
    <n v="0"/>
    <n v="0"/>
    <n v="0"/>
    <n v="0"/>
    <n v="0"/>
    <n v="0"/>
    <s v="Reserva importada do Sistema TMS. OS: 76302"/>
    <s v="Fornecedor não preenchido! (ACC01)"/>
    <s v="ARGO(TMS)"/>
    <s v="Falta de Fornecedor"/>
    <s v="Campo Fornecedor"/>
    <s v="Dados do Fornecedor"/>
    <s v="Qualidade dos dados"/>
    <s v="KONTIK BUSINESS TRAVEL"/>
  </r>
  <r>
    <n v="22703761"/>
    <n v="23505850"/>
    <s v="ACC01"/>
    <x v="94"/>
    <d v="2025-08-07T20:01:43"/>
    <s v="0 a 02 dias"/>
    <s v="0 a 02 dias"/>
    <s v="5G5XKC"/>
    <s v="TMS"/>
    <s v="ROBSON DE CARVALHO"/>
    <s v="Tms"/>
    <s v="Tms"/>
    <x v="91"/>
    <n v="76371"/>
    <s v="Porto Alegre / POA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87"/>
    <n v="0"/>
    <n v="0"/>
    <n v="0"/>
    <n v="0"/>
    <n v="0"/>
    <n v="0"/>
    <s v="Reserva importada do Sistema TMS. OS: 76371"/>
    <s v="Fornecedor não preenchido! (ACC01)"/>
    <s v="ARGO(TMS)"/>
    <s v="Falta de Fornecedor"/>
    <s v="Campo Fornecedor"/>
    <s v="Dados do Fornecedor"/>
    <s v="Qualidade dos dados"/>
    <s v="KONTIK BUSINESS TRAVEL"/>
  </r>
  <r>
    <n v="22703772"/>
    <n v="23505862"/>
    <s v="ACC01"/>
    <x v="95"/>
    <d v="2025-08-07T20:02:05"/>
    <s v="0 a 02 dias"/>
    <s v="0 a 02 dias"/>
    <s v="5GQD83"/>
    <s v="TMS"/>
    <s v="CLEBER PESSANHA GOMES"/>
    <s v="Tms"/>
    <s v="Tms"/>
    <x v="92"/>
    <n v="76347"/>
    <s v="Campos dos Goytacazes / CAW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88"/>
    <n v="0"/>
    <n v="0"/>
    <n v="0"/>
    <n v="0"/>
    <n v="0"/>
    <n v="0"/>
    <s v="Reserva importada do Sistema TMS. OS: 76347"/>
    <s v="Fornecedor não preenchido! (ACC01)"/>
    <s v="ARGO(TMS)"/>
    <s v="Falta de Fornecedor"/>
    <s v="Campo Fornecedor"/>
    <s v="Dados do Fornecedor"/>
    <s v="Qualidade dos dados"/>
    <s v="KONTIK BUSINESS TRAVEL"/>
  </r>
  <r>
    <n v="22667347"/>
    <n v="23475160"/>
    <s v="ACC01"/>
    <x v="96"/>
    <d v="2025-08-01T19:46:22"/>
    <s v="06 a 08 dias"/>
    <s v="06 a 08 dias"/>
    <s v="5FSVRY"/>
    <s v="TMS"/>
    <s v="KAMILA OSOWSKI TOMAZI"/>
    <s v="Tms"/>
    <s v="Tms"/>
    <x v="93"/>
    <n v="75692"/>
    <s v="Palhoca / FLN"/>
    <s v="ON LINE"/>
    <s v="Invoice"/>
    <s v="Faturado"/>
    <s v="Carro"/>
    <s v="N"/>
    <s v="Grupo Ultra"/>
    <s v="Ultragaz-matriz"/>
    <s v="-"/>
    <s v="-"/>
    <s v="-"/>
    <s v="KON-OPE-SAO-PVI-BTC-ARGO"/>
    <s v="-"/>
    <x v="89"/>
    <n v="0"/>
    <n v="0"/>
    <n v="0"/>
    <n v="0"/>
    <n v="0"/>
    <n v="0"/>
    <s v="Reserva importada do Sistema TMS. OS: 75692"/>
    <s v="Fornecedor não preenchido! (ACC01)"/>
    <s v="ARGO(TMS)"/>
    <s v="Falta de Fornecedor"/>
    <s v="Campo Fornecedor"/>
    <s v="Dados do Fornecedor"/>
    <s v="Qualidade dos dados"/>
    <s v="KONTIK BUSINESS TRAVEL"/>
  </r>
  <r>
    <n v="22615074"/>
    <n v="23431403"/>
    <s v="ACC01"/>
    <x v="97"/>
    <d v="2025-07-23T19:35:40"/>
    <s v="16 a 23 dias"/>
    <s v="16 a 23 dias"/>
    <s v="5EYH75"/>
    <s v="TMS"/>
    <s v="CARLOS VINICIUS SALLES COSTA"/>
    <s v="Tms"/>
    <s v="Tms"/>
    <x v="94"/>
    <n v="745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0"/>
    <n v="0"/>
    <n v="0"/>
    <n v="0"/>
    <n v="0"/>
    <n v="14.4"/>
    <n v="0"/>
    <s v="Reserva importada do Sistema TMS. OS: 74580"/>
    <s v="Fornecedor não preenchido! (ACC01)"/>
    <s v="ARGO(TMS)"/>
    <s v="Falta de Fornecedor"/>
    <s v="Campo Fornecedor"/>
    <s v="Dados do Fornecedor"/>
    <s v="Sistêmico"/>
    <s v="GRUPO KONTIK"/>
  </r>
  <r>
    <n v="22690391"/>
    <n v="23493899"/>
    <s v="ACC01"/>
    <x v="98"/>
    <d v="2025-08-06T00:26:25"/>
    <s v="0 a 02 dias"/>
    <s v="0 a 02 dias"/>
    <s v="5G105M"/>
    <s v="TMS"/>
    <s v="KAMILA OSOWSKI TOMAZI"/>
    <s v="Tms"/>
    <s v="Tms"/>
    <x v="95"/>
    <n v="7609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1"/>
    <n v="0"/>
    <n v="0"/>
    <n v="0"/>
    <n v="0"/>
    <n v="14.75"/>
    <n v="0"/>
    <s v="Reserva importada do Sistema TMS. OS: 76097"/>
    <s v="Fornecedor não preenchido! (ACC01)"/>
    <s v="ARGO(TMS)"/>
    <s v="Falta de Fornecedor"/>
    <s v="Campo Fornecedor"/>
    <s v="Dados do Fornecedor"/>
    <s v="Sistêmico"/>
    <s v="GRUPO KONTIK"/>
  </r>
  <r>
    <n v="22690400"/>
    <n v="23493908"/>
    <s v="ACC01"/>
    <x v="99"/>
    <d v="2025-08-06T00:30:57"/>
    <s v="0 a 02 dias"/>
    <s v="0 a 02 dias"/>
    <s v="5G7MTB"/>
    <s v="TMS"/>
    <s v="JOAO CARLOS GOMES"/>
    <s v="Tms"/>
    <s v="Tms"/>
    <x v="96"/>
    <n v="76076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2"/>
    <n v="0"/>
    <n v="0"/>
    <n v="0"/>
    <n v="0"/>
    <n v="8.64"/>
    <n v="0"/>
    <s v="Reserva importada do Sistema TMS. OS: 76076"/>
    <s v="Fornecedor não preenchido! (ACC01)"/>
    <s v="ARGO(TMS)"/>
    <s v="Falta de Fornecedor"/>
    <s v="Campo Fornecedor"/>
    <s v="Dados do Fornecedor"/>
    <s v="Sistêmico"/>
    <s v="GRUPO KONTIK"/>
  </r>
  <r>
    <n v="22690425"/>
    <n v="23493933"/>
    <s v="ACC01"/>
    <x v="100"/>
    <d v="2025-08-06T00:35:47"/>
    <s v="0 a 02 dias"/>
    <s v="0 a 02 dias"/>
    <s v="5G7WGM"/>
    <s v="TMS"/>
    <s v="VICTOR DE OLIVEIRA"/>
    <s v="Tms"/>
    <s v="Tms"/>
    <x v="97"/>
    <n v="7593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3"/>
    <n v="0"/>
    <n v="0"/>
    <n v="0"/>
    <n v="0"/>
    <n v="29.5"/>
    <n v="0"/>
    <s v="Reserva importada do Sistema TMS. OS: 75930"/>
    <s v="Fornecedor não preenchido! (ACC01)"/>
    <s v="ARGO(TMS)"/>
    <s v="Falta de Fornecedor"/>
    <s v="Campo Fornecedor"/>
    <s v="Dados do Fornecedor"/>
    <s v="Sistêmico"/>
    <s v="GRUPO KONTIK"/>
  </r>
  <r>
    <n v="22690422"/>
    <n v="23493930"/>
    <s v="ACC01"/>
    <x v="101"/>
    <d v="2025-08-06T00:31:45"/>
    <s v="0 a 02 dias"/>
    <s v="0 a 02 dias"/>
    <s v="5GF25B"/>
    <s v="TMS"/>
    <s v="SARYANE PALLADINO ABREU"/>
    <s v="Maria Gabriela Stella Azevedo Neves"/>
    <s v="Maria Gabriela Stella Azevedo Neves"/>
    <x v="96"/>
    <n v="75959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94"/>
    <n v="0"/>
    <n v="0"/>
    <n v="0"/>
    <n v="0"/>
    <n v="0"/>
    <n v="0"/>
    <s v="Reserva importada do Sistema TMS. OS: 75959"/>
    <s v="Fornecedor não preenchido! (ACC01)"/>
    <s v="ARGO(TMS)"/>
    <s v="Falta de Fornecedor"/>
    <s v="Campo Fornecedor"/>
    <s v="Dados do Fornecedor"/>
    <s v="Qualidade dos dados"/>
    <s v="KONTIK BUSINESS TRAVEL"/>
  </r>
  <r>
    <n v="22696304"/>
    <n v="23499151"/>
    <s v="ACC01"/>
    <x v="102"/>
    <d v="2025-08-06T20:05:37"/>
    <s v="0 a 02 dias"/>
    <s v="0 a 02 dias"/>
    <s v="5GBQZW"/>
    <s v="TMS"/>
    <s v="WAGNER DA CONCEICAO"/>
    <s v="Maria Gabriela Stella Azevedo Neves"/>
    <s v="Maria Gabriela Stella Azevedo Neves"/>
    <x v="98"/>
    <n v="76060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95"/>
    <n v="0"/>
    <n v="0"/>
    <n v="0"/>
    <n v="0"/>
    <n v="0"/>
    <n v="0"/>
    <s v="Reserva importada do Sistema TMS. OS: 76060"/>
    <s v="Fornecedor não preenchido! (ACC01)"/>
    <s v="ARGO(TMS)"/>
    <s v="Falta de Fornecedor"/>
    <s v="Campo Fornecedor"/>
    <s v="Dados do Fornecedor"/>
    <s v="Qualidade dos dados"/>
    <s v="KONTIK BUSINESS TRAVEL"/>
  </r>
  <r>
    <n v="22681299"/>
    <n v="23485774"/>
    <s v="ACC01"/>
    <x v="103"/>
    <d v="2025-08-04T19:41:00"/>
    <s v="03 a 05 dias"/>
    <s v="03 a 05 dias"/>
    <s v="5FHG4I"/>
    <s v="TMS"/>
    <s v="LUCIANO LAGE DE SOUZA"/>
    <s v="Tms"/>
    <s v="Tms"/>
    <x v="99"/>
    <n v="75858"/>
    <s v="Maua / SAO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96"/>
    <n v="0"/>
    <n v="0"/>
    <n v="0"/>
    <n v="0"/>
    <n v="0"/>
    <n v="0"/>
    <s v="Reserva importada do Sistema TMS. OS: 75858"/>
    <s v="Fornecedor não preenchido! (ACC01)"/>
    <s v="ARGO(TMS)"/>
    <s v="Falta de Fornecedor"/>
    <s v="Campo Fornecedor"/>
    <s v="Dados do Fornecedor"/>
    <s v="Qualidade dos dados"/>
    <s v="KONTIK BUSINESS TRAVEL"/>
  </r>
  <r>
    <n v="22703292"/>
    <n v="23505400"/>
    <s v="ACC01"/>
    <x v="104"/>
    <d v="2025-08-07T19:16:43"/>
    <s v="0 a 02 dias"/>
    <s v="0 a 02 dias"/>
    <s v="5GPAYD"/>
    <s v="TMS"/>
    <s v="JOSÉ HAROLDO SCIPIAO"/>
    <s v="Tms"/>
    <s v="Tms"/>
    <x v="100"/>
    <n v="5306"/>
    <s v="Salvador / SSA"/>
    <s v="ON LINE"/>
    <s v="Invoice"/>
    <s v="Faturado"/>
    <s v="Carro"/>
    <s v="N"/>
    <s v="Grupo Hpe"/>
    <s v="Hpe Automotores - Sao Paulo"/>
    <s v="-"/>
    <s v="-"/>
    <s v="-"/>
    <s v="KON-OPE-SAO-PVI-BTC-ARGO"/>
    <s v="-"/>
    <x v="97"/>
    <n v="0"/>
    <n v="0"/>
    <n v="0"/>
    <n v="0"/>
    <n v="0"/>
    <n v="0"/>
    <s v="Reserva importada do Sistema TMS. OS: 5306"/>
    <s v="Fornecedor não preenchido! (ACC01)"/>
    <s v="ARGO(TMS)"/>
    <s v="Falta de Fornecedor"/>
    <s v="Campo Fornecedor"/>
    <s v="Dados do Fornecedor"/>
    <s v="Qualidade dos dados"/>
    <s v="KONTIK BUSINESS TRAVEL"/>
  </r>
  <r>
    <n v="22680829"/>
    <n v="23485310"/>
    <s v="ACC01"/>
    <x v="105"/>
    <d v="2025-08-04T18:52:25"/>
    <s v="03 a 05 dias"/>
    <s v="03 a 05 dias"/>
    <s v="5FBVWK"/>
    <s v="TMS"/>
    <s v="CATIA BAZARIN"/>
    <s v="Claudia Lucia Stella"/>
    <s v="Claudia Lucia Stella"/>
    <x v="101"/>
    <n v="3457"/>
    <s v="-"/>
    <s v="OFF LINE"/>
    <s v="Cartão de crédito"/>
    <s v="Cartão de crédito"/>
    <s v="Hotel"/>
    <s v="N"/>
    <s v="Grupo Epson"/>
    <s v="Epson"/>
    <s v="-"/>
    <s v="-"/>
    <s v="-"/>
    <s v="KON-OPE-SAO-PVI-BTC-ARGO"/>
    <s v="-"/>
    <x v="98"/>
    <n v="0"/>
    <n v="0"/>
    <n v="0"/>
    <n v="0"/>
    <n v="9.7799999999999994"/>
    <n v="0"/>
    <s v="Reserva importada do Sistema TMS. OS: 3457"/>
    <s v="Fornecedor não preenchido! (ACC01)"/>
    <s v="ARGO(TMS)"/>
    <s v="Falta de Fornecedor"/>
    <s v="Campo Fornecedor"/>
    <s v="Dados do Fornecedor"/>
    <s v="Qualidade dos dados"/>
    <s v="KONTIK BUSINESS TRAVEL"/>
  </r>
  <r>
    <n v="22703262"/>
    <n v="23505368"/>
    <s v="ACC01"/>
    <x v="106"/>
    <d v="2025-08-07T19:15:42"/>
    <s v="0 a 02 dias"/>
    <s v="0 a 02 dias"/>
    <s v="5GK95D"/>
    <s v="TMS"/>
    <s v="GIOVANI RAMOS"/>
    <s v="Tms"/>
    <s v="Tms"/>
    <x v="102"/>
    <n v="3498"/>
    <s v="Recife / REC"/>
    <s v="ON LINE"/>
    <s v="Invoice"/>
    <s v="Faturado"/>
    <s v="Carro"/>
    <s v="N"/>
    <s v="Grupo Epson"/>
    <s v="Epson"/>
    <s v="-"/>
    <s v="-"/>
    <s v="-"/>
    <s v="KON-OPE-SAO-PVI-BTC-ARGO"/>
    <s v="-"/>
    <x v="99"/>
    <n v="0"/>
    <n v="0"/>
    <n v="0"/>
    <n v="0"/>
    <n v="0"/>
    <n v="0"/>
    <s v="Reserva importada do Sistema TMS. OS: 3498"/>
    <s v="Fornecedor não preenchido! (ACC01)"/>
    <s v="ARGO(TMS)"/>
    <s v="Falta de Fornecedor"/>
    <s v="Campo Fornecedor"/>
    <s v="Dados do Fornecedor"/>
    <s v="Qualidade dos dados"/>
    <s v="KONTIK BUSINESS TRAVEL"/>
  </r>
  <r>
    <n v="22703284"/>
    <n v="23505390"/>
    <s v="ACC01"/>
    <x v="107"/>
    <d v="2025-08-07T19:07:30"/>
    <s v="0 a 02 dias"/>
    <s v="0 a 02 dias"/>
    <s v="FLCSHT1"/>
    <s v="TMS"/>
    <s v="TARCISIO SOARES"/>
    <s v="Karen Aparecida Ferreira"/>
    <s v="Karen Aparecida Ferreira"/>
    <x v="103"/>
    <n v="3468"/>
    <s v="-"/>
    <s v="OFF LINE"/>
    <s v="Cartão de crédito"/>
    <s v="Cartão de crédito"/>
    <s v="Aéreo"/>
    <s v="N"/>
    <s v="Grupo Airbus/helibras"/>
    <s v="Airbus"/>
    <s v="-"/>
    <s v="Latam Airlines Brasil"/>
    <n v="2971489133"/>
    <s v="KON-OPE-SAO-PVI-BTC-ARGO"/>
    <s v="-"/>
    <x v="100"/>
    <n v="0"/>
    <n v="0"/>
    <n v="0"/>
    <n v="0"/>
    <n v="0"/>
    <n v="0"/>
    <s v="Reserva importada do Sistema TMS. OS: 3468"/>
    <s v="Tarifa mínima não preenchida! (ACC02)"/>
    <s v="ARGO(TMS)"/>
    <s v="Tarifa mínima"/>
    <s v="Falta de informação Gerencial"/>
    <s v="Dados do Fornecedor"/>
    <s v="Qualidade dos dados"/>
    <s v="KONTIK BUSINESS TRAVEL"/>
  </r>
  <r>
    <n v="22703284"/>
    <n v="23505391"/>
    <s v="ACC02"/>
    <x v="107"/>
    <d v="2025-08-07T19:07:30"/>
    <s v="0 a 02 dias"/>
    <s v="0 a 02 dias"/>
    <s v="FLCSHT1"/>
    <s v="TMS"/>
    <s v="TARCISIO SOARES"/>
    <s v="Karen Aparecida Ferreira"/>
    <s v="Karen Aparecida Ferreira"/>
    <x v="103"/>
    <n v="3468"/>
    <s v="-"/>
    <s v="OFF LINE"/>
    <s v="Cartão de crédito"/>
    <s v="Cartão de crédito"/>
    <s v="Aéreo"/>
    <s v="N"/>
    <s v="Grupo Airbus/helibras"/>
    <s v="Airbus"/>
    <s v="-"/>
    <s v="Latam Airlines Brasil"/>
    <n v="2971489108"/>
    <s v="KON-OPE-SAO-PVI-BTC-ARGO"/>
    <s v="-"/>
    <x v="1"/>
    <n v="0"/>
    <n v="0"/>
    <n v="0"/>
    <n v="0"/>
    <n v="0"/>
    <n v="0"/>
    <s v="Reserva importada do Sistema TMS. OS: 3468"/>
    <s v="Tarifa mínima não preenchida! (ACC02)"/>
    <s v="ARGO(TMS)"/>
    <s v="Tarifa mínima"/>
    <s v="Falta de informação Gerencial"/>
    <s v="Dados do Fornecedor"/>
    <s v="Qualidade dos dados"/>
    <s v="KONTIK BUSINESS TRAVEL"/>
  </r>
  <r>
    <n v="22688330"/>
    <n v="23491973"/>
    <s v="ACC01"/>
    <x v="108"/>
    <d v="2025-08-05T19:15:33"/>
    <s v="03 a 05 dias"/>
    <s v="03 a 05 dias"/>
    <s v="5GPZPM"/>
    <s v="TMS"/>
    <s v="FILIPE LEMOS"/>
    <s v="Mariane Goncalves dos Santos"/>
    <s v="Mariane Goncalves dos Santos"/>
    <x v="104"/>
    <n v="3425"/>
    <s v="-"/>
    <s v="OFF LINE"/>
    <s v="Invoice"/>
    <s v="Faturado"/>
    <s v="Hotel"/>
    <s v="N"/>
    <s v="Grupo Airbus/helibras"/>
    <s v="Airbus"/>
    <s v="-"/>
    <s v="-"/>
    <s v="-"/>
    <s v="KON-OPE-SAO-PVI-BTC-ARGO"/>
    <s v="-"/>
    <x v="101"/>
    <n v="0"/>
    <n v="0"/>
    <n v="0"/>
    <n v="0"/>
    <n v="0"/>
    <n v="0"/>
    <s v="Reserva importada do Sistema TMS. OS: 3425"/>
    <s v="Fornecedor não preenchido! (ACC01)"/>
    <s v="ARGO(TMS)"/>
    <s v="Falta de Fornecedor"/>
    <s v="Campo Fornecedor"/>
    <s v="Dados do Fornecedor"/>
    <s v="Qualidade dos dados"/>
    <s v="KONTIK BUSINESS TRAVEL"/>
  </r>
  <r>
    <n v="22680752"/>
    <n v="23485233"/>
    <s v="ACC01"/>
    <x v="109"/>
    <d v="2025-08-05T07:10:41"/>
    <s v="03 a 05 dias"/>
    <s v="03 a 05 dias"/>
    <s v="5FH818"/>
    <s v="TMS"/>
    <s v="RAISSA COSTA"/>
    <s v="Tms"/>
    <s v="Tms"/>
    <x v="105"/>
    <n v="110580"/>
    <s v="-"/>
    <s v="ON LINE"/>
    <s v="Cartão de crédito"/>
    <s v="Cartão de crédito"/>
    <s v="Hotel"/>
    <s v="N"/>
    <s v="Grupo Deloitte"/>
    <s v="Deloitte Consultores - Recife"/>
    <s v="-"/>
    <s v="Charlie Nyc Berrini Residence - Inativo"/>
    <s v="-"/>
    <s v="KON-OPE-SAO-PVI-BTC-ARGO-DELOITTE"/>
    <s v="-"/>
    <x v="102"/>
    <n v="0"/>
    <n v="0"/>
    <n v="0"/>
    <n v="0"/>
    <n v="0"/>
    <n v="0"/>
    <s v="Reserva importada do Sistema TMS. OS: 110580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40232"/>
    <n v="23451217"/>
    <s v="ACC01"/>
    <x v="110"/>
    <d v="2025-08-04T13:10:20"/>
    <s v="03 a 05 dias"/>
    <s v="09 a 15 dias"/>
    <s v="5ENU9L"/>
    <s v="TMS"/>
    <s v="DANIEL RODRIGUES"/>
    <s v="Tms"/>
    <s v="Tms"/>
    <x v="106"/>
    <n v="110165"/>
    <s v="-"/>
    <s v="ON LINE"/>
    <s v="Cartão de crédito"/>
    <s v="Cartão de crédito"/>
    <s v="Hotel"/>
    <s v="N"/>
    <s v="Grupo Deloitte"/>
    <s v="Deloitte Consultores - Sao Paulo"/>
    <s v="-"/>
    <s v="Charlie Nyc Berrini Residence - Inativo"/>
    <s v="-"/>
    <s v="KON-OPE-SAO-PVI-BTC-ARGO-DELOITTE"/>
    <s v="-"/>
    <x v="103"/>
    <n v="0"/>
    <n v="0"/>
    <n v="0"/>
    <n v="0"/>
    <n v="0"/>
    <n v="0"/>
    <s v="Reserva importada do Sistema TMS. OS: 110165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20713"/>
    <n v="23436166"/>
    <s v="ACC01"/>
    <x v="111"/>
    <d v="2025-07-30T08:09:17"/>
    <s v="09 a 15 dias"/>
    <s v="09 a 15 dias"/>
    <s v="5EQI8Y"/>
    <s v="TMS"/>
    <s v="ROGERIO PANESSA"/>
    <s v="Catia Leite Oliveira"/>
    <s v="Catia Leite Oliveira"/>
    <x v="107"/>
    <n v="109945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04"/>
    <n v="0"/>
    <n v="0"/>
    <n v="0"/>
    <n v="0"/>
    <n v="0"/>
    <n v="0"/>
    <s v="Reserva importada do Sistema TMS. OS: 109945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20719"/>
    <n v="23436172"/>
    <s v="ACC01"/>
    <x v="112"/>
    <d v="2025-07-30T08:09:19"/>
    <s v="09 a 15 dias"/>
    <s v="09 a 15 dias"/>
    <s v="5EVKI6"/>
    <s v="TMS"/>
    <s v="ROGERIO PANESSA"/>
    <s v="Catia Leite Oliveira"/>
    <s v="Catia Leite Oliveira"/>
    <x v="108"/>
    <n v="109907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05"/>
    <n v="0"/>
    <n v="0"/>
    <n v="0"/>
    <n v="0"/>
    <n v="0"/>
    <n v="0"/>
    <s v="Reserva importada do Sistema TMS. OS: 109907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703221"/>
    <n v="23505325"/>
    <s v="ACC01"/>
    <x v="113"/>
    <d v="2025-08-07T19:09:17"/>
    <s v="0 a 02 dias"/>
    <s v="0 a 02 dias"/>
    <s v="5GBUGC"/>
    <s v="TMS"/>
    <s v="MARCELO ARAUJO"/>
    <s v="Catia Leite Oliveira"/>
    <s v="Catia Leite Oliveira"/>
    <x v="109"/>
    <n v="110884"/>
    <s v="Belém / PA, Brasil (BEL)"/>
    <s v="OFF LINE"/>
    <s v="Pagamento direto"/>
    <s v="Pagamento direto"/>
    <s v="Carro"/>
    <s v="N"/>
    <s v="Grupo Deloitte"/>
    <s v="Deloitte Assessoria - Sao Paulo"/>
    <s v="-"/>
    <s v="-"/>
    <s v="-"/>
    <s v="KON-OPE-SAO-PVI-BTC-ARGO-DELOITTE"/>
    <s v="-"/>
    <x v="106"/>
    <n v="0"/>
    <n v="1582.31"/>
    <n v="0"/>
    <n v="0"/>
    <n v="0"/>
    <n v="0"/>
    <s v="Reserva importada do Sistema TMS. OS: 110884"/>
    <s v="Fornecedor não preenchido! (ACC01)"/>
    <s v="ARGO(TMS)"/>
    <s v="Falta de Fornecedor"/>
    <s v="Campo Fornecedor"/>
    <s v="Dados do Fornecedor"/>
    <s v="Qualidade dos dados"/>
    <s v="KONTIK BUSINESS TRAVEL"/>
  </r>
  <r>
    <n v="22657813"/>
    <n v="23466661"/>
    <s v="ACC01"/>
    <x v="114"/>
    <d v="2025-08-01T06:10:21"/>
    <s v="06 a 08 dias"/>
    <s v="06 a 08 dias"/>
    <s v="5F5RKE"/>
    <s v="TMS"/>
    <s v="NATALIA ALICE BASSO CANDIDO"/>
    <s v="Claudia Lucia Stella"/>
    <s v="Claudia Lucia Stella"/>
    <x v="110"/>
    <n v="45950"/>
    <s v="-"/>
    <s v="OFF LINE"/>
    <s v="Invoice"/>
    <s v="Faturado"/>
    <s v="Serviço"/>
    <s v="N"/>
    <s v="Grupo Htb"/>
    <s v="Htb Engenharia e Construcao"/>
    <s v="-"/>
    <s v="Itamarati Hotel"/>
    <s v="-"/>
    <s v="KON-OPE-SAO-PVI-BTC-ARGO-HTB"/>
    <s v="-"/>
    <x v="107"/>
    <n v="0"/>
    <n v="0"/>
    <n v="0"/>
    <n v="0"/>
    <n v="0"/>
    <n v="0"/>
    <s v="Reserva importada do Sistema TMS. OS: 45950"/>
    <s v="Não foi possível encontrar um contrato válido para o fornecedor 67595 (Código fornecedor) "/>
    <s v="ARGO(TMS)"/>
    <s v="Contrato de fornecedor"/>
    <s v="Análise Cadastro"/>
    <s v="Dados do Fornecedor"/>
    <s v="Qualidade dos dados"/>
    <s v="KONTIK BUSINESS TRAVEL"/>
  </r>
  <r>
    <n v="22694619"/>
    <n v="23497465"/>
    <s v="ACC01"/>
    <x v="115"/>
    <d v="2025-08-06T16:44:28"/>
    <s v="0 a 02 dias"/>
    <s v="0 a 02 dias"/>
    <s v="5GV6FZ"/>
    <s v="TMS"/>
    <s v="MARIA SILVA"/>
    <s v="Robson Amaro Santos da Silva"/>
    <s v="Robson Amaro Santos da Silva"/>
    <x v="111"/>
    <n v="224772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08"/>
    <n v="0"/>
    <n v="0"/>
    <n v="0"/>
    <n v="0"/>
    <n v="0"/>
    <n v="0"/>
    <s v="Reserva importada do Sistema TMS. OS: 224772"/>
    <s v="Fornecedor não preenchido! (ACC01)"/>
    <s v="ARGO(TMS)"/>
    <s v="Falta de Fornecedor"/>
    <s v="Campo Fornecedor"/>
    <s v="Dados do Fornecedor"/>
    <s v="Qualidade dos dados"/>
    <s v="KONTIK BUSINESS TRAVEL"/>
  </r>
  <r>
    <n v="22694620"/>
    <n v="23497467"/>
    <s v="ACC01"/>
    <x v="116"/>
    <d v="2025-08-06T16:44:28"/>
    <s v="0 a 02 dias"/>
    <s v="0 a 02 dias"/>
    <s v="5G56FZ"/>
    <s v="TMS"/>
    <s v="FERNANDA FARIA"/>
    <s v="Robson Amaro Santos da Silva"/>
    <s v="Robson Amaro Santos da Silva"/>
    <x v="112"/>
    <n v="224770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08"/>
    <n v="0"/>
    <n v="0"/>
    <n v="0"/>
    <n v="0"/>
    <n v="0"/>
    <n v="0"/>
    <s v="Reserva importada do Sistema TMS. OS: 224770"/>
    <s v="Fornecedor não preenchido! (ACC01)"/>
    <s v="ARGO(TMS)"/>
    <s v="Falta de Fornecedor"/>
    <s v="Campo Fornecedor"/>
    <s v="Dados do Fornecedor"/>
    <s v="Qualidade dos dados"/>
    <s v="KONTIK BUSINESS TRAVEL"/>
  </r>
  <r>
    <n v="22693497"/>
    <n v="23496423"/>
    <s v="ACC01"/>
    <x v="117"/>
    <d v="2025-08-06T13:49:12"/>
    <s v="0 a 02 dias"/>
    <s v="0 a 02 dias"/>
    <s v="5GQ721"/>
    <s v="TMS"/>
    <s v="RICARDO ANTUNES"/>
    <s v="Robson Amaro Santos da Silva"/>
    <s v="Robson Amaro Santos da Silva"/>
    <x v="113"/>
    <n v="22477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09"/>
    <n v="0"/>
    <n v="0"/>
    <n v="0"/>
    <n v="0"/>
    <n v="0"/>
    <n v="0"/>
    <s v="Reserva importada do Sistema TMS. OS: 224777"/>
    <s v="Fornecedor não preenchido! (ACC01)"/>
    <s v="ARGO(TMS)"/>
    <s v="Falta de Fornecedor"/>
    <s v="Campo Fornecedor"/>
    <s v="Dados do Fornecedor"/>
    <s v="Qualidade dos dados"/>
    <s v="KONTIK BUSINESS TRAVEL"/>
  </r>
  <r>
    <n v="22703932"/>
    <n v="23506015"/>
    <s v="ACC01"/>
    <x v="118"/>
    <d v="2025-08-07T20:25:26"/>
    <s v="0 a 02 dias"/>
    <s v="0 a 02 dias"/>
    <s v="5GU1L3"/>
    <s v="TMS"/>
    <s v="LUIZ JUNIOR"/>
    <s v="Eduardo Vinicius Souto Longo"/>
    <s v="Eduardo Vinicius Souto Longo"/>
    <x v="114"/>
    <n v="225137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110"/>
    <n v="0"/>
    <n v="0"/>
    <n v="0"/>
    <n v="0"/>
    <n v="0"/>
    <n v="0"/>
    <s v="Reserva importada do Sistema TMS. OS: 225137"/>
    <s v="Fornecedor não preenchido! (ACC01)"/>
    <s v="ARGO(TMS)"/>
    <s v="Falta de Fornecedor"/>
    <s v="Campo Fornecedor"/>
    <s v="Dados do Fornecedor"/>
    <s v="Qualidade dos dados"/>
    <s v="KONTIK BUSINESS TRAVEL"/>
  </r>
  <r>
    <n v="22687220"/>
    <n v="23490909"/>
    <s v="ACC01"/>
    <x v="119"/>
    <d v="2025-08-05T16:17:17"/>
    <s v="03 a 05 dias"/>
    <s v="03 a 05 dias"/>
    <s v="5FAIHL"/>
    <s v="TMS"/>
    <s v="FABIO GOULARTE"/>
    <s v="Valeria Bottino da Silva"/>
    <s v="Valeria Bottino da Silva"/>
    <x v="115"/>
    <n v="224403"/>
    <s v="-"/>
    <s v="OFF LINE"/>
    <s v="Cartão de crédito"/>
    <s v="Cartão de crédito"/>
    <s v="Hotel"/>
    <s v="N"/>
    <s v="Grupo Kpmg"/>
    <s v="Kpmg"/>
    <s v="-"/>
    <s v="Mirante Hotel"/>
    <s v="-"/>
    <s v="KON-OPE-SAO-PVI-KPMG"/>
    <s v="-"/>
    <x v="111"/>
    <n v="0"/>
    <n v="0"/>
    <n v="0"/>
    <n v="0"/>
    <n v="0"/>
    <n v="0"/>
    <s v="Reserva importada do Sistema TMS. OS: 224403"/>
    <s v="Matrícula não preenchida! (ACC01)"/>
    <s v="ARGO(TMS)"/>
    <s v="Matrícula"/>
    <s v="Falta de informação Gerencial"/>
    <s v="Dados do Fornecedor"/>
    <s v="Qualidade dos dados"/>
    <s v="KONTIK BUSINESS TRAVEL"/>
  </r>
  <r>
    <n v="22702112"/>
    <n v="23504253"/>
    <s v="ACC01"/>
    <x v="120"/>
    <d v="2025-08-07T16:52:22"/>
    <s v="0 a 02 dias"/>
    <s v="0 a 02 dias"/>
    <s v="5GZU1D"/>
    <s v="TMS"/>
    <s v="ELIANE ALMEIDA"/>
    <s v="Donizete Alves de Souza"/>
    <s v="Donizete Alves de Souza"/>
    <x v="74"/>
    <n v="225008"/>
    <s v="-"/>
    <s v="OFF LINE"/>
    <s v="Invoice"/>
    <s v="Faturado"/>
    <s v="Serviço"/>
    <s v="N"/>
    <s v="Grupo Kpmg"/>
    <s v="Kpmg"/>
    <s v="-"/>
    <s v="-"/>
    <s v="-"/>
    <s v="KON-OPE-SAO-PVI-KPMG"/>
    <s v="-"/>
    <x v="112"/>
    <n v="0"/>
    <n v="0"/>
    <n v="0"/>
    <n v="0"/>
    <n v="0"/>
    <n v="0"/>
    <s v="Reserva importada do Sistema TMS. OS: 225008"/>
    <s v="Fornecedor não preenchido! (ACC01)"/>
    <s v="ARGO(TMS)"/>
    <s v="Falta de Fornecedor"/>
    <s v="Campo Fornecedor"/>
    <s v="Dados do Fornecedor"/>
    <s v="Qualidade dos dados"/>
    <s v="KONTIK BUSINESS TRAVEL"/>
  </r>
  <r>
    <n v="22703935"/>
    <n v="23506018"/>
    <s v="ACC01"/>
    <x v="121"/>
    <d v="2025-08-07T19:35:35"/>
    <s v="0 a 02 dias"/>
    <s v="0 a 02 dias"/>
    <s v="OCGMIA1"/>
    <s v="TMS"/>
    <s v="DANIEL CIFU"/>
    <s v="Donizete Alves de Souza"/>
    <s v="Donizete Alves de Souza"/>
    <x v="116"/>
    <n v="224799"/>
    <s v="-"/>
    <s v="OFF LINE"/>
    <s v="Cartão de crédito"/>
    <s v="Cartão de crédito"/>
    <s v="Aéreo"/>
    <s v="N"/>
    <s v="Grupo Kpmg"/>
    <s v="Kpmg Structured"/>
    <s v="-"/>
    <s v="Latam Airlines Brasil"/>
    <n v="2971569341"/>
    <s v="KON-OPE-SAO-PVI-KPMG"/>
    <s v="-"/>
    <x v="113"/>
    <n v="5.49"/>
    <n v="0"/>
    <n v="0"/>
    <n v="0"/>
    <n v="0"/>
    <n v="0"/>
    <s v="Reserva importada do Sistema TMS. OS: 224799"/>
    <s v="Verificação de bilhetes: Bilhete 2971569341 já sendo utilizado para este fornecedor."/>
    <s v="ARGO(TMS)"/>
    <s v="Bilhete duplicado"/>
    <s v="Bilhete Já Contabilizado"/>
    <s v="Duplicidade de Contabilização"/>
    <s v="Qualidade dos dados"/>
    <s v="GRUPO KONTIK"/>
  </r>
  <r>
    <n v="22664778"/>
    <n v="23472774"/>
    <s v="ACC01"/>
    <x v="122"/>
    <d v="2025-08-01T13:21:49"/>
    <s v="06 a 08 dias"/>
    <s v="06 a 08 dias"/>
    <s v="5FKQ75"/>
    <s v="TMS"/>
    <s v="PIYALI CHAUDHURY"/>
    <s v="Donizete Alves de Souza"/>
    <s v="Donizete Alves de Souza"/>
    <x v="117"/>
    <n v="22363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114"/>
    <n v="0"/>
    <n v="0"/>
    <n v="0"/>
    <n v="0"/>
    <n v="0"/>
    <n v="0"/>
    <s v="Reserva importada do Sistema TMS. OS: 223634"/>
    <s v="Fornecedor não preenchido! (ACC01)"/>
    <s v="ARGO(TMS)"/>
    <s v="Falta de Fornecedor"/>
    <s v="Campo Fornecedor"/>
    <s v="Dados do Fornecedor"/>
    <s v="Qualidade dos dados"/>
    <s v="KONTIK BUSINESS TRAVEL"/>
  </r>
  <r>
    <n v="22693765"/>
    <n v="23496669"/>
    <s v="ACC01"/>
    <x v="123"/>
    <d v="2025-08-06T13:56:30"/>
    <s v="0 a 02 dias"/>
    <s v="0 a 02 dias"/>
    <s v="DJLL5J"/>
    <s v="GOVER"/>
    <s v="GAMALIEL DOS SANTOS LOPES"/>
    <s v="Emilia Alejandra Pacheco Maraboli"/>
    <s v="Emilia Alejandra Pacheco Maraboli"/>
    <x v="118"/>
    <n v="4577469"/>
    <s v="-"/>
    <s v="OFF LINE"/>
    <s v="Cartão de crédito"/>
    <s v="Cartão AMEX"/>
    <s v="Aéreo"/>
    <s v="N"/>
    <s v="Grupo Gtm"/>
    <s v="Quantiq"/>
    <s v="-"/>
    <s v="Azul Linhas Aereas"/>
    <n v="3023496660"/>
    <s v="FCM-OPE-SAO-PVI-BTC"/>
    <s v="-"/>
    <x v="115"/>
    <n v="0"/>
    <n v="0"/>
    <n v="0"/>
    <n v="0"/>
    <n v="0"/>
    <n v="0"/>
    <s v="Reserva importada do sistema Gover. Id: 45774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94909"/>
    <n v="23497758"/>
    <s v="ACC01"/>
    <x v="124"/>
    <d v="2025-08-06T17:10:32"/>
    <s v="0 a 02 dias"/>
    <s v="0 a 02 dias"/>
    <n v="19467607"/>
    <s v="GOVER"/>
    <s v="Juliano César Lima Corradi"/>
    <s v="Gover"/>
    <s v="Gover"/>
    <x v="119"/>
    <n v="4578096"/>
    <s v="-"/>
    <s v="ON LINE"/>
    <s v="Cartão de crédito"/>
    <s v="Cartão de crédito"/>
    <s v="Hotel"/>
    <s v="N"/>
    <s v="Grupo Atlas Copco"/>
    <s v="Atlas Copco Brasil Ltda"/>
    <s v="-"/>
    <s v="-"/>
    <s v="-"/>
    <s v="FCM-OPE-SAO-PVI-BTC"/>
    <s v="-"/>
    <x v="116"/>
    <n v="0"/>
    <n v="0"/>
    <n v="0"/>
    <n v="0"/>
    <n v="0"/>
    <n v="0"/>
    <s v="Reserva importada do sistema Gover. Id: 4578096"/>
    <s v="Fornecedor não preenchido! (ACC01)"/>
    <s v="GOVER"/>
    <s v="Falta de Fornecedor"/>
    <s v="Campo Fornecedor"/>
    <s v="Dados do Fornecedor"/>
    <s v="Sistêmico"/>
    <s v="GRUPO KONTIK"/>
  </r>
  <r>
    <n v="22681821"/>
    <n v="23486261"/>
    <s v="ACC01"/>
    <x v="125"/>
    <d v="2025-08-05T22:13:32"/>
    <s v="03 a 05 dias"/>
    <s v="03 a 05 dias"/>
    <s v="MGJKWB"/>
    <s v="GOVER"/>
    <s v="Fernando Guilhem Silva"/>
    <s v="Juliana dos Santos Pinto"/>
    <s v="Juliana dos Santos Pinto"/>
    <x v="120"/>
    <n v="4575654"/>
    <s v="-"/>
    <s v="OFF LINE"/>
    <s v="Cartão de crédito"/>
    <s v="Cartão AMEX"/>
    <s v="Aéreo"/>
    <s v="N"/>
    <s v="Grupo Atos"/>
    <s v="Atos Brasil Ltda"/>
    <s v="-"/>
    <s v="Gol Linhas Aereas"/>
    <n v="2142700013"/>
    <s v="FCM-OPE-SAO-PVI-ATOS"/>
    <s v="-"/>
    <x v="117"/>
    <n v="773.91"/>
    <n v="0"/>
    <n v="0"/>
    <n v="0"/>
    <n v="0"/>
    <n v="0"/>
    <s v="Reserva importada do sistema Gover. Id: 457565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02981"/>
    <n v="23505100"/>
    <s v="ACC01"/>
    <x v="126"/>
    <d v="2025-08-07T18:21:59"/>
    <s v="0 a 02 dias"/>
    <s v="0 a 02 dias"/>
    <s v="AMPGGF"/>
    <s v="SABRE"/>
    <s v="PEREIRA/JOSE LUIZ CARDOSO"/>
    <s v="Flavia Constanzi do Nascimento"/>
    <s v="Flavia Constanzi do Nascimento"/>
    <x v="121"/>
    <s v="AMPGGF"/>
    <s v="-"/>
    <s v="ON LINE"/>
    <s v="?"/>
    <s v="TKT"/>
    <s v="Aéreo"/>
    <s v="N"/>
    <s v="Grupo Bosch"/>
    <s v="Bosch - Campinas"/>
    <s v="-"/>
    <s v="Lufthansa"/>
    <n v="2971604109"/>
    <s v="FCM-OPE-SAO-PVI-BOSCH"/>
    <s v="-"/>
    <x v="1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99633"/>
    <n v="23501906"/>
    <s v="ACC01"/>
    <x v="127"/>
    <d v="2025-08-08T05:18:34"/>
    <s v="0 a 02 dias"/>
    <s v="0 a 02 dias"/>
    <s v="MWUGLA"/>
    <s v="SABRE"/>
    <s v="NORONHA/TIAGO RODRIGUES"/>
    <s v="CT"/>
    <s v="CT"/>
    <x v="122"/>
    <s v="NMHTKL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5060"/>
    <s v="FCM-OPE-SAO-PVI-BOSCH"/>
    <s v="-"/>
    <x v="1"/>
    <n v="0"/>
    <n v="0"/>
    <n v="0"/>
    <n v="0"/>
    <n v="0"/>
    <n v="19.1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94499"/>
    <n v="23497347"/>
    <s v="ACC01"/>
    <x v="128"/>
    <d v="2025-08-07T05:26:30"/>
    <s v="0 a 02 dias"/>
    <s v="0 a 02 dias"/>
    <s v="HCPHKQ"/>
    <s v="SABRE"/>
    <s v="VALERIO/MARCELO FIGUEIREDO"/>
    <s v="CT"/>
    <s v="CT"/>
    <x v="123"/>
    <s v="AVXEAQ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4992"/>
    <s v="FCM-OPE-SAO-PVI-BOSCH"/>
    <s v="-"/>
    <x v="1"/>
    <n v="0"/>
    <n v="0"/>
    <n v="0"/>
    <n v="0"/>
    <n v="0"/>
    <n v="19.2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80532"/>
    <n v="23485002"/>
    <s v="ACC01"/>
    <x v="129"/>
    <d v="2025-08-05T07:34:10"/>
    <s v="03 a 05 dias"/>
    <s v="03 a 05 dias"/>
    <s v="MPHMWD"/>
    <s v="SABRE"/>
    <s v="OLIVEIRA/THIAGO MENEZES DE"/>
    <s v="CT"/>
    <s v="CT"/>
    <x v="124"/>
    <s v="MPHMWD"/>
    <s v="-"/>
    <s v="ON LINE"/>
    <s v="Cartão de crédito"/>
    <s v="Cartão AMEX"/>
    <s v="Aéreo"/>
    <s v="N"/>
    <s v="Grupo Bosch"/>
    <s v="Cap1 - Planta Campinas Bosch - 9080"/>
    <s v="Cliente FEE no POS"/>
    <s v="Gol Linhas Aereas"/>
    <n v="7700074850"/>
    <s v="FCM-OPE-SAO-PVI-BOSCH"/>
    <s v="-"/>
    <x v="1"/>
    <n v="0"/>
    <n v="0"/>
    <n v="0"/>
    <n v="0"/>
    <n v="0"/>
    <n v="19.39999999999999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1545"/>
    <n v="23503699"/>
    <s v="ACC01"/>
    <x v="130"/>
    <d v="2025-08-08T05:28:04"/>
    <s v="0 a 02 dias"/>
    <s v="0 a 02 dias"/>
    <s v="DSUOAG"/>
    <s v="SABRE"/>
    <s v="GALLO JUNIOR/ADEMAR"/>
    <s v="CT"/>
    <s v="CT"/>
    <x v="125"/>
    <s v="BHVRVC"/>
    <s v="-"/>
    <s v="ON LINE"/>
    <s v="Cartão de crédito"/>
    <s v="Cartão AMEX"/>
    <s v="Aéreo"/>
    <s v="N"/>
    <s v="Grupo Bosch"/>
    <s v="Robert Bosch Limitada - 908a"/>
    <s v="Cliente FEE no POS"/>
    <s v="Azul Linhas Aereas"/>
    <n v="7700075068"/>
    <s v="FCM-OPE-SAO-PVI-BOSCH"/>
    <s v="-"/>
    <x v="1"/>
    <n v="0"/>
    <n v="0"/>
    <n v="0"/>
    <n v="0"/>
    <n v="0"/>
    <n v="19.1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1473"/>
    <n v="23503632"/>
    <s v="ACC01"/>
    <x v="131"/>
    <d v="2025-08-08T05:27:10"/>
    <s v="0 a 02 dias"/>
    <s v="0 a 02 dias"/>
    <s v="KKQFSJ"/>
    <s v="SABRE"/>
    <s v="SANTOS/WILLIAN MATHEUS MENGUI"/>
    <s v="Clayton Alves de Rezende"/>
    <s v="CT"/>
    <x v="126"/>
    <s v="KKQFSJ"/>
    <s v="-"/>
    <s v="OFF LINE"/>
    <s v="Cartão de crédito"/>
    <s v="Cartão AMEX"/>
    <s v="Aéreo"/>
    <s v="N"/>
    <s v="Grupo Bosch"/>
    <s v="Robert Bosch Limitada - 908a"/>
    <s v="Cliente FEE no POS"/>
    <s v="Qatar Airways"/>
    <n v="5083780000"/>
    <s v="FCM-OPE-SAO-PVI-BOSCH"/>
    <s v="-"/>
    <x v="118"/>
    <n v="55.65"/>
    <n v="2003.58"/>
    <n v="0"/>
    <n v="55.65"/>
    <n v="0"/>
    <n v="19.52"/>
    <s v="Reserva importada por HubTravel"/>
    <s v="Falta informar o status no trecho da accounting aérea (Bilhete: 5083780000)"/>
    <s v="SABRE"/>
    <s v="Falta informação nos trechos"/>
    <s v="Atualização de Trechos"/>
    <s v="Dados do Fornecedor"/>
    <s v="Qualidade dos dados"/>
    <s v="KONTIK BUSINESS TRAVEL"/>
  </r>
  <r>
    <n v="22693732"/>
    <n v="23496643"/>
    <s v="ACC01"/>
    <x v="132"/>
    <d v="2025-08-07T05:22:54"/>
    <s v="0 a 02 dias"/>
    <s v="0 a 02 dias"/>
    <s v="YMJMGU"/>
    <s v="SABRE"/>
    <s v="MATTOS/LEONARDO LEITE DE"/>
    <s v="Beatrys Ferreira Rocha"/>
    <s v="CT"/>
    <x v="127"/>
    <s v="IFRUUC"/>
    <s v="-"/>
    <s v="ON LINE"/>
    <s v="?"/>
    <s v="TKT"/>
    <s v="Aéreo"/>
    <s v="N"/>
    <s v="Grupo Bosch"/>
    <s v="Ctp - Planta Curitiba"/>
    <s v="Cliente FEE no POS"/>
    <s v="Latam Airlines Brasil"/>
    <n v="2971622753"/>
    <s v="FCM-OPE-SAO-PVI-BOSCH"/>
    <s v="-"/>
    <x v="1"/>
    <n v="0"/>
    <n v="450"/>
    <n v="0"/>
    <n v="0"/>
    <n v="0"/>
    <n v="19.29"/>
    <s v="Reserva importada por HubTravel"/>
    <s v="Verificação de bilhetes: Bilhete 2971622753 já sendo utilizado para este fornecedor."/>
    <s v="SABRE"/>
    <s v="Bilhete duplicado"/>
    <s v="Bilhete Já Contabilizado"/>
    <s v="Duplicidade de Contabilização"/>
    <s v="Qualidade dos dados"/>
    <s v="GRUPO KONTIK"/>
  </r>
  <r>
    <n v="22693732"/>
    <n v="23496644"/>
    <s v="ACC02"/>
    <x v="132"/>
    <d v="2025-08-07T05:22:54"/>
    <s v="0 a 02 dias"/>
    <s v="0 a 02 dias"/>
    <s v="YMJMGU"/>
    <s v="SABRE"/>
    <s v="MATTOS/LEONARDO LEITE DE"/>
    <s v="Beatrys Ferreira Rocha"/>
    <s v="CT"/>
    <x v="127"/>
    <s v="IFRUUC"/>
    <s v="-"/>
    <s v="ON LINE"/>
    <s v="Cartão de crédito"/>
    <s v="Cartão AMEX"/>
    <s v="Aéreo"/>
    <s v="N"/>
    <s v="Grupo Bosch"/>
    <s v="Ctp - Planta Curitiba"/>
    <s v="Cliente FEE no POS"/>
    <s v="Latam Airlines Brasil"/>
    <n v="2971622753"/>
    <s v="FCM-OPE-SAO-PVI-BOSCH"/>
    <s v="-"/>
    <x v="119"/>
    <n v="0"/>
    <n v="0"/>
    <n v="0"/>
    <n v="0"/>
    <n v="0"/>
    <n v="19.29"/>
    <s v="Reserva importada por HubTravel"/>
    <s v="Verificação de bilhetes: Bilhete 2971622753 já sendo utilizado para este fornecedor."/>
    <s v="SABRE"/>
    <s v="Bilhete duplicado"/>
    <s v="Bilhete Já Contabilizado"/>
    <s v="Duplicidade de Contabilização"/>
    <s v="Qualidade dos dados"/>
    <s v="GRUPO KONTIK"/>
  </r>
  <r>
    <n v="22702967"/>
    <n v="23505086"/>
    <s v="ACC01"/>
    <x v="133"/>
    <d v="2025-08-08T05:42:18"/>
    <s v="0 a 02 dias"/>
    <s v="0 a 02 dias"/>
    <s v="KXIPTN"/>
    <s v="SABRE"/>
    <s v="MENDONCA/WESLEY DE MELO"/>
    <s v="Beatrys Ferreira Rocha"/>
    <s v="CT"/>
    <x v="68"/>
    <s v="KXIPTN"/>
    <s v="-"/>
    <s v="ON LINE"/>
    <s v="?"/>
    <s v="TKT"/>
    <s v="Aéreo"/>
    <s v="N"/>
    <s v="Grupo Bosch"/>
    <s v="Robert Bosch Limitada - 9085"/>
    <s v="Cliente FEE no POS"/>
    <s v="Latam Airlines Brasil"/>
    <n v="2971622833"/>
    <s v="FCM-OPE-SAO-PVI-BOSCH"/>
    <s v="-"/>
    <x v="1"/>
    <n v="0"/>
    <n v="49.23"/>
    <n v="0"/>
    <n v="49.23"/>
    <n v="0"/>
    <n v="19.18"/>
    <s v="Reserva importada por HubTravel"/>
    <s v="Verificação de bilhetes: Bilhete 2971622833 já sendo utilizado para este fornecedor."/>
    <s v="SABRE"/>
    <s v="Bilhete duplicado"/>
    <s v="Bilhete Já Contabilizado"/>
    <s v="Duplicidade de Contabilização"/>
    <s v="Qualidade dos dados"/>
    <s v="GRUPO KONTIK"/>
  </r>
  <r>
    <n v="22694722"/>
    <n v="23497564"/>
    <s v="ACC01"/>
    <x v="134"/>
    <d v="2025-08-06T16:45:56"/>
    <s v="0 a 02 dias"/>
    <s v="0 a 02 dias"/>
    <s v="JHJTHD"/>
    <s v="GOVER"/>
    <s v="Luciano FUSARO"/>
    <s v="Gover"/>
    <s v="Gover"/>
    <x v="128"/>
    <n v="4576868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120"/>
    <n v="56.88"/>
    <n v="0"/>
    <n v="0"/>
    <n v="0"/>
    <n v="0"/>
    <n v="0"/>
    <s v="Reserva importada do sistema Gover. Id: 4576868"/>
    <s v="Fornecedor não preenchido! (ACC01)"/>
    <s v="GOVER"/>
    <s v="Falta de Fornecedor"/>
    <s v="Campo Fornecedor"/>
    <s v="Dados do Fornecedor"/>
    <s v="Sistêmico"/>
    <s v="GRUPO KONTIK"/>
  </r>
  <r>
    <n v="22690026"/>
    <n v="23493568"/>
    <s v="ACC01"/>
    <x v="135"/>
    <d v="2025-08-05T23:05:27"/>
    <s v="03 a 05 dias"/>
    <s v="03 a 05 dias"/>
    <n v="19455517"/>
    <s v="GOVER"/>
    <s v="Livia Kent Paiva"/>
    <s v="Gover"/>
    <s v="Gover"/>
    <x v="129"/>
    <n v="4577704"/>
    <s v="-"/>
    <s v="OFF LINE"/>
    <s v="Pagamento direto"/>
    <s v="Pagamento direto"/>
    <s v="Hotel"/>
    <s v="N"/>
    <s v="Grupo Fm Global"/>
    <s v="Fm Global - Servicos"/>
    <s v="Cliente FEE no POS"/>
    <s v="Pousada Mirante de Minas Francisca"/>
    <s v="-"/>
    <s v="FCM-OPE-SAO-PVI-BTC-FM GLOBAL"/>
    <s v="-"/>
    <x v="121"/>
    <n v="0"/>
    <n v="0"/>
    <n v="0"/>
    <n v="0"/>
    <n v="0"/>
    <n v="0"/>
    <s v="Reserva importada do sistema Gover. Id: 457770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02504"/>
    <n v="23504644"/>
    <s v="ACC01"/>
    <x v="136"/>
    <d v="2025-08-07T17:54:16"/>
    <s v="0 a 02 dias"/>
    <s v="0 a 02 dias"/>
    <s v="MYDARET"/>
    <s v="SABRE"/>
    <s v="CORDEIRO/PLICIA PINHEIRO MRS"/>
    <s v="Luciene Carvalho Santos"/>
    <s v="Luciene Carvalho Santos"/>
    <x v="130"/>
    <s v="MYDARE"/>
    <s v="-"/>
    <s v="ON LINE"/>
    <s v="Invoice"/>
    <s v="Faturado"/>
    <s v="Hotel"/>
    <s v="N"/>
    <s v="Grupo Diageo"/>
    <s v="Diageo Brasil"/>
    <s v="Cliente FEE no POS"/>
    <s v="Citi Executivo Hotel"/>
    <s v="-"/>
    <s v="FCM-OPE-SAO-PVI-DIAGEO"/>
    <s v="-"/>
    <x v="122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95511"/>
    <n v="23498358"/>
    <s v="ACC01"/>
    <x v="137"/>
    <d v="2025-08-06T18:17:19"/>
    <s v="0 a 02 dias"/>
    <s v="0 a 02 dias"/>
    <s v="YCHYHF"/>
    <s v="GOVER"/>
    <s v="Tiago Caldas"/>
    <s v="Gover"/>
    <s v="Gover"/>
    <x v="131"/>
    <n v="4575525"/>
    <s v="-"/>
    <s v="OFF LINE"/>
    <s v="Cartão de crédito"/>
    <s v="Cartão de crédito"/>
    <s v="Aéreo"/>
    <s v="N"/>
    <s v="Grupo Zf"/>
    <s v="Zf do Brasil - Divisao Z"/>
    <s v="-"/>
    <s v="Lufthansa"/>
    <n v="2971228101"/>
    <s v="KON-OPE-RIO-PVI-BTC"/>
    <s v="-"/>
    <x v="123"/>
    <n v="1492.47"/>
    <n v="0"/>
    <n v="0"/>
    <n v="0"/>
    <n v="0"/>
    <n v="0"/>
    <s v="Reserva importada do sistema Gover. Id: 4575525"/>
    <s v="Verificação de bilhetes: Bilhete 2971228101 já sendo utilizado para este fornecedor."/>
    <s v="GOVER"/>
    <s v="Bilhete duplicado"/>
    <s v="Bilhete Já Contabilizado"/>
    <s v="Duplicidade de Contabilização"/>
    <s v="Qualidade dos dados"/>
    <s v="GRUPO KONTIK"/>
  </r>
  <r>
    <n v="22695721"/>
    <n v="23498572"/>
    <s v="ACC01"/>
    <x v="138"/>
    <d v="2025-08-06T18:28:36"/>
    <s v="0 a 02 dias"/>
    <s v="0 a 02 dias"/>
    <s v="ASXEDL"/>
    <s v="GOVER"/>
    <s v="Claudia Gomes"/>
    <s v="Gover"/>
    <s v="Gover"/>
    <x v="131"/>
    <n v="4575483"/>
    <s v="-"/>
    <s v="OFF LINE"/>
    <s v="Cartão de crédito"/>
    <s v="Cartão de crédito"/>
    <s v="Aéreo"/>
    <s v="N"/>
    <s v="Grupo Zf"/>
    <s v="Zf do Brasil - Divisao Z"/>
    <s v="-"/>
    <s v="Lufthansa"/>
    <n v="2971228100"/>
    <s v="KON-OPE-RIO-PVI-BTC"/>
    <s v="-"/>
    <x v="124"/>
    <n v="1352.38"/>
    <n v="0"/>
    <n v="0"/>
    <n v="0"/>
    <n v="0"/>
    <n v="0"/>
    <s v="Reserva importada do sistema Gover. Id: 4575483"/>
    <s v="Verificação de bilhetes: Bilhete 2971228100 já sendo utilizado para este fornecedor."/>
    <s v="GOVER"/>
    <s v="Bilhete duplicado"/>
    <s v="Bilhete Já Contabilizado"/>
    <s v="Duplicidade de Contabilização"/>
    <s v="Qualidade dos dados"/>
    <s v="GRUPO KONTIK"/>
  </r>
  <r>
    <n v="22565297"/>
    <n v="23389768"/>
    <s v="ACC01"/>
    <x v="139"/>
    <d v="2025-07-15T13:05:52"/>
    <s v="24 a 31 dias"/>
    <s v="24 a 31 dias"/>
    <s v="B2OQFL"/>
    <s v="GOVER"/>
    <s v="Kleiton Aparecido Stoco"/>
    <s v="Wilson Jose Araujo de Gusmao Junior"/>
    <s v="Wilson Jose Araujo de Gusmao Junior"/>
    <x v="132"/>
    <n v="4565213"/>
    <s v="Mobility - Eua - Ex - Detroit - Aeroporto DTW Endereço: DETROIT LOJA AEROPORTO DTW"/>
    <s v="OFF LINE"/>
    <s v="Pagamento direto"/>
    <s v="Pagamento direto"/>
    <s v="Carro"/>
    <s v="N"/>
    <s v="Grupo Zf"/>
    <s v="Zf do Brasil - Limeira"/>
    <s v="-"/>
    <s v="-"/>
    <s v="-"/>
    <s v="KON-OPE-RIO-PVI-BTC"/>
    <s v="-"/>
    <x v="125"/>
    <n v="0"/>
    <n v="0"/>
    <n v="0"/>
    <n v="0"/>
    <n v="0"/>
    <n v="0"/>
    <s v="Reserva importada do sistema Gover. Id: 4565213"/>
    <s v="Fornecedor não preenchido! (ACC01)"/>
    <s v="GOVER"/>
    <s v="Falta de Fornecedor"/>
    <s v="Campo Fornecedor"/>
    <s v="Dados do Fornecedor"/>
    <s v="Qualidade dos dados"/>
    <s v="KONTIK BUSINESS TRAVEL"/>
  </r>
  <r>
    <n v="22679659"/>
    <n v="23484113"/>
    <s v="ACC01"/>
    <x v="140"/>
    <d v="2025-08-04T16:10:32"/>
    <s v="03 a 05 dias"/>
    <s v="03 a 05 dias"/>
    <s v="1680742306COUNT"/>
    <s v="GOVER"/>
    <s v="Tiago Caldas"/>
    <s v="Gover"/>
    <s v="Gover"/>
    <x v="133"/>
    <n v="4575831"/>
    <s v="National Car Rental - Flughafen Stuttgart Endereço:  Terminal 3, Ebene 2, 70629 Stuttgart, Alemanha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126"/>
    <n v="0"/>
    <n v="0"/>
    <n v="0"/>
    <n v="0"/>
    <n v="0"/>
    <n v="0"/>
    <s v="Reserva importada do sistema Gover. Id: 4575831"/>
    <s v="Fornecedor não preenchido! (ACC01)"/>
    <s v="GOVER"/>
    <s v="Falta de Fornecedor"/>
    <s v="Campo Fornecedor"/>
    <s v="Dados do Fornecedor"/>
    <s v="Qualidade dos dados"/>
    <s v="KONTIK BUSINESS TRAVEL"/>
  </r>
  <r>
    <n v="22568247"/>
    <n v="23392640"/>
    <s v="ACC01"/>
    <x v="141"/>
    <d v="2025-07-15T19:35:32"/>
    <s v="24 a 31 dias"/>
    <s v="24 a 31 dias"/>
    <s v="HCHAPH"/>
    <s v="GOVER"/>
    <s v="JOSE WILSON FERREIRA"/>
    <s v="Gover"/>
    <s v="Gover"/>
    <x v="134"/>
    <n v="4566694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127"/>
    <n v="28.44"/>
    <n v="0"/>
    <n v="0"/>
    <n v="0"/>
    <n v="0"/>
    <n v="0"/>
    <s v="Reserva importada do sistema Gover. Id: 4566694"/>
    <s v="Fornecedor não preenchido! (ACC01)"/>
    <s v="GOVER"/>
    <s v="Falta de Fornecedor"/>
    <s v="Campo Fornecedor"/>
    <s v="Dados do Fornecedor"/>
    <s v="Sistêmico"/>
    <s v="GRUPO KONTIK"/>
  </r>
  <r>
    <n v="22684677"/>
    <n v="23488514"/>
    <s v="ACC01"/>
    <x v="142"/>
    <d v="2025-08-05T12:15:23"/>
    <s v="03 a 05 dias"/>
    <s v="03 a 05 dias"/>
    <n v="3668785"/>
    <s v="GOVER"/>
    <s v="Fabio Pires Lana"/>
    <s v="Gover"/>
    <s v="Gover"/>
    <x v="135"/>
    <n v="4576453"/>
    <s v="-"/>
    <s v="OFF LINE"/>
    <s v="Cartão de crédito"/>
    <s v="Faturado"/>
    <s v="Hotel"/>
    <s v="N"/>
    <s v="Grupo Biomerieux"/>
    <s v="Biomerieux"/>
    <s v="-"/>
    <s v="-"/>
    <s v="-"/>
    <s v="KON-OPE-RIO-PVI-BTC-BIOMERIEUX"/>
    <s v="-"/>
    <x v="74"/>
    <n v="0"/>
    <n v="0"/>
    <n v="0"/>
    <n v="0"/>
    <n v="0"/>
    <n v="0"/>
    <s v="Reserva importada do sistema Gover. Id: 4576453"/>
    <s v="Fornecedor não preenchido! (ACC01)"/>
    <s v="GOVER"/>
    <s v="Falta de Fornecedor"/>
    <s v="Campo Fornecedor"/>
    <s v="Dados do Fornecedor"/>
    <s v="Sistêmico"/>
    <s v="GRUPO KONTIK"/>
  </r>
  <r>
    <n v="22691979"/>
    <n v="23494989"/>
    <s v="ACC01"/>
    <x v="143"/>
    <d v="2025-08-06T09:48:40"/>
    <s v="0 a 02 dias"/>
    <s v="0 a 02 dias"/>
    <s v="SECJQQ"/>
    <s v="GOVER"/>
    <s v="ELIZABETH DANTAS DE SOUZA"/>
    <s v="Juliana dos Santos Pinto"/>
    <s v="Juliana dos Santos Pinto"/>
    <x v="136"/>
    <n v="4575477"/>
    <s v="-"/>
    <s v="OFF LINE"/>
    <s v="Cartão de crédito"/>
    <s v="Cartão AMEX"/>
    <s v="Aéreo"/>
    <s v="N"/>
    <s v="Grupo Biomerieux"/>
    <s v="Biomerieux"/>
    <s v="-"/>
    <s v="Latam Airlines Brasil"/>
    <n v="2971624552"/>
    <s v="KON-OPE-RIO-PVI-BTC-BIOMERIEUX"/>
    <s v="-"/>
    <x v="128"/>
    <n v="284.11"/>
    <n v="0"/>
    <n v="0"/>
    <n v="0"/>
    <n v="0"/>
    <n v="0"/>
    <s v="Reserva importada do sistema Gover. Id: 457547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574376"/>
    <n v="23397987"/>
    <s v="ACC01"/>
    <x v="144"/>
    <d v="2025-07-16T18:45:36"/>
    <s v="16 a 23 dias"/>
    <s v="16 a 23 dias"/>
    <s v="5418-4"/>
    <s v="GOVER"/>
    <s v="CARLOS JOSE FERREIRA"/>
    <s v="Rafaela Leitao Oliveira"/>
    <s v="Rafaela Leitao Oliveira"/>
    <x v="137"/>
    <n v="4564042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129"/>
    <n v="0"/>
    <n v="0"/>
    <n v="0"/>
    <n v="0"/>
    <n v="0"/>
    <n v="0"/>
    <s v="Reserva importada do sistema Gover. Id: 4564042"/>
    <s v="Fornecedor não preenchido! (ACC01)"/>
    <s v="GOVER"/>
    <s v="Falta de Fornecedor"/>
    <s v="Campo Fornecedor"/>
    <s v="Dados do Fornecedor"/>
    <s v="Qualidade dos dados"/>
    <s v="KONTIK BUSINESS TRAVEL"/>
  </r>
  <r>
    <n v="22701789"/>
    <n v="23503939"/>
    <s v="ACC01"/>
    <x v="145"/>
    <d v="2025-08-07T16:01:21"/>
    <s v="0 a 02 dias"/>
    <s v="0 a 02 dias"/>
    <n v="19485556"/>
    <s v="GOVER"/>
    <s v="RAFAEL LAGE DA SILVA  GUNDINHO"/>
    <s v="Loizy Lima de Oliveira"/>
    <s v="Loizy Lima de Oliveira"/>
    <x v="57"/>
    <n v="4578645"/>
    <s v="-"/>
    <s v="OFF LINE"/>
    <s v="Invoice"/>
    <s v="Faturado"/>
    <s v="Hotel"/>
    <s v="N"/>
    <s v="Grupo Cbo"/>
    <s v="Ena"/>
    <s v="-"/>
    <s v="Golden Towers Hotel"/>
    <s v="-"/>
    <s v="KON-OPE-RIO-PVI-BTC-CBO"/>
    <s v="-"/>
    <x v="130"/>
    <n v="0"/>
    <n v="0"/>
    <n v="0"/>
    <n v="0"/>
    <n v="0"/>
    <n v="0"/>
    <s v="Reserva importada do sistema Gover. Id: 4578645"/>
    <s v="Este cliente não possui permissão para usar este tipo de pagamento e recebimento para este produto."/>
    <s v="GOVER"/>
    <s v="Pagamento não permitido para cobrança"/>
    <s v="Forma PG. e REC."/>
    <s v="Dados do Fornecedor"/>
    <s v="Qualidade dos dados"/>
    <s v="KONTIK BUSINESS TRAVEL"/>
  </r>
  <r>
    <n v="22703849"/>
    <n v="23505931"/>
    <s v="ACC01"/>
    <x v="146"/>
    <d v="2025-08-08T00:05:31"/>
    <s v="0 a 02 dias"/>
    <s v="0 a 02 dias"/>
    <n v="4357594324581"/>
    <s v="GOVER"/>
    <s v="Ivan de Paula Rigoletto"/>
    <s v="Rafaela Leitao Oliveira"/>
    <s v="Rafaela Leitao Oliveira"/>
    <x v="138"/>
    <n v="4578150"/>
    <s v="-"/>
    <s v="OFF LINE"/>
    <s v="Invoice"/>
    <s v="Faturado"/>
    <s v="Hotel"/>
    <s v="N"/>
    <s v="Grupo Cmoc"/>
    <s v="Cmoc - Dom Domenico Rangoni"/>
    <s v="-"/>
    <s v="-"/>
    <s v="-"/>
    <s v="KON-OPE-RIO-PVI-BTC-CMOC"/>
    <s v="-"/>
    <x v="131"/>
    <n v="270"/>
    <n v="0"/>
    <n v="0"/>
    <n v="0"/>
    <n v="0"/>
    <n v="0"/>
    <s v="Reserva importada do sistema Gover. Id: 4578150"/>
    <s v="Fornecedor não preenchido! (ACC01)"/>
    <s v="GOVER"/>
    <s v="Falta de Fornecedor"/>
    <s v="Campo Fornecedor"/>
    <s v="Dados do Fornecedor"/>
    <s v="Sistêmico"/>
    <s v="GRUPO KONTIK"/>
  </r>
  <r>
    <n v="22703850"/>
    <n v="23505932"/>
    <s v="ACC01"/>
    <x v="147"/>
    <d v="2025-08-08T00:05:31"/>
    <s v="0 a 02 dias"/>
    <s v="0 a 02 dias"/>
    <n v="8789411810486"/>
    <s v="GOVER"/>
    <s v="Gabriela Comper"/>
    <s v="Rafaela Leitao Oliveira"/>
    <s v="Rafaela Leitao Oliveira"/>
    <x v="138"/>
    <n v="4578150"/>
    <s v="-"/>
    <s v="OFF LINE"/>
    <s v="Invoice"/>
    <s v="Faturado"/>
    <s v="Hotel"/>
    <s v="N"/>
    <s v="Grupo Cmoc"/>
    <s v="Cmoc - Dom Domenico Rangoni"/>
    <s v="-"/>
    <s v="-"/>
    <s v="-"/>
    <s v="KON-OPE-RIO-PVI-BTC-CMOC"/>
    <s v="-"/>
    <x v="131"/>
    <n v="270"/>
    <n v="0"/>
    <n v="0"/>
    <n v="0"/>
    <n v="0"/>
    <n v="0"/>
    <s v="Reserva importada do sistema Gover. Id: 4578150"/>
    <s v="Fornecedor não preenchido! (ACC01)"/>
    <s v="GOVER"/>
    <s v="Falta de Fornecedor"/>
    <s v="Campo Fornecedor"/>
    <s v="Dados do Fornecedor"/>
    <s v="Sistêmico"/>
    <s v="GRUPO KONTIK"/>
  </r>
  <r>
    <n v="22688189"/>
    <n v="23491831"/>
    <s v="ACC01"/>
    <x v="148"/>
    <d v="2025-08-05T19:03:05"/>
    <s v="03 a 05 dias"/>
    <s v="03 a 05 dias"/>
    <s v="5FYGNO"/>
    <s v="TMS"/>
    <s v="SERGIO MACHADO"/>
    <s v="Tms"/>
    <s v="Tms"/>
    <x v="139"/>
    <n v="65394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132"/>
    <n v="0"/>
    <n v="0"/>
    <n v="0"/>
    <n v="0"/>
    <n v="0"/>
    <n v="0"/>
    <s v="Reserva importada do Sistema TMS. OS: 65394"/>
    <s v="Fornecedor não preenchido! (ACC01)"/>
    <s v="ARGO(TMS)"/>
    <s v="Falta de Fornecedor"/>
    <s v="Campo Fornecedor"/>
    <s v="Dados do Fornecedor"/>
    <s v="Qualidade dos dados"/>
    <s v="KONTIK BUSINESS TRAVEL"/>
  </r>
  <r>
    <n v="22688193"/>
    <n v="23491835"/>
    <s v="ACC01"/>
    <x v="149"/>
    <d v="2025-08-05T19:03:05"/>
    <s v="03 a 05 dias"/>
    <s v="03 a 05 dias"/>
    <s v="5FUG9O"/>
    <s v="TMS"/>
    <s v="RAFAEL DUARTE"/>
    <s v="Tms"/>
    <s v="Tms"/>
    <x v="140"/>
    <n v="64750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133"/>
    <n v="0"/>
    <n v="0"/>
    <n v="0"/>
    <n v="0"/>
    <n v="0"/>
    <n v="0"/>
    <s v="Reserva importada do Sistema TMS. OS: 64750"/>
    <s v="Fornecedor não preenchido! (ACC01)"/>
    <s v="ARGO(TMS)"/>
    <s v="Falta de Fornecedor"/>
    <s v="Campo Fornecedor"/>
    <s v="Dados do Fornecedor"/>
    <s v="Qualidade dos dados"/>
    <s v="KONTIK BUSINESS TRAVEL"/>
  </r>
  <r>
    <n v="22688196"/>
    <n v="23491839"/>
    <s v="ACC01"/>
    <x v="150"/>
    <d v="2025-08-05T19:03:18"/>
    <s v="03 a 05 dias"/>
    <s v="03 a 05 dias"/>
    <s v="5FBHLO"/>
    <s v="TMS"/>
    <s v="MARCELO MICHEL FERRO"/>
    <s v="Tms"/>
    <s v="Tms"/>
    <x v="141"/>
    <n v="60403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134"/>
    <n v="0"/>
    <n v="0"/>
    <n v="0"/>
    <n v="0"/>
    <n v="0"/>
    <n v="0"/>
    <s v="Reserva importada do Sistema TMS. OS: 60403"/>
    <s v="Fornecedor não preenchido! (ACC01)"/>
    <s v="ARGO(TMS)"/>
    <s v="Falta de Fornecedor"/>
    <s v="Campo Fornecedor"/>
    <s v="Dados do Fornecedor"/>
    <s v="Qualidade dos dados"/>
    <s v="KONTIK BUSINESS TRAVEL"/>
  </r>
  <r>
    <n v="22688197"/>
    <n v="23491840"/>
    <s v="ACC01"/>
    <x v="151"/>
    <d v="2025-08-05T19:03:19"/>
    <s v="03 a 05 dias"/>
    <s v="03 a 05 dias"/>
    <s v="5F1HON"/>
    <s v="TMS"/>
    <s v="MARCELO MICHEL FERRO"/>
    <s v="Tms"/>
    <s v="Tms"/>
    <x v="142"/>
    <n v="58141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134"/>
    <n v="0"/>
    <n v="0"/>
    <n v="0"/>
    <n v="0"/>
    <n v="0"/>
    <n v="0"/>
    <s v="Reserva importada do Sistema TMS. OS: 58141"/>
    <s v="Fornecedor não preenchido! (ACC01)"/>
    <s v="ARGO(TMS)"/>
    <s v="Falta de Fornecedor"/>
    <s v="Campo Fornecedor"/>
    <s v="Dados do Fornecedor"/>
    <s v="Qualidade dos dados"/>
    <s v="KONTIK BUSINESS TRAVEL"/>
  </r>
  <r>
    <n v="22678703"/>
    <n v="23483265"/>
    <s v="ACC01"/>
    <x v="152"/>
    <d v="2025-08-04T13:36:22"/>
    <s v="03 a 05 dias"/>
    <s v="03 a 05 dias"/>
    <s v="5FYE77"/>
    <s v="TMS"/>
    <s v="FERNANDO VARELLA"/>
    <s v="Tms"/>
    <s v="Tms"/>
    <x v="143"/>
    <n v="10128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35"/>
    <n v="0"/>
    <n v="0"/>
    <n v="0"/>
    <n v="0"/>
    <n v="6"/>
    <n v="0"/>
    <s v="Reserva importada do Sistema TMS. OS: 10128"/>
    <s v="Fornecedor não preenchido! (ACC01)"/>
    <s v="ARGO(TMS)"/>
    <s v="Falta de Fornecedor"/>
    <s v="Campo Fornecedor"/>
    <s v="Dados do Fornecedor"/>
    <s v="Sistêmico"/>
    <s v="GRUPO KONTIK"/>
  </r>
  <r>
    <n v="22700929"/>
    <n v="23503139"/>
    <s v="ACC01"/>
    <x v="153"/>
    <d v="2025-08-07T22:18:58"/>
    <s v="0 a 02 dias"/>
    <s v="0 a 02 dias"/>
    <s v="5GE8OW"/>
    <s v="TMS"/>
    <s v="MARCELO ROCHA"/>
    <s v="Tms"/>
    <s v="Tms"/>
    <x v="144"/>
    <n v="10346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36"/>
    <n v="0"/>
    <n v="0"/>
    <n v="0"/>
    <n v="0"/>
    <n v="295.85000000000002"/>
    <n v="0"/>
    <s v="Reserva importada do Sistema TMS. OS: 10346"/>
    <s v="Fornecedor não preenchido! (ACC01)"/>
    <s v="ARGO(TMS)"/>
    <s v="Falta de Fornecedor"/>
    <s v="Campo Fornecedor"/>
    <s v="Dados do Fornecedor"/>
    <s v="Sistêmico"/>
    <s v="GRUPO KONTIK"/>
  </r>
  <r>
    <n v="22696422"/>
    <n v="23499261"/>
    <s v="ACC01"/>
    <x v="154"/>
    <d v="2025-08-06T20:16:33"/>
    <s v="0 a 02 dias"/>
    <s v="0 a 02 dias"/>
    <s v="5GLYZS"/>
    <s v="TMS"/>
    <s v="MARCELO DOMINGUEZ"/>
    <s v="Tms"/>
    <s v="Tms"/>
    <x v="145"/>
    <n v="10326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37"/>
    <n v="0"/>
    <n v="0"/>
    <n v="0"/>
    <n v="0"/>
    <n v="11.85"/>
    <n v="0"/>
    <s v="Reserva importada do Sistema TMS. OS: 10326"/>
    <s v="Fornecedor não preenchido! (ACC01)"/>
    <s v="ARGO(TMS)"/>
    <s v="Falta de Fornecedor"/>
    <s v="Campo Fornecedor"/>
    <s v="Dados do Fornecedor"/>
    <s v="Sistêmico"/>
    <s v="GRUPO KONTIK"/>
  </r>
  <r>
    <n v="22681613"/>
    <n v="23486085"/>
    <s v="ACC01"/>
    <x v="155"/>
    <d v="2025-08-04T22:22:54"/>
    <s v="03 a 05 dias"/>
    <s v="03 a 05 dias"/>
    <s v="5F93HI"/>
    <s v="TMS"/>
    <s v="EDUARDA LUDWIG"/>
    <s v="Tms"/>
    <s v="Tms"/>
    <x v="146"/>
    <n v="10081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38"/>
    <n v="0"/>
    <n v="0"/>
    <n v="0"/>
    <n v="0"/>
    <n v="30.88"/>
    <n v="0"/>
    <s v="Reserva importada do Sistema TMS. OS: 10081"/>
    <s v="Fornecedor não preenchido! (ACC01)"/>
    <s v="ARGO(TMS)"/>
    <s v="Falta de Fornecedor"/>
    <s v="Campo Fornecedor"/>
    <s v="Dados do Fornecedor"/>
    <s v="Sistêmico"/>
    <s v="GRUPO KONTIK"/>
  </r>
  <r>
    <n v="22700933"/>
    <n v="23503142"/>
    <s v="ACC01"/>
    <x v="156"/>
    <d v="2025-08-07T13:28:23"/>
    <s v="0 a 02 dias"/>
    <s v="0 a 02 dias"/>
    <s v="5GUK92"/>
    <s v="TMS"/>
    <s v="MARCELO NEVES"/>
    <s v="ADRIANA MIRANDA COUTINHO"/>
    <s v="ADRIANA MIRANDA COUTINHO"/>
    <x v="147"/>
    <n v="10120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139"/>
    <n v="0"/>
    <n v="0"/>
    <n v="0"/>
    <n v="0"/>
    <n v="0"/>
    <n v="0"/>
    <s v="Reserva importada do Sistema TMS. OS: 10120"/>
    <s v="Fornecedor não preenchido! (ACC01)"/>
    <s v="ARGO(TMS)"/>
    <s v="Falta de Fornecedor"/>
    <s v="Campo Fornecedor"/>
    <s v="Dados do Fornecedor"/>
    <s v="Qualidade dos dados"/>
    <s v="KONTIK BUSINESS TRAVEL"/>
  </r>
  <r>
    <n v="22700934"/>
    <n v="23503143"/>
    <s v="ACC01"/>
    <x v="157"/>
    <d v="2025-08-07T22:19:26"/>
    <s v="0 a 02 dias"/>
    <s v="0 a 02 dias"/>
    <s v="5GK8NW"/>
    <s v="TMS"/>
    <s v="RENATO DITOMASO"/>
    <s v="ADRIANA MIRANDA COUTINHO"/>
    <s v="ADRIANA MIRANDA COUTINHO"/>
    <x v="148"/>
    <n v="10119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139"/>
    <n v="0"/>
    <n v="0"/>
    <n v="0"/>
    <n v="0"/>
    <n v="0"/>
    <n v="0"/>
    <s v="Reserva importada do Sistema TMS. OS: 10119"/>
    <s v="Fornecedor não preenchido! (ACC01)"/>
    <s v="ARGO(TMS)"/>
    <s v="Falta de Fornecedor"/>
    <s v="Campo Fornecedor"/>
    <s v="Dados do Fornecedor"/>
    <s v="Qualidade dos dados"/>
    <s v="KONTIK BUSINESS TRAVEL"/>
  </r>
  <r>
    <n v="22696459"/>
    <n v="23499301"/>
    <s v="ACC01"/>
    <x v="158"/>
    <d v="2025-08-06T20:21:04"/>
    <s v="0 a 02 dias"/>
    <s v="0 a 02 dias"/>
    <s v="5G6K1W"/>
    <s v="TMS"/>
    <s v="KELVIS FIGUEIREDO"/>
    <s v="Bruna Carlos da Silva"/>
    <s v="Bruna Carlos da Silva"/>
    <x v="149"/>
    <n v="10279"/>
    <s v="Duque de Caxias / RJ, Brasil (QDQ)"/>
    <s v="OFF LINE"/>
    <s v="Invoice"/>
    <s v="Faturado"/>
    <s v="Carro"/>
    <s v="N"/>
    <s v="Grupo Braskem"/>
    <s v="Braskem - Camacari"/>
    <s v="-"/>
    <s v="-"/>
    <s v="-"/>
    <s v="KON-OPE-SAO-PVI-BRASKEM"/>
    <s v="-"/>
    <x v="140"/>
    <n v="0"/>
    <n v="0"/>
    <n v="0"/>
    <n v="0"/>
    <n v="0"/>
    <n v="0"/>
    <s v="Reserva importada do Sistema TMS. OS: 10279"/>
    <s v="Fornecedor não preenchido! (ACC01)"/>
    <s v="ARGO(TMS)"/>
    <s v="Falta de Fornecedor"/>
    <s v="Campo Fornecedor"/>
    <s v="Dados do Fornecedor"/>
    <s v="Qualidade dos dados"/>
    <s v="KONTIK BUSINESS TRAVEL"/>
  </r>
  <r>
    <n v="22574510"/>
    <n v="23398118"/>
    <s v="ACC01"/>
    <x v="159"/>
    <d v="2025-07-16T18:56:02"/>
    <s v="16 a 23 dias"/>
    <s v="16 a 23 dias"/>
    <n v="19197258"/>
    <s v="GOVER"/>
    <s v="Maira Da Conceição Moraes "/>
    <s v="Gover"/>
    <s v="Gover"/>
    <x v="150"/>
    <n v="456763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41"/>
    <n v="0"/>
    <n v="0"/>
    <n v="0"/>
    <n v="0"/>
    <n v="0"/>
    <n v="0"/>
    <s v="Reserva importada do sistema Gover. Id: 4567637"/>
    <s v="Fornecedor não preenchido! (ACC01)"/>
    <s v="GOVER"/>
    <s v="Falta de Fornecedor"/>
    <s v="Campo Fornecedor"/>
    <s v="Dados do Fornecedor"/>
    <s v="Sistêmico"/>
    <s v="GRUPO KONTIK"/>
  </r>
  <r>
    <n v="22583919"/>
    <n v="23405726"/>
    <s v="ACC01"/>
    <x v="160"/>
    <d v="2025-07-18T11:23:10"/>
    <s v="16 a 23 dias"/>
    <s v="16 a 23 dias"/>
    <n v="19216215"/>
    <s v="GOVER"/>
    <s v="Caique  Nascimento De Araújo"/>
    <s v="Gover"/>
    <s v="Gover"/>
    <x v="151"/>
    <n v="4568443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75"/>
    <n v="0"/>
    <n v="0"/>
    <n v="0"/>
    <n v="0"/>
    <n v="0"/>
    <n v="0"/>
    <s v="Reserva importada do sistema Gover. Id: 4568443"/>
    <s v="Fornecedor não preenchido! (ACC01)"/>
    <s v="GOVER"/>
    <s v="Falta de Fornecedor"/>
    <s v="Campo Fornecedor"/>
    <s v="Dados do Fornecedor"/>
    <s v="Sistêmico"/>
    <s v="GRUPO KONTIK"/>
  </r>
  <r>
    <n v="22701567"/>
    <n v="23503717"/>
    <s v="ACC01"/>
    <x v="161"/>
    <d v="2025-08-07T15:15:29"/>
    <s v="0 a 02 dias"/>
    <s v="0 a 02 dias"/>
    <n v="19446829"/>
    <s v="GOVER"/>
    <s v="Brena Felix Rodrigues"/>
    <s v="Gover"/>
    <s v="Gover"/>
    <x v="152"/>
    <n v="4576986"/>
    <s v="-"/>
    <s v="OFF LINE"/>
    <s v="Invoice"/>
    <s v="Faturado"/>
    <s v="Hotel"/>
    <s v="N"/>
    <s v="Grupo Hypera"/>
    <s v="Hypera S.a."/>
    <s v="-"/>
    <s v="Pousada Santo Amaro"/>
    <s v="-"/>
    <s v="KON-OPE-SAO-PVI-HYPERA"/>
    <s v="-"/>
    <x v="131"/>
    <n v="0"/>
    <n v="0"/>
    <n v="0"/>
    <n v="0"/>
    <n v="0"/>
    <n v="0"/>
    <s v="Reserva importada do sistema Gover. Id: 4576986"/>
    <s v="Não foi possível encontrar um contrato válido para o fornecedor 16504 (Código fornecedor) "/>
    <s v="GOVER"/>
    <s v="Contrato de fornecedor"/>
    <s v="Análise Cadastro"/>
    <s v="Dados do Fornecedor"/>
    <s v="Qualidade dos dados"/>
    <s v="KONTIK BUSINESS TRAVEL"/>
  </r>
  <r>
    <n v="22701638"/>
    <n v="23503786"/>
    <s v="ACC01"/>
    <x v="162"/>
    <d v="2025-08-07T15:31:16"/>
    <s v="0 a 02 dias"/>
    <s v="0 a 02 dias"/>
    <n v="19483961"/>
    <s v="GOVER"/>
    <s v="Andrea Camargo Barreto"/>
    <s v="Gover"/>
    <s v="Gover"/>
    <x v="153"/>
    <n v="4578702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42"/>
    <n v="0"/>
    <n v="0"/>
    <n v="0"/>
    <n v="0"/>
    <n v="0"/>
    <n v="0"/>
    <s v="Reserva importada do sistema Gover. Id: 4578702"/>
    <s v="Fornecedor não preenchido! (ACC01)"/>
    <s v="GOVER"/>
    <s v="Falta de Fornecedor"/>
    <s v="Campo Fornecedor"/>
    <s v="Dados do Fornecedor"/>
    <s v="Sistêmico"/>
    <s v="GRUPO KONTIK"/>
  </r>
  <r>
    <n v="22663757"/>
    <n v="23471782"/>
    <s v="ACC01"/>
    <x v="163"/>
    <d v="2025-08-01T11:03:35"/>
    <s v="06 a 08 dias"/>
    <s v="06 a 08 dias"/>
    <n v="19381694"/>
    <s v="GOVER"/>
    <s v="Diego Cardoso Martins"/>
    <s v="Gover"/>
    <s v="Gover"/>
    <x v="154"/>
    <n v="4574989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43"/>
    <n v="0"/>
    <n v="0"/>
    <n v="0"/>
    <n v="0"/>
    <n v="0"/>
    <n v="0"/>
    <s v="Reserva importada do sistema Gover. Id: 4574989"/>
    <s v="Fornecedor não preenchido! (ACC01)"/>
    <s v="GOVER"/>
    <s v="Falta de Fornecedor"/>
    <s v="Campo Fornecedor"/>
    <s v="Dados do Fornecedor"/>
    <s v="Sistêmico"/>
    <s v="GRUPO KONTIK"/>
  </r>
  <r>
    <n v="22681481"/>
    <n v="23485944"/>
    <s v="ACC01"/>
    <x v="164"/>
    <d v="2025-08-04T18:55:38"/>
    <s v="03 a 05 dias"/>
    <s v="03 a 05 dias"/>
    <n v="19431949"/>
    <s v="GOVER"/>
    <s v="Leandro Pereira de Sousa"/>
    <s v="Gover"/>
    <s v="Gover"/>
    <x v="155"/>
    <n v="4576724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144"/>
    <n v="0"/>
    <n v="0"/>
    <n v="0"/>
    <n v="0"/>
    <n v="0"/>
    <n v="0"/>
    <s v="Reserva importada do sistema Gover. Id: 4576724"/>
    <s v="Fornecedor não preenchido! (ACC01)"/>
    <s v="GOVER"/>
    <s v="Falta de Fornecedor"/>
    <s v="Campo Fornecedor"/>
    <s v="Dados do Fornecedor"/>
    <s v="Sistêmico"/>
    <s v="GRUPO KONTIK"/>
  </r>
  <r>
    <n v="22680658"/>
    <n v="23485133"/>
    <s v="ACC01"/>
    <x v="165"/>
    <d v="2025-08-04T18:15:59"/>
    <s v="03 a 05 dias"/>
    <s v="03 a 05 dias"/>
    <n v="4576274"/>
    <s v="GOVER"/>
    <s v="Adriano Jose da Silva"/>
    <s v="Wilson Jose Araujo de Gusmao Junior"/>
    <s v="Wilson Jose Araujo de Gusmao Junior"/>
    <x v="156"/>
    <n v="4576274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145"/>
    <n v="0"/>
    <n v="0"/>
    <n v="0"/>
    <n v="0"/>
    <n v="0"/>
    <n v="0"/>
    <s v="Reserva importada do sistema Gover. Id: 4576274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4230"/>
    <n v="23488136"/>
    <s v="ACC01"/>
    <x v="166"/>
    <d v="2025-08-05T08:05:15"/>
    <s v="03 a 05 dias"/>
    <s v="03 a 05 dias"/>
    <n v="4576387"/>
    <s v="GOVER"/>
    <s v="Cesar Francisco Antunes Cavalheiro"/>
    <s v="Wilson Jose Araujo de Gusmao Junior"/>
    <s v="Wilson Jose Araujo de Gusmao Junior"/>
    <x v="157"/>
    <n v="4576387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145"/>
    <n v="0"/>
    <n v="0"/>
    <n v="0"/>
    <n v="0"/>
    <n v="0"/>
    <n v="0"/>
    <s v="Reserva importada do sistema Gover. Id: 4576387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7725"/>
    <n v="23491370"/>
    <s v="ACC01"/>
    <x v="167"/>
    <d v="2025-08-06T22:39:22"/>
    <s v="0 a 02 dias"/>
    <s v="03 a 05 dias"/>
    <s v="h4569045"/>
    <s v="GOVER"/>
    <s v="Carolina da Silva Corrales"/>
    <s v="Janaina dos Santos Oliveira"/>
    <s v="Janaina dos Santos Oliveira"/>
    <x v="158"/>
    <n v="4569045"/>
    <s v="-"/>
    <s v="OFF LINE"/>
    <s v="Pagamento direto"/>
    <s v="Pagamento direto"/>
    <s v="Hotel"/>
    <s v="N"/>
    <s v="Grupo Samsung"/>
    <s v="Samsung Eletronica da Amazonia"/>
    <s v="-"/>
    <s v="-"/>
    <s v="-"/>
    <s v="KON-OPE-SAO-PVI-SAMSUNG"/>
    <s v="-"/>
    <x v="146"/>
    <n v="96"/>
    <n v="0"/>
    <n v="0"/>
    <n v="0"/>
    <n v="0"/>
    <n v="0"/>
    <s v="Reserva importada do sistema Gover. Id: 4569045"/>
    <s v="Fornecedor não preenchido! (ACC01)"/>
    <s v="GOVER"/>
    <s v="Falta de Fornecedor"/>
    <s v="Campo Fornecedor"/>
    <s v="Dados do Fornecedor"/>
    <s v="Sistêmico"/>
    <s v="GRUPO KONTIK"/>
  </r>
  <r>
    <n v="22700800"/>
    <n v="23503015"/>
    <s v="ACC01"/>
    <x v="168"/>
    <d v="2025-08-07T13:12:29"/>
    <s v="0 a 02 dias"/>
    <s v="0 a 02 dias"/>
    <s v="5GYXL2"/>
    <s v="TMS"/>
    <s v="BIANCA DA SILVA"/>
    <s v="Tms"/>
    <s v="Tms"/>
    <x v="159"/>
    <n v="76266"/>
    <s v="-"/>
    <s v="ON LINE"/>
    <s v="Cartão de crédito"/>
    <s v="Cartão de crédito"/>
    <s v="Hotel"/>
    <s v="N"/>
    <s v="Grupo Ultra"/>
    <s v="Stella Energia"/>
    <s v="-"/>
    <s v="-"/>
    <s v="-"/>
    <s v="KON-OPE-SAO-PVI-ULTRA"/>
    <s v="-"/>
    <x v="147"/>
    <n v="0"/>
    <n v="0"/>
    <n v="0"/>
    <n v="0"/>
    <n v="0"/>
    <n v="0"/>
    <s v="Reserva importada do Sistema TMS. OS: 76266"/>
    <s v="Fornecedor não preenchido! (ACC01)"/>
    <s v="ARGO(TMS)"/>
    <s v="Falta de Fornecedor"/>
    <s v="Campo Fornecedor"/>
    <s v="Dados do Fornecedor"/>
    <s v="Sistêmico"/>
    <s v="GRUPO KONTIK"/>
  </r>
  <r>
    <n v="21472471"/>
    <n v="22436535"/>
    <s v="ACC01"/>
    <x v="169"/>
    <d v="2025-08-07T17:55:49"/>
    <s v="0 a 02 dias"/>
    <s v="31 dias ou +"/>
    <s v="PGU1WV"/>
    <s v="TMS"/>
    <s v="ESTACIO/ANA"/>
    <s v="Raissa Iorio Cestari"/>
    <s v="Raissa Iorio Cestari"/>
    <x v="160"/>
    <n v="16588"/>
    <s v="-"/>
    <s v="OFF LINE"/>
    <s v="Invoice"/>
    <s v="Faturado"/>
    <s v="Aéreo"/>
    <s v="N"/>
    <s v="Grupo Ultra"/>
    <s v="Tequimar Vdc"/>
    <s v="-"/>
    <s v="Azul Linhas Aereas"/>
    <n v="3022436535"/>
    <s v="KON-OPE-SAO-PVI-ULTRA"/>
    <s v="-"/>
    <x v="148"/>
    <n v="0"/>
    <n v="0"/>
    <n v="0"/>
    <n v="0"/>
    <n v="0"/>
    <n v="0"/>
    <s v="Reserva importada do Sistema TMS. OS: 16588"/>
    <s v="(ACC Código: 23944862) Esta accounting está conciliada no BSP. Bilhete: 3022436535 *** Venda ficará aguardando intervenção manual. ***"/>
    <s v="ARGO(TMS)"/>
    <s v="Bilhete conciliado"/>
    <s v="Concilização eletrônica Aérea"/>
    <s v="Edição não Permitida"/>
    <s v="Processo Operacional"/>
    <s v="GRUPO KONTIK"/>
  </r>
  <r>
    <n v="22702115"/>
    <n v="23504256"/>
    <s v="ACC01"/>
    <x v="170"/>
    <d v="2025-08-07T16:48:59"/>
    <s v="0 a 02 dias"/>
    <s v="0 a 02 dias"/>
    <s v="CYUFLYT"/>
    <s v="SABRE"/>
    <s v="SOUZA/EDEVALDO OLIVEIRA"/>
    <s v="Vanessa Pereira Ribeiro Carlos"/>
    <s v="Vanessa Pereira Ribeiro Carlos"/>
    <x v="161"/>
    <s v="TELEFONE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411"/>
    <n v="23504565"/>
    <s v="ACC01"/>
    <x v="171"/>
    <d v="2025-08-07T17:36:28"/>
    <s v="0 a 02 dias"/>
    <s v="0 a 02 dias"/>
    <s v="AJFHUTT"/>
    <s v="SABRE"/>
    <s v="ALVES/RODRIGO"/>
    <s v="Vanessa Pereira Ribeiro Carlos"/>
    <s v="Vanessa Pereira Ribeiro Carlos"/>
    <x v="162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412"/>
    <n v="23504566"/>
    <s v="ACC01"/>
    <x v="172"/>
    <d v="2025-08-07T17:36:29"/>
    <s v="0 a 02 dias"/>
    <s v="0 a 02 dias"/>
    <s v="CXSDMJT"/>
    <s v="SABRE"/>
    <s v="WEINBERG/ANDREA"/>
    <s v="Vanessa Pereira Ribeiro Carlos"/>
    <s v="Vanessa Pereira Ribeiro Carlos"/>
    <x v="163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9967"/>
    <n v="23502212"/>
    <s v="ACC01"/>
    <x v="173"/>
    <d v="2025-08-07T11:36:41"/>
    <s v="0 a 02 dias"/>
    <s v="0 a 02 dias"/>
    <s v="JLCPLXT"/>
    <s v="SABRE"/>
    <s v="PINTO DA COSTA/CRISTIANO MR"/>
    <s v="GABRIEL ALVES MOURA"/>
    <s v="GABRIEL ALVES MOURA"/>
    <x v="16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1"/>
    <n v="232.5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410"/>
    <n v="23504564"/>
    <s v="ACC01"/>
    <x v="174"/>
    <d v="2025-08-07T17:36:27"/>
    <s v="0 a 02 dias"/>
    <s v="0 a 02 dias"/>
    <s v="JBGHDZT"/>
    <s v="SABRE"/>
    <s v="MENDES/MARCELO FERNANDES DR"/>
    <s v="Adriana Vieira de Freitas dos Santos"/>
    <s v="Adriana Vieira de Freitas dos Santos"/>
    <x v="165"/>
    <s v="FONE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2"/>
    <n v="19.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1666"/>
    <n v="23503823"/>
    <s v="ACC01"/>
    <x v="175"/>
    <d v="2025-08-07T15:36:45"/>
    <s v="0 a 02 dias"/>
    <s v="0 a 02 dias"/>
    <s v="GBSCATT"/>
    <s v="SABRE"/>
    <s v="MENEZES/DANIEL PACHECO MR"/>
    <s v="Adriana Vieira de Freitas dos Santos"/>
    <s v="Adriana Vieira de Freitas dos Santos"/>
    <x v="166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3"/>
    <n v="12.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1667"/>
    <n v="23503824"/>
    <s v="ACC01"/>
    <x v="176"/>
    <d v="2025-08-07T15:36:45"/>
    <s v="0 a 02 dias"/>
    <s v="0 a 02 dias"/>
    <s v="DTDYEBT"/>
    <s v="SABRE"/>
    <s v="JORGE NETO/AUGUSTO FERNANDES MR"/>
    <s v="Adriana Vieira de Freitas dos Santos"/>
    <s v="Adriana Vieira de Freitas dos Santos"/>
    <x v="167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3"/>
    <n v="12.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0151"/>
    <n v="23502392"/>
    <s v="ACC01"/>
    <x v="177"/>
    <d v="2025-08-07T12:07:11"/>
    <s v="0 a 02 dias"/>
    <s v="0 a 02 dias"/>
    <s v="JJCBDRT"/>
    <s v="SABRE"/>
    <s v="CARVALHO/ICARO JOSE FONTAN DE MR"/>
    <s v="Adriana Vieira de Freitas dos Santos"/>
    <s v="Adriana Vieira de Freitas dos Santos"/>
    <x v="168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1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1391"/>
    <n v="23503564"/>
    <s v="ACC01"/>
    <x v="178"/>
    <d v="2025-08-07T14:36:21"/>
    <s v="0 a 02 dias"/>
    <s v="0 a 02 dias"/>
    <s v="LNEBAGT"/>
    <s v="SABRE"/>
    <s v="CAMPOS/FLAVIO DE COSTA MR"/>
    <s v="WS"/>
    <s v="WS"/>
    <x v="81"/>
    <s v="CONCUR"/>
    <s v="-"/>
    <s v="ON LINE"/>
    <s v="Pagamento direto"/>
    <s v="Pagamento direto"/>
    <s v="Hotel"/>
    <s v="N"/>
    <s v="Grupo Shell"/>
    <s v="Shell"/>
    <s v="-"/>
    <s v="-"/>
    <s v="-"/>
    <s v="FCM-OPE-SAO-PVI-SHELL"/>
    <s v="-"/>
    <x v="155"/>
    <n v="51.3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0575"/>
    <n v="23502796"/>
    <s v="ACC01"/>
    <x v="179"/>
    <d v="2025-08-07T12:48:27"/>
    <s v="0 a 02 dias"/>
    <s v="0 a 02 dias"/>
    <s v="5G8M8X"/>
    <s v="TMS"/>
    <s v="JULIO/GILMAR"/>
    <s v="Alexandre Isidio da Silva"/>
    <s v="Alexandre Isidio da Silva"/>
    <x v="169"/>
    <n v="24853"/>
    <s v="-"/>
    <s v="OFF LINE"/>
    <s v="Cartão de crédito"/>
    <s v="Cartão de crédito"/>
    <s v="Aéreo"/>
    <s v="N"/>
    <s v="Grupo Enaex"/>
    <s v="Enaex"/>
    <s v="-"/>
    <s v="Azul Linhas Aereas"/>
    <n v="3023502796"/>
    <s v="KON-OPE-RIO-PVI-ENAEX"/>
    <s v="-"/>
    <x v="1"/>
    <n v="98"/>
    <n v="0"/>
    <n v="0"/>
    <n v="0"/>
    <n v="0"/>
    <n v="0"/>
    <s v="Reserva importada do Sistema TMS. OS: 24853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95767"/>
    <n v="23498618"/>
    <s v="ACC01"/>
    <x v="180"/>
    <d v="2025-08-06T18:56:16"/>
    <s v="0 a 02 dias"/>
    <s v="0 a 02 dias"/>
    <s v="5GE2IA"/>
    <s v="TMS"/>
    <s v="CESAR ARAUJO"/>
    <s v="Tms"/>
    <s v="Tms"/>
    <x v="170"/>
    <n v="24842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79"/>
    <n v="0"/>
    <n v="0"/>
    <n v="0"/>
    <n v="0"/>
    <n v="5.2"/>
    <n v="0"/>
    <s v="Reserva importada do Sistema TMS. OS: 24842"/>
    <s v="Fornecedor não preenchido! (ACC01)"/>
    <s v="ARGO(TMS)"/>
    <s v="Falta de Fornecedor"/>
    <s v="Campo Fornecedor"/>
    <s v="Dados do Fornecedor"/>
    <s v="Sistêmico"/>
    <s v="GRUPO KONTIK"/>
  </r>
  <r>
    <n v="22680788"/>
    <n v="23485269"/>
    <s v="ACC01"/>
    <x v="181"/>
    <d v="2025-08-04T18:45:46"/>
    <s v="03 a 05 dias"/>
    <s v="03 a 05 dias"/>
    <s v="5FGPWK"/>
    <s v="TMS"/>
    <s v="MARCIO VIVAS"/>
    <s v="Tms"/>
    <s v="Tms"/>
    <x v="171"/>
    <n v="24743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156"/>
    <n v="0"/>
    <n v="0"/>
    <n v="0"/>
    <n v="0"/>
    <n v="58.5"/>
    <n v="0"/>
    <s v="Reserva importada do Sistema TMS. OS: 24743"/>
    <s v="Fornecedor não preenchido! (ACC01)"/>
    <s v="ARGO(TMS)"/>
    <s v="Falta de Fornecedor"/>
    <s v="Campo Fornecedor"/>
    <s v="Dados do Fornecedor"/>
    <s v="Sistêmico"/>
    <s v="GRUPO KONTIK"/>
  </r>
  <r>
    <n v="22703248"/>
    <n v="23505355"/>
    <s v="ACC01"/>
    <x v="182"/>
    <d v="2025-08-07T19:10:24"/>
    <s v="0 a 02 dias"/>
    <s v="0 a 02 dias"/>
    <s v="5G78TE"/>
    <s v="TMS"/>
    <s v="EZEQUIEL TRAMUNTINN"/>
    <s v="Tms"/>
    <s v="Tms"/>
    <x v="172"/>
    <n v="24881"/>
    <s v="Sinop / OPS"/>
    <s v="ON LINE"/>
    <s v="Invoice"/>
    <s v="Faturado"/>
    <s v="Carro"/>
    <s v="N"/>
    <s v="Grupo Enaex"/>
    <s v="Enaex"/>
    <s v="-"/>
    <s v="-"/>
    <s v="-"/>
    <s v="KON-OPE-RIO-PVI-ENAEX"/>
    <s v="-"/>
    <x v="157"/>
    <n v="0"/>
    <n v="0"/>
    <n v="0"/>
    <n v="0"/>
    <n v="0"/>
    <n v="0"/>
    <s v="Reserva importada do Sistema TMS. OS: 24881"/>
    <s v="Fornecedor não preenchido! (ACC01)"/>
    <s v="ARGO(TMS)"/>
    <s v="Falta de Fornecedor"/>
    <s v="Campo Fornecedor"/>
    <s v="Dados do Fornecedor"/>
    <s v="Qualidade dos dados"/>
    <s v="KONTIK BUSINESS TRAVEL"/>
  </r>
  <r>
    <n v="22703258"/>
    <n v="23505364"/>
    <s v="ACC01"/>
    <x v="183"/>
    <d v="2025-08-07T19:15:38"/>
    <s v="0 a 02 dias"/>
    <s v="0 a 02 dias"/>
    <s v="5GT95E"/>
    <s v="TMS"/>
    <s v="ROGER SILVA"/>
    <s v="Tms"/>
    <s v="Tms"/>
    <x v="173"/>
    <n v="24866"/>
    <s v="Campinas / VCP"/>
    <s v="ON LINE"/>
    <s v="Invoice"/>
    <s v="Faturado"/>
    <s v="Carro"/>
    <s v="N"/>
    <s v="Grupo Enaex"/>
    <s v="Enaex"/>
    <s v="-"/>
    <s v="-"/>
    <s v="-"/>
    <s v="KON-OPE-RIO-PVI-ENAEX"/>
    <s v="-"/>
    <x v="158"/>
    <n v="0"/>
    <n v="0"/>
    <n v="0"/>
    <n v="0"/>
    <n v="0"/>
    <n v="0"/>
    <s v="Reserva importada do Sistema TMS. OS: 24866"/>
    <s v="Fornecedor não preenchido! (ACC01)"/>
    <s v="ARGO(TMS)"/>
    <s v="Falta de Fornecedor"/>
    <s v="Campo Fornecedor"/>
    <s v="Dados do Fornecedor"/>
    <s v="Qualidade dos dados"/>
    <s v="KONTIK BUSINESS TRAVEL"/>
  </r>
  <r>
    <n v="22703260"/>
    <n v="23505366"/>
    <s v="ACC01"/>
    <x v="184"/>
    <d v="2025-08-07T19:15:38"/>
    <s v="0 a 02 dias"/>
    <s v="0 a 02 dias"/>
    <s v="5G6NTE"/>
    <s v="TMS"/>
    <s v="PAULO MARTINS"/>
    <s v="Tms"/>
    <s v="Tms"/>
    <x v="174"/>
    <n v="24841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79"/>
    <n v="0"/>
    <n v="0"/>
    <n v="0"/>
    <n v="0"/>
    <n v="5.2"/>
    <n v="0"/>
    <s v="Reserva importada do Sistema TMS. OS: 24841"/>
    <s v="Fornecedor não preenchido! (ACC01)"/>
    <s v="ARGO(TMS)"/>
    <s v="Falta de Fornecedor"/>
    <s v="Campo Fornecedor"/>
    <s v="Dados do Fornecedor"/>
    <s v="Sistêmico"/>
    <s v="GRUPO KONTIK"/>
  </r>
  <r>
    <n v="22649917"/>
    <n v="23459507"/>
    <s v="ACC01"/>
    <x v="185"/>
    <d v="2025-07-30T10:01:14"/>
    <s v="09 a 15 dias"/>
    <s v="09 a 15 dias"/>
    <s v="5FS8LZ"/>
    <s v="LEMONTECH"/>
    <s v="BANNI/MAICON"/>
    <s v="Fernando Augusto Santiago da Silva"/>
    <s v="Fernando Augusto Santiago da Silva"/>
    <x v="175"/>
    <n v="1707534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75340"/>
    <s v="Fornecedor não preenchido! (ACC01)"/>
    <s v="LEMONTECH"/>
    <s v="Falta de Fornecedor"/>
    <s v="Campo Fornecedor"/>
    <s v="Dados do Fornecedor"/>
    <s v="Qualidade dos dados"/>
    <s v="KONTIK BUSINESS TRAVEL"/>
  </r>
  <r>
    <n v="22656876"/>
    <n v="23465756"/>
    <s v="ACC01"/>
    <x v="186"/>
    <d v="2025-07-31T10:00:50"/>
    <s v="06 a 08 dias"/>
    <s v="06 a 08 dias"/>
    <s v="5F5FTE"/>
    <s v="LEMONTECH"/>
    <s v="NAKANO/RICARDO"/>
    <s v="Fernando Augusto Santiago da Silva"/>
    <s v="Fernando Augusto Santiago da Silva"/>
    <x v="176"/>
    <n v="170542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4255"/>
    <s v="Fornecedor não preenchido! (ACC01)"/>
    <s v="LEMONTECH"/>
    <s v="Falta de Fornecedor"/>
    <s v="Campo Fornecedor"/>
    <s v="Dados do Fornecedor"/>
    <s v="Qualidade dos dados"/>
    <s v="KONTIK BUSINESS TRAVEL"/>
  </r>
  <r>
    <n v="22656877"/>
    <n v="23465757"/>
    <s v="ACC01"/>
    <x v="187"/>
    <d v="2025-07-31T10:00:50"/>
    <s v="06 a 08 dias"/>
    <s v="06 a 08 dias"/>
    <s v="5FHVGC"/>
    <s v="LEMONTECH"/>
    <s v="BANNI/MAICON"/>
    <s v="Fernando Augusto Santiago da Silva"/>
    <s v="Fernando Augusto Santiago da Silva"/>
    <x v="177"/>
    <n v="1705428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0"/>
    <n v="0"/>
    <n v="0"/>
    <n v="0"/>
    <n v="0"/>
    <n v="0"/>
    <n v="0"/>
    <s v="Reserva importada do Sistema Lemontech. Solicitação: 17054289"/>
    <s v="Fornecedor não preenchido! (ACC01)"/>
    <s v="LEMONTECH"/>
    <s v="Falta de Fornecedor"/>
    <s v="Campo Fornecedor"/>
    <s v="Dados do Fornecedor"/>
    <s v="Qualidade dos dados"/>
    <s v="KONTIK BUSINESS TRAVEL"/>
  </r>
  <r>
    <n v="22656878"/>
    <n v="23465758"/>
    <s v="ACC01"/>
    <x v="188"/>
    <d v="2025-07-31T10:00:50"/>
    <s v="06 a 08 dias"/>
    <s v="06 a 08 dias"/>
    <s v="5F7V5C"/>
    <s v="LEMONTECH"/>
    <s v="NAKANO/RICARDO"/>
    <s v="Fernando Augusto Santiago da Silva"/>
    <s v="Fernando Augusto Santiago da Silva"/>
    <x v="178"/>
    <n v="17054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4303"/>
    <s v="Fornecedor não preenchido! (ACC01)"/>
    <s v="LEMONTECH"/>
    <s v="Falta de Fornecedor"/>
    <s v="Campo Fornecedor"/>
    <s v="Dados do Fornecedor"/>
    <s v="Qualidade dos dados"/>
    <s v="KONTIK BUSINESS TRAVEL"/>
  </r>
  <r>
    <n v="22656879"/>
    <n v="23465759"/>
    <s v="ACC01"/>
    <x v="189"/>
    <d v="2025-07-31T10:00:51"/>
    <s v="06 a 08 dias"/>
    <s v="06 a 08 dias"/>
    <s v="5F8VGD"/>
    <s v="LEMONTECH"/>
    <s v="NAKANO/RICARDO"/>
    <s v="Fernando Augusto Santiago da Silva"/>
    <s v="Fernando Augusto Santiago da Silva"/>
    <x v="179"/>
    <n v="1705443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4438"/>
    <s v="Fornecedor não preenchido! (ACC01)"/>
    <s v="LEMONTECH"/>
    <s v="Falta de Fornecedor"/>
    <s v="Campo Fornecedor"/>
    <s v="Dados do Fornecedor"/>
    <s v="Qualidade dos dados"/>
    <s v="KONTIK BUSINESS TRAVEL"/>
  </r>
  <r>
    <n v="22656880"/>
    <n v="23465760"/>
    <s v="ACC01"/>
    <x v="190"/>
    <d v="2025-07-31T10:00:51"/>
    <s v="06 a 08 dias"/>
    <s v="06 a 08 dias"/>
    <s v="5F9FTD"/>
    <s v="LEMONTECH"/>
    <s v="BANNI/MAICON"/>
    <s v="Fernando Augusto Santiago da Silva"/>
    <s v="Fernando Augusto Santiago da Silva"/>
    <x v="180"/>
    <n v="1705445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0"/>
    <n v="0"/>
    <n v="0"/>
    <n v="0"/>
    <n v="0"/>
    <n v="0"/>
    <n v="0"/>
    <s v="Reserva importada do Sistema Lemontech. Solicitação: 17054452"/>
    <s v="Fornecedor não preenchido! (ACC01)"/>
    <s v="LEMONTECH"/>
    <s v="Falta de Fornecedor"/>
    <s v="Campo Fornecedor"/>
    <s v="Dados do Fornecedor"/>
    <s v="Qualidade dos dados"/>
    <s v="KONTIK BUSINESS TRAVEL"/>
  </r>
  <r>
    <n v="22656881"/>
    <n v="23465761"/>
    <s v="ACC01"/>
    <x v="190"/>
    <d v="2025-07-31T10:00:52"/>
    <s v="06 a 08 dias"/>
    <s v="06 a 08 dias"/>
    <s v="5F0GGD"/>
    <s v="LEMONTECH"/>
    <s v="NAKANO/RICARDO"/>
    <s v="Fernando Augusto Santiago da Silva"/>
    <s v="Fernando Augusto Santiago da Silva"/>
    <x v="181"/>
    <n v="1706404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64048"/>
    <s v="Fornecedor não preenchido! (ACC01)"/>
    <s v="LEMONTECH"/>
    <s v="Falta de Fornecedor"/>
    <s v="Campo Fornecedor"/>
    <s v="Dados do Fornecedor"/>
    <s v="Qualidade dos dados"/>
    <s v="KONTIK BUSINESS TRAVEL"/>
  </r>
  <r>
    <n v="22656882"/>
    <n v="23465762"/>
    <s v="ACC01"/>
    <x v="191"/>
    <d v="2025-07-31T10:06:04"/>
    <s v="06 a 08 dias"/>
    <s v="06 a 08 dias"/>
    <s v="5FQG5C"/>
    <s v="LEMONTECH"/>
    <s v="BANNI/MAICON"/>
    <s v="Fernando Augusto Santiago da Silva"/>
    <s v="Fernando Augusto Santiago da Silva"/>
    <x v="182"/>
    <n v="170754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75499"/>
    <s v="Fornecedor não preenchido! (ACC01)"/>
    <s v="LEMONTECH"/>
    <s v="Falta de Fornecedor"/>
    <s v="Campo Fornecedor"/>
    <s v="Dados do Fornecedor"/>
    <s v="Qualidade dos dados"/>
    <s v="KONTIK BUSINESS TRAVEL"/>
  </r>
  <r>
    <n v="22643645"/>
    <n v="23453915"/>
    <s v="ACC01"/>
    <x v="192"/>
    <d v="2025-07-29T09:01:20"/>
    <s v="09 a 15 dias"/>
    <s v="09 a 15 dias"/>
    <s v="5FZLHB"/>
    <s v="LEMONTECH"/>
    <s v="BANNI/MAICON"/>
    <s v="Fernando Augusto Santiago da Silva"/>
    <s v="Fernando Augusto Santiago da Silva"/>
    <x v="183"/>
    <n v="1707501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1"/>
    <n v="0"/>
    <n v="0"/>
    <n v="0"/>
    <n v="0"/>
    <n v="0"/>
    <n v="0"/>
    <s v="Reserva importada do Sistema Lemontech. Solicitação: 17075013"/>
    <s v="Fornecedor não preenchido! (ACC01)"/>
    <s v="LEMONTECH"/>
    <s v="Falta de Fornecedor"/>
    <s v="Campo Fornecedor"/>
    <s v="Dados do Fornecedor"/>
    <s v="Qualidade dos dados"/>
    <s v="KONTIK BUSINESS TRAVEL"/>
  </r>
  <r>
    <n v="22643646"/>
    <n v="23453916"/>
    <s v="ACC01"/>
    <x v="193"/>
    <d v="2025-07-29T09:01:20"/>
    <s v="09 a 15 dias"/>
    <s v="09 a 15 dias"/>
    <s v="5FXL60"/>
    <s v="LEMONTECH"/>
    <s v="BANNI/MAICON"/>
    <s v="Fernando Augusto Santiago da Silva"/>
    <s v="Fernando Augusto Santiago da Silva"/>
    <x v="184"/>
    <n v="1707526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75260"/>
    <s v="Fornecedor não preenchido! (ACC01)"/>
    <s v="LEMONTECH"/>
    <s v="Falta de Fornecedor"/>
    <s v="Campo Fornecedor"/>
    <s v="Dados do Fornecedor"/>
    <s v="Qualidade dos dados"/>
    <s v="KONTIK BUSINESS TRAVEL"/>
  </r>
  <r>
    <n v="22643647"/>
    <n v="23453917"/>
    <s v="ACC01"/>
    <x v="194"/>
    <d v="2025-07-29T09:01:21"/>
    <s v="09 a 15 dias"/>
    <s v="09 a 15 dias"/>
    <s v="5FD9HB"/>
    <s v="LEMONTECH"/>
    <s v="BANNI/MAICON"/>
    <s v="Fernando Augusto Santiago da Silva"/>
    <s v="Fernando Augusto Santiago da Silva"/>
    <x v="185"/>
    <n v="1707527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"/>
    <n v="0"/>
    <n v="0"/>
    <n v="0"/>
    <n v="0"/>
    <n v="0"/>
    <n v="0"/>
    <s v="Reserva importada do Sistema Lemontech. Solicitação: 17075278"/>
    <s v="Fornecedor não preenchido! (ACC01)"/>
    <s v="LEMONTECH"/>
    <s v="Falta de Fornecedor"/>
    <s v="Campo Fornecedor"/>
    <s v="Dados do Fornecedor"/>
    <s v="Qualidade dos dados"/>
    <s v="KONTIK BUSINESS TRAVEL"/>
  </r>
  <r>
    <n v="22573547"/>
    <n v="23397190"/>
    <s v="ACC01"/>
    <x v="195"/>
    <d v="2025-07-16T18:07:08"/>
    <s v="16 a 23 dias"/>
    <s v="16 a 23 dias"/>
    <s v="5D8Y86"/>
    <s v="LEMONTECH"/>
    <s v="SOUZA MENDES/WANDREA"/>
    <s v="Fernando Augusto Santiago da Silva"/>
    <s v="Fernando Augusto Santiago da Silva"/>
    <x v="186"/>
    <n v="170682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2"/>
    <n v="0"/>
    <n v="0"/>
    <n v="0"/>
    <n v="0"/>
    <n v="0"/>
    <n v="0"/>
    <s v="Reserva importada do Sistema Lemontech. Solicitação: 17068265"/>
    <s v="Fornecedor não preenchido! (ACC01)"/>
    <s v="LEMONTECH"/>
    <s v="Falta de Fornecedor"/>
    <s v="Campo Fornecedor"/>
    <s v="Dados do Fornecedor"/>
    <s v="Qualidade dos dados"/>
    <s v="KONTIK BUSINESS TRAVEL"/>
  </r>
  <r>
    <n v="22619685"/>
    <n v="23435117"/>
    <s v="ACC01"/>
    <x v="196"/>
    <d v="2025-07-24T15:00:45"/>
    <s v="09 a 15 dias"/>
    <s v="09 a 15 dias"/>
    <s v="5EVMYH"/>
    <s v="LEMONTECH"/>
    <s v="NAKANO/RICARDO"/>
    <s v="Fernando Augusto Santiago da Silva"/>
    <s v="Fernando Augusto Santiago da Silva"/>
    <x v="187"/>
    <n v="1705422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4223"/>
    <s v="Fornecedor não preenchido! (ACC01)"/>
    <s v="LEMONTECH"/>
    <s v="Falta de Fornecedor"/>
    <s v="Campo Fornecedor"/>
    <s v="Dados do Fornecedor"/>
    <s v="Qualidade dos dados"/>
    <s v="KONTIK BUSINESS TRAVEL"/>
  </r>
  <r>
    <n v="22638329"/>
    <n v="23449380"/>
    <s v="ACC01"/>
    <x v="197"/>
    <d v="2025-07-28T14:01:06"/>
    <s v="09 a 15 dias"/>
    <s v="09 a 15 dias"/>
    <s v="5EJW5O"/>
    <s v="LEMONTECH"/>
    <s v="BANNI/MAICON"/>
    <s v="Fernando Augusto Santiago da Silva"/>
    <s v="Fernando Augusto Santiago da Silva"/>
    <x v="188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0"/>
    <n v="23449381"/>
    <s v="ACC01"/>
    <x v="198"/>
    <d v="2025-07-28T14:01:07"/>
    <s v="09 a 15 dias"/>
    <s v="09 a 15 dias"/>
    <s v="5EISTL"/>
    <s v="LEMONTECH"/>
    <s v="BANNI/MAICON"/>
    <s v="Fernando Augusto Santiago da Silva"/>
    <s v="Fernando Augusto Santiago da Silva"/>
    <x v="189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1"/>
    <n v="23449382"/>
    <s v="ACC01"/>
    <x v="199"/>
    <d v="2025-07-28T14:01:08"/>
    <s v="09 a 15 dias"/>
    <s v="09 a 15 dias"/>
    <s v="5ENWGO"/>
    <s v="LEMONTECH"/>
    <s v="BANNI/MAICON"/>
    <s v="Fernando Augusto Santiago da Silva"/>
    <s v="Fernando Augusto Santiago da Silva"/>
    <x v="190"/>
    <n v="1707504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3"/>
    <n v="0"/>
    <n v="0"/>
    <n v="0"/>
    <n v="0"/>
    <n v="0"/>
    <n v="0"/>
    <s v="Reserva importada do Sistema Lemontech. Solicitação: 17075042"/>
    <s v="Fornecedor não preenchido! (ACC01)"/>
    <s v="LEMONTECH"/>
    <s v="Falta de Fornecedor"/>
    <s v="Campo Fornecedor"/>
    <s v="Dados do Fornecedor"/>
    <s v="Qualidade dos dados"/>
    <s v="KONTIK BUSINESS TRAVEL"/>
  </r>
  <r>
    <n v="22638332"/>
    <n v="23449383"/>
    <s v="ACC01"/>
    <x v="200"/>
    <d v="2025-07-28T14:01:08"/>
    <s v="09 a 15 dias"/>
    <s v="09 a 15 dias"/>
    <s v="5E0ET9"/>
    <s v="LEMONTECH"/>
    <s v="CAMPOS MUSSI/FILIPE"/>
    <s v="Fernando Augusto Santiago da Silva"/>
    <s v="Fernando Augusto Santiago da Silva"/>
    <x v="190"/>
    <n v="1707509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1"/>
    <n v="0"/>
    <n v="0"/>
    <n v="0"/>
    <n v="0"/>
    <n v="0"/>
    <n v="0"/>
    <s v="Reserva importada do Sistema Lemontech. Solicitação: 17075092"/>
    <s v="Fornecedor não preenchido! (ACC01)"/>
    <s v="LEMONTECH"/>
    <s v="Falta de Fornecedor"/>
    <s v="Campo Fornecedor"/>
    <s v="Dados do Fornecedor"/>
    <s v="Qualidade dos dados"/>
    <s v="KONTIK BUSINESS TRAVEL"/>
  </r>
  <r>
    <n v="22638333"/>
    <n v="23449384"/>
    <s v="ACC01"/>
    <x v="201"/>
    <d v="2025-07-28T14:01:08"/>
    <s v="09 a 15 dias"/>
    <s v="09 a 15 dias"/>
    <s v="5E1DGN"/>
    <s v="LEMONTECH"/>
    <s v="CAMPOS MUSSI/FILIPE"/>
    <s v="Fernando Augusto Santiago da Silva"/>
    <s v="Fernando Augusto Santiago da Silva"/>
    <x v="191"/>
    <n v="170751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"/>
    <n v="0"/>
    <n v="0"/>
    <n v="0"/>
    <n v="0"/>
    <n v="0"/>
    <n v="0"/>
    <s v="Reserva importada do Sistema Lemontech. Solicitação: 17075165"/>
    <s v="Fornecedor não preenchido! (ACC01)"/>
    <s v="LEMONTECH"/>
    <s v="Falta de Fornecedor"/>
    <s v="Campo Fornecedor"/>
    <s v="Dados do Fornecedor"/>
    <s v="Qualidade dos dados"/>
    <s v="KONTIK BUSINESS TRAVEL"/>
  </r>
  <r>
    <n v="22638334"/>
    <n v="23449385"/>
    <s v="ACC01"/>
    <x v="202"/>
    <d v="2025-07-28T14:01:09"/>
    <s v="09 a 15 dias"/>
    <s v="09 a 15 dias"/>
    <s v="5EWD5O"/>
    <s v="LEMONTECH"/>
    <s v="CAMPOS MUSSI/FILIPE"/>
    <s v="Fernando Augusto Santiago da Silva"/>
    <s v="Fernando Augusto Santiago da Silva"/>
    <x v="192"/>
    <n v="1707519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"/>
    <n v="0"/>
    <n v="0"/>
    <n v="0"/>
    <n v="0"/>
    <n v="0"/>
    <n v="0"/>
    <s v="Reserva importada do Sistema Lemontech. Solicitação: 17075193"/>
    <s v="Fornecedor não preenchido! (ACC01)"/>
    <s v="LEMONTECH"/>
    <s v="Falta de Fornecedor"/>
    <s v="Campo Fornecedor"/>
    <s v="Dados do Fornecedor"/>
    <s v="Qualidade dos dados"/>
    <s v="KONTIK BUSINESS TRAVEL"/>
  </r>
  <r>
    <n v="22638335"/>
    <n v="23449386"/>
    <s v="ACC01"/>
    <x v="203"/>
    <d v="2025-07-28T14:01:09"/>
    <s v="09 a 15 dias"/>
    <s v="09 a 15 dias"/>
    <s v="5E33GO"/>
    <s v="LEMONTECH"/>
    <s v="CAMPOS MUSSI/FILIPE"/>
    <s v="Fernando Augusto Santiago da Silva"/>
    <s v="Fernando Augusto Santiago da Silva"/>
    <x v="193"/>
    <n v="17075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9"/>
    <n v="0"/>
    <n v="0"/>
    <n v="0"/>
    <n v="0"/>
    <n v="0"/>
    <n v="0"/>
    <s v="Reserva importada do Sistema Lemontech. Solicitação: 17075303"/>
    <s v="Fornecedor não preenchido! (ACC01)"/>
    <s v="LEMONTECH"/>
    <s v="Falta de Fornecedor"/>
    <s v="Campo Fornecedor"/>
    <s v="Dados do Fornecedor"/>
    <s v="Qualidade dos dados"/>
    <s v="KONTIK BUSINESS TRAVEL"/>
  </r>
  <r>
    <n v="22638336"/>
    <n v="23449387"/>
    <s v="ACC01"/>
    <x v="204"/>
    <d v="2025-07-28T14:01:09"/>
    <s v="09 a 15 dias"/>
    <s v="09 a 15 dias"/>
    <s v="5EFETN"/>
    <s v="LEMONTECH"/>
    <s v="BANNI/MAICON"/>
    <s v="Fernando Augusto Santiago da Silva"/>
    <s v="Fernando Augusto Santiago da Silva"/>
    <x v="194"/>
    <n v="1707544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"/>
    <n v="0"/>
    <n v="0"/>
    <n v="0"/>
    <n v="0"/>
    <n v="0"/>
    <n v="0"/>
    <s v="Reserva importada do Sistema Lemontech. Solicitação: 17075441"/>
    <s v="Fornecedor não preenchido! (ACC01)"/>
    <s v="LEMONTECH"/>
    <s v="Falta de Fornecedor"/>
    <s v="Campo Fornecedor"/>
    <s v="Dados do Fornecedor"/>
    <s v="Qualidade dos dados"/>
    <s v="KONTIK BUSINESS TRAVEL"/>
  </r>
  <r>
    <n v="22638988"/>
    <n v="23450028"/>
    <s v="ACC01"/>
    <x v="205"/>
    <d v="2025-07-28T16:00:54"/>
    <s v="09 a 15 dias"/>
    <s v="09 a 15 dias"/>
    <s v="5E5GH9"/>
    <s v="LEMONTECH"/>
    <s v="CAMPOS MUSSI/FILIPE"/>
    <s v="Fernando Augusto Santiago da Silva"/>
    <s v="Fernando Augusto Santiago da Silva"/>
    <x v="195"/>
    <n v="1707546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"/>
    <n v="0"/>
    <n v="0"/>
    <n v="0"/>
    <n v="0"/>
    <n v="0"/>
    <n v="0"/>
    <s v="Reserva importada do Sistema Lemontech. Solicitação: 17075466"/>
    <s v="Fornecedor não preenchido! (ACC01)"/>
    <s v="LEMONTECH"/>
    <s v="Falta de Fornecedor"/>
    <s v="Campo Fornecedor"/>
    <s v="Dados do Fornecedor"/>
    <s v="Qualidade dos dados"/>
    <s v="KONTIK BUSINESS TRAVEL"/>
  </r>
  <r>
    <n v="22491919"/>
    <n v="23326323"/>
    <s v="ACC01"/>
    <x v="206"/>
    <d v="2025-07-03T11:42:19"/>
    <s v="31 dias ou +"/>
    <s v="31 dias ou +"/>
    <s v="5B49O8"/>
    <s v="LEMONTECH"/>
    <s v="CASTRO MARQUES/PAULO"/>
    <s v="Fernando Augusto Santiago da Silva"/>
    <s v="Fernando Augusto Santiago da Silva"/>
    <x v="196"/>
    <n v="16949647"/>
    <s v="-"/>
    <s v="OFF LINE"/>
    <s v="Invoice"/>
    <s v="Faturado"/>
    <s v="Serviço"/>
    <s v="S"/>
    <s v="Grupo Biolab"/>
    <s v="Biolab Centro Administrativo - Escritorio"/>
    <s v="-"/>
    <s v="-"/>
    <s v="-"/>
    <s v="KON-OPE-SAO-PVI-BIOLAB"/>
    <s v="-"/>
    <x v="1"/>
    <n v="0"/>
    <n v="0"/>
    <n v="0"/>
    <n v="0"/>
    <n v="0"/>
    <n v="0"/>
    <s v="Reserva importada do Sistema Lemontech. Solicitação: 16949647"/>
    <s v="Fornecedor não preenchido! (ACC01)"/>
    <s v="LEMONTECH"/>
    <s v="Falta de Fornecedor"/>
    <s v="Campo Fornecedor"/>
    <s v="Dados do Fornecedor"/>
    <s v="Qualidade dos dados"/>
    <s v="KONTIK BUSINESS TRAVEL"/>
  </r>
  <r>
    <n v="22585625"/>
    <n v="23407310"/>
    <s v="ACC01"/>
    <x v="207"/>
    <d v="2025-07-18T15:06:31"/>
    <s v="16 a 23 dias"/>
    <s v="16 a 23 dias"/>
    <s v="5DN3I9"/>
    <s v="LEMONTECH"/>
    <s v="AMAZONAS/ROBERTO"/>
    <s v="Fernando Augusto Santiago da Silva"/>
    <s v="Fernando Augusto Santiago da Silva"/>
    <x v="197"/>
    <n v="1707599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4"/>
    <n v="0"/>
    <n v="0"/>
    <n v="0"/>
    <n v="0"/>
    <n v="0"/>
    <n v="0"/>
    <s v="Reserva importada do Sistema Lemontech. Solicitação: 17075997"/>
    <s v="Fornecedor não preenchido! (ACC01)"/>
    <s v="LEMONTECH"/>
    <s v="Falta de Fornecedor"/>
    <s v="Campo Fornecedor"/>
    <s v="Dados do Fornecedor"/>
    <s v="Qualidade dos dados"/>
    <s v="KONTIK BUSINESS TRAVEL"/>
  </r>
  <r>
    <n v="22585626"/>
    <n v="23407311"/>
    <s v="ACC01"/>
    <x v="208"/>
    <d v="2025-07-18T15:06:31"/>
    <s v="16 a 23 dias"/>
    <s v="16 a 23 dias"/>
    <s v="5DBRK9"/>
    <s v="LEMONTECH"/>
    <s v="BROSSI PELISSARI/FILIPE"/>
    <s v="Fernando Augusto Santiago da Silva"/>
    <s v="Fernando Augusto Santiago da Silva"/>
    <x v="198"/>
    <n v="1707599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5"/>
    <n v="0"/>
    <n v="0"/>
    <n v="0"/>
    <n v="0"/>
    <n v="0"/>
    <n v="0"/>
    <s v="Reserva importada do Sistema Lemontech. Solicitação: 17075998"/>
    <s v="Fornecedor não preenchido! (ACC01)"/>
    <s v="LEMONTECH"/>
    <s v="Falta de Fornecedor"/>
    <s v="Campo Fornecedor"/>
    <s v="Dados do Fornecedor"/>
    <s v="Qualidade dos dados"/>
    <s v="KONTIK BUSINESS TRAVEL"/>
  </r>
  <r>
    <n v="22585627"/>
    <n v="23407312"/>
    <s v="ACC01"/>
    <x v="209"/>
    <d v="2025-07-18T15:06:31"/>
    <s v="16 a 23 dias"/>
    <s v="16 a 23 dias"/>
    <s v="5DQRI9"/>
    <s v="LEMONTECH"/>
    <s v="GUEDES/MARCELO"/>
    <s v="Fernando Augusto Santiago da Silva"/>
    <s v="Fernando Augusto Santiago da Silva"/>
    <x v="199"/>
    <n v="170759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4"/>
    <n v="0"/>
    <n v="0"/>
    <n v="0"/>
    <n v="0"/>
    <n v="0"/>
    <n v="0"/>
    <s v="Reserva importada do Sistema Lemontech. Solicitação: 17075999"/>
    <s v="Fornecedor não preenchido! (ACC01)"/>
    <s v="LEMONTECH"/>
    <s v="Falta de Fornecedor"/>
    <s v="Campo Fornecedor"/>
    <s v="Dados do Fornecedor"/>
    <s v="Qualidade dos dados"/>
    <s v="KONTIK BUSINESS TRAVEL"/>
  </r>
  <r>
    <n v="22585628"/>
    <n v="23407313"/>
    <s v="ACC01"/>
    <x v="209"/>
    <d v="2025-07-18T15:06:31"/>
    <s v="16 a 23 dias"/>
    <s v="16 a 23 dias"/>
    <s v="5DWRIO"/>
    <s v="LEMONTECH"/>
    <s v="PAVAO/LEANDRO"/>
    <s v="Fernando Augusto Santiago da Silva"/>
    <s v="Fernando Augusto Santiago da Silva"/>
    <x v="200"/>
    <n v="1707600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4"/>
    <n v="0"/>
    <n v="0"/>
    <n v="0"/>
    <n v="0"/>
    <n v="0"/>
    <n v="0"/>
    <s v="Reserva importada do Sistema Lemontech. Solicitação: 17076001"/>
    <s v="Fornecedor não preenchido! (ACC01)"/>
    <s v="LEMONTECH"/>
    <s v="Falta de Fornecedor"/>
    <s v="Campo Fornecedor"/>
    <s v="Dados do Fornecedor"/>
    <s v="Qualidade dos dados"/>
    <s v="KONTIK BUSINESS TRAVEL"/>
  </r>
  <r>
    <n v="22585629"/>
    <n v="23407314"/>
    <s v="ACC01"/>
    <x v="210"/>
    <d v="2025-07-18T15:06:31"/>
    <s v="16 a 23 dias"/>
    <s v="16 a 23 dias"/>
    <s v="5D3R8L"/>
    <s v="LEMONTECH"/>
    <s v="BRITO/AMANDA"/>
    <s v="Fernando Augusto Santiago da Silva"/>
    <s v="Fernando Augusto Santiago da Silva"/>
    <x v="201"/>
    <n v="1707728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6"/>
    <n v="0"/>
    <n v="0"/>
    <n v="0"/>
    <n v="0"/>
    <n v="0"/>
    <n v="0"/>
    <s v="Reserva importada do Sistema Lemontech. Solicitação: 17077287"/>
    <s v="Fornecedor não preenchido! (ACC01)"/>
    <s v="LEMONTECH"/>
    <s v="Falta de Fornecedor"/>
    <s v="Campo Fornecedor"/>
    <s v="Dados do Fornecedor"/>
    <s v="Qualidade dos dados"/>
    <s v="KONTIK BUSINESS TRAVEL"/>
  </r>
  <r>
    <n v="22586517"/>
    <n v="23408193"/>
    <s v="ACC01"/>
    <x v="211"/>
    <d v="2025-07-18T16:07:18"/>
    <s v="16 a 23 dias"/>
    <s v="16 a 23 dias"/>
    <s v="5E25PM"/>
    <s v="LEMONTECH"/>
    <s v="OPPI/EGLE"/>
    <s v="Fernando Augusto Santiago da Silva"/>
    <s v="Fernando Augusto Santiago da Silva"/>
    <x v="202"/>
    <n v="1707051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7"/>
    <n v="0"/>
    <n v="0"/>
    <n v="0"/>
    <n v="0"/>
    <n v="0"/>
    <n v="0"/>
    <s v="Reserva importada do Sistema Lemontech. Solicitação: 17070514"/>
    <s v="Fornecedor não preenchido! (ACC01)"/>
    <s v="LEMONTECH"/>
    <s v="Falta de Fornecedor"/>
    <s v="Campo Fornecedor"/>
    <s v="Dados do Fornecedor"/>
    <s v="Qualidade dos dados"/>
    <s v="KONTIK BUSINESS TRAVEL"/>
  </r>
  <r>
    <n v="22586518"/>
    <n v="23408194"/>
    <s v="ACC01"/>
    <x v="212"/>
    <d v="2025-07-18T16:07:19"/>
    <s v="16 a 23 dias"/>
    <s v="16 a 23 dias"/>
    <s v="5EE50B"/>
    <s v="LEMONTECH"/>
    <s v="RANGEL GIOMETTI/ELLEN"/>
    <s v="Fernando Augusto Santiago da Silva"/>
    <s v="Fernando Augusto Santiago da Silva"/>
    <x v="203"/>
    <n v="1707056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7"/>
    <n v="0"/>
    <n v="0"/>
    <n v="0"/>
    <n v="0"/>
    <n v="0"/>
    <n v="0"/>
    <s v="Reserva importada do Sistema Lemontech. Solicitação: 17070561"/>
    <s v="Fornecedor não preenchido! (ACC01)"/>
    <s v="LEMONTECH"/>
    <s v="Falta de Fornecedor"/>
    <s v="Campo Fornecedor"/>
    <s v="Dados do Fornecedor"/>
    <s v="Qualidade dos dados"/>
    <s v="KONTIK BUSINESS TRAVEL"/>
  </r>
  <r>
    <n v="22607201"/>
    <n v="23424504"/>
    <s v="ACC01"/>
    <x v="213"/>
    <d v="2025-07-22T17:06:03"/>
    <s v="16 a 23 dias"/>
    <s v="16 a 23 dias"/>
    <s v="5E1SUD"/>
    <s v="LEMONTECH"/>
    <s v="NAKANO/RICARDO"/>
    <s v="Fernando Augusto Santiago da Silva"/>
    <s v="Fernando Augusto Santiago da Silva"/>
    <x v="204"/>
    <n v="170509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0995"/>
    <s v="Fornecedor não preenchido! (ACC01)"/>
    <s v="LEMONTECH"/>
    <s v="Falta de Fornecedor"/>
    <s v="Campo Fornecedor"/>
    <s v="Dados do Fornecedor"/>
    <s v="Qualidade dos dados"/>
    <s v="KONTIK BUSINESS TRAVEL"/>
  </r>
  <r>
    <n v="22607620"/>
    <n v="23424885"/>
    <s v="ACC01"/>
    <x v="214"/>
    <d v="2025-07-22T18:01:07"/>
    <s v="16 a 23 dias"/>
    <s v="16 a 23 dias"/>
    <s v="5EE083"/>
    <s v="LEMONTECH"/>
    <s v="NAKANO/RICARDO"/>
    <s v="Fernando Augusto Santiago da Silva"/>
    <s v="Fernando Augusto Santiago da Silva"/>
    <x v="205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8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07621"/>
    <n v="23424886"/>
    <s v="ACC01"/>
    <x v="215"/>
    <d v="2025-07-22T18:01:09"/>
    <s v="16 a 23 dias"/>
    <s v="16 a 23 dias"/>
    <s v="5EFMKD"/>
    <s v="LEMONTECH"/>
    <s v="NAKANO/RICARDO"/>
    <s v="Fernando Augusto Santiago da Silva"/>
    <s v="Fernando Augusto Santiago da Silva"/>
    <x v="206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8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11407"/>
    <n v="23427981"/>
    <s v="ACC01"/>
    <x v="216"/>
    <d v="2025-07-23T10:00:46"/>
    <s v="16 a 23 dias"/>
    <s v="16 a 23 dias"/>
    <s v="5ERD6V"/>
    <s v="LEMONTECH"/>
    <s v="NAKANO/RICARDO"/>
    <s v="Fernando Augusto Santiago da Silva"/>
    <s v="Fernando Augusto Santiago da Silva"/>
    <x v="207"/>
    <n v="170544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054472"/>
    <s v="Fornecedor não preenchido! (ACC01)"/>
    <s v="LEMONTECH"/>
    <s v="Falta de Fornecedor"/>
    <s v="Campo Fornecedor"/>
    <s v="Dados do Fornecedor"/>
    <s v="Qualidade dos dados"/>
    <s v="KONTIK BUSINESS TRAVEL"/>
  </r>
  <r>
    <n v="22677106"/>
    <n v="23481786"/>
    <s v="ACC01"/>
    <x v="217"/>
    <d v="2025-08-04T09:07:07"/>
    <s v="03 a 05 dias"/>
    <s v="03 a 05 dias"/>
    <s v="5FKCZJ"/>
    <s v="LEMONTECH"/>
    <s v="RODRIGUES/EMERSON"/>
    <s v="Maria Clara Landeira Mezavila"/>
    <s v="Maria Clara Landeira Mezavila"/>
    <x v="208"/>
    <n v="17178260"/>
    <s v="SAO PAULO/SP - AG CENTRO OTAVIO TARQUINI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69"/>
    <n v="0"/>
    <n v="0"/>
    <n v="0"/>
    <n v="0"/>
    <n v="0"/>
    <n v="0"/>
    <s v="Reserva importada do Sistema Lemontech. Solicitação: 17178260"/>
    <s v="Fornecedor não preenchido! (ACC01)"/>
    <s v="LEMONTECH"/>
    <s v="Falta de Fornecedor"/>
    <s v="Campo Fornecedor"/>
    <s v="Dados do Fornecedor"/>
    <s v="Qualidade dos dados"/>
    <s v="KONTIK BUSINESS TRAVEL"/>
  </r>
  <r>
    <n v="22677109"/>
    <n v="23481789"/>
    <s v="ACC01"/>
    <x v="218"/>
    <d v="2025-08-04T09:07:13"/>
    <s v="03 a 05 dias"/>
    <s v="03 a 05 dias"/>
    <s v="5FB41J"/>
    <s v="LEMONTECH"/>
    <s v="TORMEN/JULIA"/>
    <s v="Maria Clara Landeira Mezavila"/>
    <s v="Maria Clara Landeira Mezavila"/>
    <x v="209"/>
    <n v="17187934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0"/>
    <n v="0"/>
    <n v="0"/>
    <n v="0"/>
    <n v="0"/>
    <n v="7.25"/>
    <n v="0"/>
    <s v="Reserva importada do Sistema Lemontech. Solicitação: 17187934"/>
    <s v="Fornecedor não preenchido! (ACC01)"/>
    <s v="LEMONTECH"/>
    <s v="Falta de Fornecedor"/>
    <s v="Campo Fornecedor"/>
    <s v="Dados do Fornecedor"/>
    <s v="Qualidade dos dados"/>
    <s v="KONTIK BUSINESS TRAVEL"/>
  </r>
  <r>
    <n v="22677968"/>
    <n v="23482559"/>
    <s v="ACC01"/>
    <x v="219"/>
    <d v="2025-08-04T12:06:34"/>
    <s v="03 a 05 dias"/>
    <s v="03 a 05 dias"/>
    <s v="5FHZCU"/>
    <s v="LEMONTECH"/>
    <s v="MARQUES/MELISSA"/>
    <s v="Maria Clara Landeira Mezavila"/>
    <s v="Maria Clara Landeira Mezavila"/>
    <x v="209"/>
    <n v="1715889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1"/>
    <n v="0"/>
    <n v="0"/>
    <n v="0"/>
    <n v="0"/>
    <n v="0"/>
    <n v="0"/>
    <s v="Reserva importada do Sistema Lemontech. Solicitação: 17158893"/>
    <s v="Fornecedor não preenchido! (ACC01)"/>
    <s v="LEMONTECH"/>
    <s v="Falta de Fornecedor"/>
    <s v="Campo Fornecedor"/>
    <s v="Dados do Fornecedor"/>
    <s v="Qualidade dos dados"/>
    <s v="KONTIK BUSINESS TRAVEL"/>
  </r>
  <r>
    <n v="22700119"/>
    <n v="23502359"/>
    <s v="ACC01"/>
    <x v="220"/>
    <d v="2025-08-07T12:01:24"/>
    <s v="0 a 02 dias"/>
    <s v="0 a 02 dias"/>
    <s v="5GAA6S"/>
    <s v="LEMONTECH"/>
    <s v="ALMEIDA ARAUJO/KARLA"/>
    <s v="Maria Clara Landeira Mezavila"/>
    <s v="Maria Clara Landeira Mezavila"/>
    <x v="210"/>
    <n v="16668023"/>
    <s v="SANTAREM/PA - AEROPORT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72"/>
    <n v="0"/>
    <n v="0"/>
    <n v="0"/>
    <n v="0"/>
    <n v="0"/>
    <n v="0"/>
    <s v="Reserva importada do Sistema Lemontech. Solicitação: 16668023"/>
    <s v="Fornecedor não preenchido! (ACC01)"/>
    <s v="LEMONTECH"/>
    <s v="Falta de Fornecedor"/>
    <s v="Campo Fornecedor"/>
    <s v="Dados do Fornecedor"/>
    <s v="Qualidade dos dados"/>
    <s v="KONTIK BUSINESS TRAVEL"/>
  </r>
  <r>
    <n v="22687453"/>
    <n v="23491112"/>
    <s v="ACC01"/>
    <x v="221"/>
    <d v="2025-08-05T17:01:32"/>
    <s v="03 a 05 dias"/>
    <s v="03 a 05 dias"/>
    <s v="5FNBJL"/>
    <s v="LEMONTECH"/>
    <s v="CHRISTOFANO/EMERSON"/>
    <s v="Maria Clara Landeira Mezavila"/>
    <s v="Maria Clara Landeira Mezavila"/>
    <x v="129"/>
    <n v="1714169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2"/>
    <n v="0"/>
    <n v="0"/>
    <n v="0"/>
    <n v="0"/>
    <n v="0"/>
    <n v="0"/>
    <s v="Reserva importada do Sistema Lemontech. Solicitação: 17141693"/>
    <s v="Fornecedor não preenchido! (ACC01)"/>
    <s v="LEMONTECH"/>
    <s v="Falta de Fornecedor"/>
    <s v="Campo Fornecedor"/>
    <s v="Dados do Fornecedor"/>
    <s v="Qualidade dos dados"/>
    <s v="KONTIK BUSINESS TRAVEL"/>
  </r>
  <r>
    <n v="22701252"/>
    <n v="23503438"/>
    <s v="ACC01"/>
    <x v="222"/>
    <d v="2025-08-07T14:07:10"/>
    <s v="0 a 02 dias"/>
    <s v="0 a 02 dias"/>
    <s v="5G3DMD"/>
    <s v="LEMONTECH"/>
    <s v="BANDEIRA/JOSE"/>
    <s v="Maria Clara Landeira Mezavila"/>
    <s v="Maria Clara Landeira Mezavila"/>
    <x v="57"/>
    <n v="17218296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3"/>
    <n v="0"/>
    <n v="0"/>
    <n v="0"/>
    <n v="0"/>
    <n v="0"/>
    <n v="0"/>
    <s v="Reserva importada do Sistema Lemontech. Solicitação: 17218296"/>
    <s v="Fornecedor não preenchido! (ACC01)"/>
    <s v="LEMONTECH"/>
    <s v="Falta de Fornecedor"/>
    <s v="Campo Fornecedor"/>
    <s v="Dados do Fornecedor"/>
    <s v="Qualidade dos dados"/>
    <s v="KONTIK BUSINESS TRAVEL"/>
  </r>
  <r>
    <n v="22701270"/>
    <n v="23503451"/>
    <s v="ACC01"/>
    <x v="223"/>
    <d v="2025-08-07T14:08:11"/>
    <s v="0 a 02 dias"/>
    <s v="0 a 02 dias"/>
    <s v="5GJFMC"/>
    <s v="LEMONTECH"/>
    <s v="ANCELMO/KAROLINNE"/>
    <s v="Maria Clara Landeira Mezavila"/>
    <s v="Maria Clara Landeira Mezavila"/>
    <x v="57"/>
    <n v="1723154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4"/>
    <n v="0"/>
    <n v="0"/>
    <n v="0"/>
    <n v="0"/>
    <n v="42.75"/>
    <n v="0"/>
    <s v="Reserva importada do Sistema Lemontech. Solicitação: 17231543"/>
    <s v="Fornecedor não preenchido! (ACC01)"/>
    <s v="LEMONTECH"/>
    <s v="Falta de Fornecedor"/>
    <s v="Campo Fornecedor"/>
    <s v="Dados do Fornecedor"/>
    <s v="Qualidade dos dados"/>
    <s v="KONTIK BUSINESS TRAVEL"/>
  </r>
  <r>
    <n v="22696370"/>
    <n v="23499217"/>
    <s v="ACC01"/>
    <x v="224"/>
    <d v="2025-08-06T19:06:30"/>
    <s v="0 a 02 dias"/>
    <s v="0 a 02 dias"/>
    <s v="5GM5Z2"/>
    <s v="LEMONTECH"/>
    <s v="BISCOLI/GUSTAVO"/>
    <s v="Lemontech"/>
    <s v="Lemontech"/>
    <x v="129"/>
    <n v="1721533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5"/>
    <n v="0"/>
    <n v="0"/>
    <n v="0"/>
    <n v="0"/>
    <n v="14.88"/>
    <n v="0"/>
    <s v="Reserva importada do Sistema Lemontech. Solicitação: 17215337"/>
    <s v="Fornecedor não preenchido! (ACC01)"/>
    <s v="LEMONTECH"/>
    <s v="Falta de Fornecedor"/>
    <s v="Campo Fornecedor"/>
    <s v="Dados do Fornecedor"/>
    <s v="Qualidade dos dados"/>
    <s v="KONTIK BUSINESS TRAVEL"/>
  </r>
  <r>
    <n v="22699830"/>
    <n v="23502089"/>
    <s v="ACC01"/>
    <x v="225"/>
    <d v="2025-08-07T11:13:08"/>
    <s v="0 a 02 dias"/>
    <s v="0 a 02 dias"/>
    <s v="5GU7TS"/>
    <s v="LEMONTECH"/>
    <s v="BONATTO/DANIELA"/>
    <s v="Lemontech"/>
    <s v="Lemontech"/>
    <x v="57"/>
    <n v="172315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6"/>
    <n v="0"/>
    <n v="0"/>
    <n v="0"/>
    <n v="0"/>
    <n v="52.12"/>
    <n v="0"/>
    <s v="Reserva importada do Sistema Lemontech. Solicitação: 17231521"/>
    <s v="Fornecedor não preenchido! (ACC01)"/>
    <s v="LEMONTECH"/>
    <s v="Falta de Fornecedor"/>
    <s v="Campo Fornecedor"/>
    <s v="Dados do Fornecedor"/>
    <s v="Qualidade dos dados"/>
    <s v="KONTIK BUSINESS TRAVEL"/>
  </r>
  <r>
    <n v="22691798"/>
    <n v="23494828"/>
    <s v="ACC01"/>
    <x v="226"/>
    <d v="2025-08-06T09:07:31"/>
    <s v="0 a 02 dias"/>
    <s v="0 a 02 dias"/>
    <s v="5GIC7B"/>
    <s v="LEMONTECH"/>
    <s v="NASCIMENTO/GLEIDSON"/>
    <s v="Lemontech"/>
    <s v="Lemontech"/>
    <x v="129"/>
    <n v="1722009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7"/>
    <n v="0"/>
    <n v="0"/>
    <n v="0"/>
    <n v="0"/>
    <n v="0"/>
    <n v="0"/>
    <s v="Reserva importada do Sistema Lemontech. Solicitação: 17220097"/>
    <s v="Fornecedor não preenchido! (ACC01)"/>
    <s v="LEMONTECH"/>
    <s v="Falta de Fornecedor"/>
    <s v="Campo Fornecedor"/>
    <s v="Dados do Fornecedor"/>
    <s v="Qualidade dos dados"/>
    <s v="KONTIK BUSINESS TRAVEL"/>
  </r>
  <r>
    <n v="22692862"/>
    <n v="23495811"/>
    <s v="ACC01"/>
    <x v="227"/>
    <d v="2025-08-06T12:13:37"/>
    <s v="0 a 02 dias"/>
    <s v="0 a 02 dias"/>
    <s v="5GGDN0"/>
    <s v="LEMONTECH"/>
    <s v="SILVA MOURA/BRUNNO"/>
    <s v="Lemontech"/>
    <s v="Lemontech"/>
    <x v="211"/>
    <n v="172233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8"/>
    <n v="0"/>
    <n v="0"/>
    <n v="0"/>
    <n v="0"/>
    <n v="0"/>
    <n v="0"/>
    <s v="Reserva importada do Sistema Lemontech. Solicitação: 17223345"/>
    <s v="Fornecedor não preenchido! (ACC01)"/>
    <s v="LEMONTECH"/>
    <s v="Falta de Fornecedor"/>
    <s v="Campo Fornecedor"/>
    <s v="Dados do Fornecedor"/>
    <s v="Qualidade dos dados"/>
    <s v="KONTIK BUSINESS TRAVEL"/>
  </r>
  <r>
    <n v="22692865"/>
    <n v="23495814"/>
    <s v="ACC01"/>
    <x v="228"/>
    <d v="2025-08-06T12:29:06"/>
    <s v="0 a 02 dias"/>
    <s v="0 a 02 dias"/>
    <s v="NWQUIL"/>
    <s v="LEMONTECH"/>
    <s v="DA GAMA/LUISA"/>
    <s v="Lemontech"/>
    <s v="Lemontech"/>
    <x v="212"/>
    <n v="17223386"/>
    <s v="-"/>
    <s v="ON LINE"/>
    <s v="Cartão de crédito"/>
    <s v="Cartão AMEX"/>
    <s v="Aéreo"/>
    <s v="N"/>
    <s v="Grupo Biolab"/>
    <s v="Biolab Centro Administrativo - Escritorio"/>
    <s v="-"/>
    <s v="Latam Airlines Brasil"/>
    <n v="2971540022"/>
    <s v="KON-OPE-SAO-PVI-BIOLAB"/>
    <s v="-"/>
    <x v="179"/>
    <n v="60.62"/>
    <n v="0"/>
    <n v="0"/>
    <n v="0"/>
    <n v="0"/>
    <n v="0"/>
    <s v="Reserva importada do Sistema Lemontech. Solicitação: 17223386"/>
    <s v="Pnr já existente. A duplicidade de rloc é permitida apenas 6 meses após o último pnr emitido"/>
    <s v="LEMONTECH"/>
    <s v="Duplicidade de RLOC"/>
    <s v="Campo RLOC"/>
    <s v="Duplicidade de Contabilização"/>
    <s v="Qualidade dos dados"/>
    <s v="GRUPO KONTIK"/>
  </r>
  <r>
    <n v="22679625"/>
    <n v="23484082"/>
    <s v="ACC01"/>
    <x v="229"/>
    <d v="2025-08-04T16:06:51"/>
    <s v="03 a 05 dias"/>
    <s v="03 a 05 dias"/>
    <s v="5FAOKU"/>
    <s v="LEMONTECH"/>
    <s v="TRASSI/THAIS"/>
    <s v="Lemontech"/>
    <s v="Lemontech"/>
    <x v="209"/>
    <n v="1720244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0"/>
    <n v="0"/>
    <n v="0"/>
    <n v="0"/>
    <n v="0"/>
    <n v="180"/>
    <n v="0"/>
    <s v="Reserva importada do Sistema Lemontech. Solicitação: 17202443"/>
    <s v="Fornecedor não preenchido! (ACC01)"/>
    <s v="LEMONTECH"/>
    <s v="Falta de Fornecedor"/>
    <s v="Campo Fornecedor"/>
    <s v="Dados do Fornecedor"/>
    <s v="Qualidade dos dados"/>
    <s v="KONTIK BUSINESS TRAVEL"/>
  </r>
  <r>
    <n v="22681620"/>
    <n v="23486092"/>
    <s v="ACC01"/>
    <x v="230"/>
    <d v="2025-08-04T19:07:18"/>
    <s v="03 a 05 dias"/>
    <s v="03 a 05 dias"/>
    <s v="5FVV6I"/>
    <s v="LEMONTECH"/>
    <s v="FERREIRA/HUMBERTO"/>
    <s v="Lemontech"/>
    <s v="Lemontech"/>
    <x v="209"/>
    <n v="1720575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7"/>
    <n v="0"/>
    <n v="0"/>
    <n v="0"/>
    <n v="0"/>
    <n v="0"/>
    <n v="0"/>
    <s v="Reserva importada do Sistema Lemontech. Solicitação: 17205759"/>
    <s v="Fornecedor não preenchido! (ACC01)"/>
    <s v="LEMONTECH"/>
    <s v="Falta de Fornecedor"/>
    <s v="Campo Fornecedor"/>
    <s v="Dados do Fornecedor"/>
    <s v="Qualidade dos dados"/>
    <s v="KONTIK BUSINESS TRAVEL"/>
  </r>
  <r>
    <n v="22659143"/>
    <n v="23467925"/>
    <s v="ACC01"/>
    <x v="231"/>
    <d v="2025-07-31T16:13:12"/>
    <s v="06 a 08 dias"/>
    <s v="06 a 08 dias"/>
    <s v="5FIUQ4"/>
    <s v="LEMONTECH"/>
    <s v="DA COSTA/ANNIELLY"/>
    <s v="Lemontech"/>
    <s v="Lemontech"/>
    <x v="213"/>
    <n v="171804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1"/>
    <n v="0"/>
    <n v="0"/>
    <n v="0"/>
    <n v="0"/>
    <n v="180"/>
    <n v="0"/>
    <s v="Reserva importada do Sistema Lemontech. Solicitação: 17180402"/>
    <s v="Fornecedor não preenchido! (ACC01)"/>
    <s v="LEMONTECH"/>
    <s v="Falta de Fornecedor"/>
    <s v="Campo Fornecedor"/>
    <s v="Dados do Fornecedor"/>
    <s v="Qualidade dos dados"/>
    <s v="KONTIK BUSINESS TRAVEL"/>
  </r>
  <r>
    <n v="22659144"/>
    <n v="23467926"/>
    <s v="ACC01"/>
    <x v="232"/>
    <d v="2025-07-31T16:13:13"/>
    <s v="06 a 08 dias"/>
    <s v="06 a 08 dias"/>
    <s v="5FLJQR"/>
    <s v="LEMONTECH"/>
    <s v="TRASSI/THAIS"/>
    <s v="Lemontech"/>
    <s v="Lemontech"/>
    <x v="213"/>
    <n v="1718049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1"/>
    <n v="0"/>
    <n v="0"/>
    <n v="0"/>
    <n v="0"/>
    <n v="180"/>
    <n v="0"/>
    <s v="Reserva importada do Sistema Lemontech. Solicitação: 17180492"/>
    <s v="Fornecedor não preenchido! (ACC01)"/>
    <s v="LEMONTECH"/>
    <s v="Falta de Fornecedor"/>
    <s v="Campo Fornecedor"/>
    <s v="Dados do Fornecedor"/>
    <s v="Qualidade dos dados"/>
    <s v="KONTIK BUSINESS TRAVEL"/>
  </r>
  <r>
    <n v="22679305"/>
    <n v="23483773"/>
    <s v="ACC01"/>
    <x v="233"/>
    <d v="2025-08-04T15:07:08"/>
    <s v="03 a 05 dias"/>
    <s v="03 a 05 dias"/>
    <s v="5F14K7"/>
    <s v="LEMONTECH"/>
    <s v="OLIVEIRA/CINTYA"/>
    <s v="Lemontech"/>
    <s v="Lemontech"/>
    <x v="209"/>
    <n v="1720140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2"/>
    <n v="0"/>
    <n v="0"/>
    <n v="0"/>
    <n v="0"/>
    <n v="59.2"/>
    <n v="0"/>
    <s v="Reserva importada do Sistema Lemontech. Solicitação: 17201409"/>
    <s v="Fornecedor não preenchido! (ACC01)"/>
    <s v="LEMONTECH"/>
    <s v="Falta de Fornecedor"/>
    <s v="Campo Fornecedor"/>
    <s v="Dados do Fornecedor"/>
    <s v="Qualidade dos dados"/>
    <s v="KONTIK BUSINESS TRAVEL"/>
  </r>
  <r>
    <n v="22677103"/>
    <n v="23481783"/>
    <s v="ACC01"/>
    <x v="234"/>
    <d v="2025-08-04T09:06:54"/>
    <s v="03 a 05 dias"/>
    <s v="03 a 05 dias"/>
    <s v="5F5CA7"/>
    <s v="LEMONTECH"/>
    <s v="GOMES/SAULL"/>
    <s v="Lemontech"/>
    <s v="Lemontech"/>
    <x v="70"/>
    <n v="171692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3"/>
    <n v="0"/>
    <n v="0"/>
    <n v="0"/>
    <n v="0"/>
    <n v="0"/>
    <n v="0"/>
    <s v="Reserva importada do Sistema Lemontech. Solicitação: 17169221"/>
    <s v="Fornecedor não preenchido! (ACC01)"/>
    <s v="LEMONTECH"/>
    <s v="Falta de Fornecedor"/>
    <s v="Campo Fornecedor"/>
    <s v="Dados do Fornecedor"/>
    <s v="Qualidade dos dados"/>
    <s v="KONTIK BUSINESS TRAVEL"/>
  </r>
  <r>
    <n v="22529814"/>
    <n v="23357744"/>
    <s v="ACC01"/>
    <x v="235"/>
    <d v="2025-07-08T11:06:26"/>
    <s v="31 dias ou +"/>
    <s v="31 dias ou +"/>
    <s v="5CBBVY"/>
    <s v="LEMONTECH"/>
    <s v="WAGNER FLESCH/RICARDO"/>
    <s v="Lemontech"/>
    <s v="Lemontech"/>
    <x v="214"/>
    <n v="16994702"/>
    <s v="-"/>
    <s v="ON LINE"/>
    <s v="Cartão de crédito"/>
    <s v="Cartão de crédito"/>
    <s v="Hotel"/>
    <s v="N"/>
    <s v="Grupo Biolab"/>
    <s v="Biolab Centro Administrativo - Escritorio"/>
    <s v="-"/>
    <s v="Ibis Sao Paulo Ibirapuera"/>
    <s v="-"/>
    <s v="KON-OPE-SAO-PVI-BIOLAB"/>
    <s v="-"/>
    <x v="184"/>
    <n v="0"/>
    <n v="0"/>
    <n v="0"/>
    <n v="0"/>
    <n v="18.59"/>
    <n v="0"/>
    <s v="Reserva importada do Sistema Lemontech. Solicitação: 16994702"/>
    <s v="Fornecedor não preenchido! (ACC01)"/>
    <s v="LEMONTECH"/>
    <s v="Falta de Fornecedor"/>
    <s v="Campo Fornecedor"/>
    <s v="Dados do Fornecedor"/>
    <s v="Qualidade dos dados"/>
    <s v="KONTIK BUSINESS TRAVEL"/>
  </r>
  <r>
    <n v="22531721"/>
    <n v="23359539"/>
    <s v="ACC01"/>
    <x v="236"/>
    <d v="2025-07-08T16:08:44"/>
    <s v="31 dias ou +"/>
    <s v="31 dias ou +"/>
    <s v="5CLJ96"/>
    <s v="LEMONTECH"/>
    <s v="SPERLING VIANA/NANCY"/>
    <s v="Lemontech"/>
    <s v="Lemontech"/>
    <x v="215"/>
    <n v="170093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5"/>
    <n v="0"/>
    <n v="0"/>
    <n v="0"/>
    <n v="0"/>
    <n v="0"/>
    <n v="0"/>
    <s v="Reserva importada do Sistema Lemontech. Solicitação: 17009338"/>
    <s v="Fornecedor não preenchido! (ACC01)"/>
    <s v="LEMONTECH"/>
    <s v="Falta de Fornecedor"/>
    <s v="Campo Fornecedor"/>
    <s v="Dados do Fornecedor"/>
    <s v="Qualidade dos dados"/>
    <s v="KONTIK BUSINESS TRAVEL"/>
  </r>
  <r>
    <n v="22649682"/>
    <n v="23459220"/>
    <s v="ACC01"/>
    <x v="237"/>
    <d v="2025-07-30T09:07:30"/>
    <s v="09 a 15 dias"/>
    <s v="09 a 15 dias"/>
    <s v="5FJ59A"/>
    <s v="LEMONTECH"/>
    <s v="ZAMBRANO CORREA/LUIS"/>
    <s v="Lemontech"/>
    <s v="Lemontech"/>
    <x v="70"/>
    <n v="171654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6"/>
    <n v="0"/>
    <n v="0"/>
    <n v="0"/>
    <n v="0"/>
    <n v="180"/>
    <n v="0"/>
    <s v="Reserva importada do Sistema Lemontech. Solicitação: 17165445"/>
    <s v="Fornecedor não preenchido! (ACC01)"/>
    <s v="LEMONTECH"/>
    <s v="Falta de Fornecedor"/>
    <s v="Campo Fornecedor"/>
    <s v="Dados do Fornecedor"/>
    <s v="Qualidade dos dados"/>
    <s v="KONTIK BUSINESS TRAVEL"/>
  </r>
  <r>
    <n v="22702214"/>
    <n v="23504356"/>
    <s v="ACC01"/>
    <x v="238"/>
    <d v="2025-08-07T17:07:24"/>
    <s v="0 a 02 dias"/>
    <s v="0 a 02 dias"/>
    <s v="5GQPWD"/>
    <s v="LEMONTECH"/>
    <s v="LLANOS ESPINOZA/CLAUDIA MARIA"/>
    <s v="Lemontech"/>
    <s v="Lemontech"/>
    <x v="57"/>
    <n v="1723734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0"/>
    <n v="0"/>
    <s v="Reserva importada do Sistema Lemontech. Solicitação: 17237347"/>
    <s v="Fornecedor não preenchido! (ACC01)"/>
    <s v="LEMONTECH"/>
    <s v="Falta de Fornecedor"/>
    <s v="Campo Fornecedor"/>
    <s v="Dados do Fornecedor"/>
    <s v="Qualidade dos dados"/>
    <s v="KONTIK BUSINESS TRAVEL"/>
  </r>
  <r>
    <n v="22702216"/>
    <n v="23504357"/>
    <s v="ACC01"/>
    <x v="239"/>
    <d v="2025-08-07T17:07:26"/>
    <s v="0 a 02 dias"/>
    <s v="0 a 02 dias"/>
    <s v="5G2P2D"/>
    <s v="LEMONTECH"/>
    <s v="LLANOS ESPINOZA/CLAUDIA MARIA"/>
    <s v="Lemontech"/>
    <s v="Lemontech"/>
    <x v="57"/>
    <n v="1723739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0"/>
    <n v="0"/>
    <s v="Reserva importada do Sistema Lemontech. Solicitação: 17237393"/>
    <s v="Fornecedor não preenchido! (ACC01)"/>
    <s v="LEMONTECH"/>
    <s v="Falta de Fornecedor"/>
    <s v="Campo Fornecedor"/>
    <s v="Dados do Fornecedor"/>
    <s v="Qualidade dos dados"/>
    <s v="KONTIK BUSINESS TRAVEL"/>
  </r>
  <r>
    <n v="22702224"/>
    <n v="23504366"/>
    <s v="ACC01"/>
    <x v="240"/>
    <d v="2025-08-07T17:07:53"/>
    <s v="0 a 02 dias"/>
    <s v="0 a 02 dias"/>
    <s v="5GJMWC"/>
    <s v="LEMONTECH"/>
    <s v="SIQUEIRA/FABIO GIL"/>
    <s v="Lemontech"/>
    <s v="Lemontech"/>
    <x v="57"/>
    <n v="1723751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8"/>
    <n v="0"/>
    <n v="0"/>
    <n v="0"/>
    <n v="0"/>
    <n v="0"/>
    <n v="0"/>
    <s v="Reserva importada do Sistema Lemontech. Solicitação: 17237514"/>
    <s v="Fornecedor não preenchido! (ACC01)"/>
    <s v="LEMONTECH"/>
    <s v="Falta de Fornecedor"/>
    <s v="Campo Fornecedor"/>
    <s v="Dados do Fornecedor"/>
    <s v="Qualidade dos dados"/>
    <s v="KONTIK BUSINESS TRAVEL"/>
  </r>
  <r>
    <n v="22703689"/>
    <n v="23505785"/>
    <s v="ACC01"/>
    <x v="241"/>
    <d v="2025-08-07T19:51:35"/>
    <s v="0 a 02 dias"/>
    <s v="0 a 02 dias"/>
    <s v="5GA9U3"/>
    <s v="TMS"/>
    <s v="JERONIMO FREIRE"/>
    <s v="Tms"/>
    <s v="Tms"/>
    <x v="216"/>
    <n v="265"/>
    <s v="Campinas / VCP"/>
    <s v="ON LINE"/>
    <s v="Invoice"/>
    <s v="Faturado"/>
    <s v="Carro"/>
    <s v="N"/>
    <s v="Grupo Santo Antonio Energia"/>
    <s v="Santo Antonio Energia"/>
    <s v="-"/>
    <s v="-"/>
    <s v="-"/>
    <s v="KON-OPE-RIO-PVI-BTC RJ"/>
    <s v="-"/>
    <x v="189"/>
    <n v="0"/>
    <n v="0"/>
    <n v="0"/>
    <n v="0"/>
    <n v="0"/>
    <n v="0"/>
    <s v="Reserva importada do Sistema TMS. OS: 265"/>
    <s v="Fornecedor não preenchido! (ACC01)"/>
    <s v="ARGO(TMS)"/>
    <s v="Falta de Fornecedor"/>
    <s v="Campo Fornecedor"/>
    <s v="Dados do Fornecedor"/>
    <s v="Qualidade dos dados"/>
    <s v="KONTIK BUSINESS TRAVEL"/>
  </r>
  <r>
    <n v="22686476"/>
    <n v="23490201"/>
    <s v="ACC01"/>
    <x v="242"/>
    <d v="2025-08-05T14:20:49"/>
    <s v="03 a 05 dias"/>
    <s v="03 a 05 dias"/>
    <s v="MZHWRT"/>
    <s v="GOVER"/>
    <s v="Elder  Souza da Fonseca"/>
    <s v="Juliana dos Santos Pinto"/>
    <s v="Juliana dos Santos Pinto"/>
    <x v="217"/>
    <n v="4576769"/>
    <s v="-"/>
    <s v="OFF LINE"/>
    <s v="Invoice"/>
    <s v="Faturado"/>
    <s v="Aéreo"/>
    <s v="N"/>
    <s v="Grupo Occ"/>
    <s v="Consorcio Nova Doca"/>
    <s v="-"/>
    <s v="Latam Airlines Brasil"/>
    <n v="2971589631"/>
    <s v="KON-OPE-RIO-PVI-BTC RJ"/>
    <s v="-"/>
    <x v="190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86477"/>
    <n v="23490202"/>
    <s v="ACC01"/>
    <x v="243"/>
    <d v="2025-08-05T14:20:50"/>
    <s v="03 a 05 dias"/>
    <s v="03 a 05 dias"/>
    <s v="QEOQKW"/>
    <s v="GOVER"/>
    <s v="Elder  Souza da Fonseca"/>
    <s v="Juliana dos Santos Pinto"/>
    <s v="Juliana dos Santos Pinto"/>
    <x v="218"/>
    <n v="4576769"/>
    <s v="-"/>
    <s v="OFF LINE"/>
    <s v="Invoice"/>
    <s v="Faturado"/>
    <s v="Aéreo"/>
    <s v="N"/>
    <s v="Grupo Occ"/>
    <s v="Consorcio Nova Doca"/>
    <s v="-"/>
    <s v="Latam Airlines Brasil"/>
    <n v="2971589633"/>
    <s v="KON-OPE-RIO-PVI-BTC RJ"/>
    <s v="-"/>
    <x v="191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95720"/>
    <n v="23498571"/>
    <s v="ACC01"/>
    <x v="244"/>
    <d v="2025-08-06T18:41:45"/>
    <s v="0 a 02 dias"/>
    <s v="0 a 02 dias"/>
    <s v="DNBJIC"/>
    <s v="GOVER"/>
    <s v="Ana Lúcia Ferreira Coutinho"/>
    <s v="Michelly Andrade Leandro da Silva"/>
    <s v="Michelly Andrade Leandro da Silva"/>
    <x v="219"/>
    <n v="4575390"/>
    <s v="-"/>
    <s v="ON LINE"/>
    <s v="Cartão de crédito"/>
    <s v="Cartão AMEX"/>
    <s v="Aéreo"/>
    <s v="N"/>
    <s v="Grupo Isdin"/>
    <s v="Isdin Sp"/>
    <s v="-"/>
    <s v="Latam Airlines Brasil"/>
    <n v="2971575248"/>
    <s v="KON-OPE-RIO-PVI-BTC RJ"/>
    <s v="-"/>
    <x v="192"/>
    <n v="414.37"/>
    <n v="0"/>
    <n v="0"/>
    <n v="0"/>
    <n v="0"/>
    <n v="0"/>
    <s v="Reserva importada do sistema Gover. Id: 4575390"/>
    <s v="Verificação de bilhetes: Bilhete 2971575248 já sendo utilizado para este fornecedor."/>
    <s v="GOVER"/>
    <s v="Bilhete duplicado"/>
    <s v="Bilhete Já Contabilizado"/>
    <s v="Duplicidade de Contabilização"/>
    <s v="Qualidade dos dados"/>
    <s v="GRUPO KONTIK"/>
  </r>
  <r>
    <n v="22703539"/>
    <n v="23505633"/>
    <s v="ACC01"/>
    <x v="245"/>
    <d v="2025-08-07T19:12:10"/>
    <s v="0 a 02 dias"/>
    <s v="0 a 02 dias"/>
    <s v="EUPDZO"/>
    <s v="GOVER"/>
    <s v="SANDRA BERTOCCO BRAGHIROLI"/>
    <s v="Priscilla Andrade Sobrinho"/>
    <s v="Priscilla Andrade Sobrinho"/>
    <x v="220"/>
    <n v="4577083"/>
    <s v="-"/>
    <s v="OFF LINE"/>
    <s v="Cartão de crédito"/>
    <s v="Cartão AMEX"/>
    <s v="Aéreo"/>
    <s v="N"/>
    <s v="Grupo Marisa"/>
    <s v="Lojas Marisa"/>
    <s v="-"/>
    <s v="Iberia"/>
    <n v="2971592843"/>
    <s v="KON-OPE-RIO-PVI-BTC RJ"/>
    <s v="-"/>
    <x v="193"/>
    <n v="1276.25"/>
    <n v="0"/>
    <n v="0"/>
    <n v="0"/>
    <n v="0"/>
    <n v="0"/>
    <s v="Reserva importada do sistema Gover. Id: 4577083"/>
    <s v="Tarifa máxima não preenchida! (ACC01)"/>
    <s v="GOVER"/>
    <s v="Tarifa máxima"/>
    <s v="Falta de informação Gerencial"/>
    <s v="Dados do Fornecedor"/>
    <s v="Qualidade dos dados"/>
    <s v="KONTIK BUSINESS TRAVEL"/>
  </r>
  <r>
    <n v="22703733"/>
    <n v="23505821"/>
    <s v="ACC01"/>
    <x v="246"/>
    <d v="2025-08-07T19:21:23"/>
    <s v="0 a 02 dias"/>
    <s v="0 a 02 dias"/>
    <s v="EUGQEV"/>
    <s v="GOVER"/>
    <s v="CLAUDIA SOARES NASSAR"/>
    <s v="Priscilla Andrade Sobrinho"/>
    <s v="Priscilla Andrade Sobrinho"/>
    <x v="221"/>
    <n v="4577084"/>
    <s v="-"/>
    <s v="OFF LINE"/>
    <s v="Cartão de crédito"/>
    <s v="Cartão AMEX"/>
    <s v="Aéreo"/>
    <s v="N"/>
    <s v="Grupo Marisa"/>
    <s v="Lojas Marisa"/>
    <s v="-"/>
    <s v="Iberia"/>
    <n v="2971592842"/>
    <s v="KON-OPE-RIO-PVI-BTC RJ"/>
    <s v="-"/>
    <x v="193"/>
    <n v="1276.25"/>
    <n v="0"/>
    <n v="0"/>
    <n v="0"/>
    <n v="0"/>
    <n v="0"/>
    <s v="Reserva importada do sistema Gover. Id: 4577084"/>
    <s v="Tarifa máxima não preenchida! (ACC01)"/>
    <s v="GOVER"/>
    <s v="Tarifa máxima"/>
    <s v="Falta de informação Gerencial"/>
    <s v="Dados do Fornecedor"/>
    <s v="Qualidade dos dados"/>
    <s v="KONTIK BUSINESS TRAVEL"/>
  </r>
  <r>
    <n v="22703735"/>
    <n v="23505823"/>
    <s v="ACC01"/>
    <x v="247"/>
    <d v="2025-08-07T19:21:25"/>
    <s v="0 a 02 dias"/>
    <s v="0 a 02 dias"/>
    <s v="FBFZGH"/>
    <s v="GOVER"/>
    <s v="PRISCILA FREZ DE MORAES AGUIAR"/>
    <s v="Priscilla Andrade Sobrinho"/>
    <s v="Priscilla Andrade Sobrinho"/>
    <x v="220"/>
    <n v="4577087"/>
    <s v="-"/>
    <s v="OFF LINE"/>
    <s v="Cartão de crédito"/>
    <s v="Cartão AMEX"/>
    <s v="Aéreo"/>
    <s v="N"/>
    <s v="Grupo Marisa"/>
    <s v="Lojas Marisa"/>
    <s v="-"/>
    <s v="Iberia"/>
    <n v="2971592841"/>
    <s v="KON-OPE-RIO-PVI-BTC RJ"/>
    <s v="-"/>
    <x v="193"/>
    <n v="1276.47"/>
    <n v="0"/>
    <n v="0"/>
    <n v="0"/>
    <n v="0"/>
    <n v="0"/>
    <s v="Reserva importada do sistema Gover. Id: 4577087"/>
    <s v="Tarifa máxima não preenchida! (ACC01)"/>
    <s v="GOVER"/>
    <s v="Tarifa máxima"/>
    <s v="Falta de informação Gerencial"/>
    <s v="Dados do Fornecedor"/>
    <s v="Qualidade dos dados"/>
    <s v="KONTIK BUSINESS TRAVEL"/>
  </r>
  <r>
    <n v="22704249"/>
    <n v="23506282"/>
    <s v="ACC01"/>
    <x v="248"/>
    <d v="2025-08-07T20:40:41"/>
    <s v="0 a 02 dias"/>
    <s v="0 a 02 dias"/>
    <s v="EUBVTF"/>
    <s v="GOVER"/>
    <s v="LAUREEN CRISTINA CACACE SARTORELLI"/>
    <s v="Priscilla Andrade Sobrinho"/>
    <s v="Priscilla Andrade Sobrinho"/>
    <x v="220"/>
    <n v="4577081"/>
    <s v="-"/>
    <s v="OFF LINE"/>
    <s v="Cartão de crédito"/>
    <s v="Cartão AMEX"/>
    <s v="Aéreo"/>
    <s v="N"/>
    <s v="Grupo Marisa"/>
    <s v="Lojas Marisa"/>
    <s v="-"/>
    <s v="Iberia"/>
    <n v="2971325509"/>
    <s v="KON-OPE-RIO-PVI-BTC RJ"/>
    <s v="-"/>
    <x v="193"/>
    <n v="1276.25"/>
    <n v="0"/>
    <n v="0"/>
    <n v="0"/>
    <n v="0"/>
    <n v="0"/>
    <s v="Reserva importada do sistema Gover. Id: 4577081"/>
    <s v="Tarifa máxima não preenchida! (ACC01)"/>
    <s v="GOVER"/>
    <s v="Tarifa máxima"/>
    <s v="Falta de informação Gerencial"/>
    <s v="Dados do Fornecedor"/>
    <s v="Qualidade dos dados"/>
    <s v="KONTIK BUSINESS TRAVEL"/>
  </r>
  <r>
    <n v="22621072"/>
    <n v="23436532"/>
    <s v="ACC01"/>
    <x v="249"/>
    <d v="2025-07-24T19:25:51"/>
    <s v="09 a 15 dias"/>
    <s v="09 a 15 dias"/>
    <s v="5EDJ0J"/>
    <s v="TMS"/>
    <s v="JOSE SILVA TAVARES"/>
    <s v="JOSE ALEXANDRE SOARES CALDAS"/>
    <s v="JOSE ALEXANDRE SOARES CALDAS"/>
    <x v="222"/>
    <n v="7356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94"/>
    <n v="0"/>
    <n v="0"/>
    <n v="0"/>
    <n v="0"/>
    <n v="0"/>
    <n v="0"/>
    <s v="Reserva importada do Sistema TMS. OS: 73566"/>
    <s v="Fornecedor não preenchido! (ACC01)"/>
    <s v="ARGO(TMS)"/>
    <s v="Falta de Fornecedor"/>
    <s v="Campo Fornecedor"/>
    <s v="Dados do Fornecedor"/>
    <s v="Qualidade dos dados"/>
    <s v="KONTIK BUSINESS TRAVEL"/>
  </r>
  <r>
    <n v="22624843"/>
    <n v="23439592"/>
    <s v="ACC01"/>
    <x v="250"/>
    <d v="2025-07-25T12:51:19"/>
    <s v="09 a 15 dias"/>
    <s v="09 a 15 dias"/>
    <s v="5E3FIU"/>
    <s v="TMS"/>
    <s v="JOSE SILVA TAVARES"/>
    <s v="JOSE ALEXANDRE SOARES CALDAS"/>
    <s v="JOSE ALEXANDRE SOARES CALDAS"/>
    <x v="223"/>
    <n v="7359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95"/>
    <n v="0"/>
    <n v="0"/>
    <n v="0"/>
    <n v="0"/>
    <n v="0"/>
    <n v="0"/>
    <s v="Reserva importada do Sistema TMS. OS: 73594"/>
    <s v="Fornecedor não preenchido! (ACC01)"/>
    <s v="ARGO(TMS)"/>
    <s v="Falta de Fornecedor"/>
    <s v="Campo Fornecedor"/>
    <s v="Dados do Fornecedor"/>
    <s v="Qualidade dos dados"/>
    <s v="KONTIK BUSINESS TRAVEL"/>
  </r>
  <r>
    <n v="22567713"/>
    <n v="23392097"/>
    <s v="ACC01"/>
    <x v="251"/>
    <d v="2025-07-15T19:41:02"/>
    <s v="24 a 31 dias"/>
    <s v="24 a 31 dias"/>
    <s v="5DUMK5"/>
    <s v="TMS"/>
    <s v="RICARDO COELHO DIAS"/>
    <s v="Tms"/>
    <s v="Tms"/>
    <x v="224"/>
    <n v="7152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11"/>
    <n v="0"/>
    <n v="0"/>
    <n v="0"/>
    <n v="0"/>
    <n v="0"/>
    <n v="0"/>
    <s v="Reserva importada do Sistema TMS. OS: 71529"/>
    <s v="Fornecedor não preenchido! (ACC01)"/>
    <s v="ARGO(TMS)"/>
    <s v="Falta de Fornecedor"/>
    <s v="Campo Fornecedor"/>
    <s v="Dados do Fornecedor"/>
    <s v="Qualidade dos dados"/>
    <s v="KONTIK BUSINESS TRAVEL"/>
  </r>
  <r>
    <n v="22705093"/>
    <n v="23507042"/>
    <s v="ACC01"/>
    <x v="252"/>
    <d v="2025-08-08T06:11:42"/>
    <s v="0 a 02 dias"/>
    <s v="0 a 02 dias"/>
    <s v="5GCLND"/>
    <s v="TMS"/>
    <s v="MARCELO ARAUJO BEZERRA"/>
    <s v="Tms"/>
    <s v="Tms"/>
    <x v="225"/>
    <n v="75313"/>
    <s v="-"/>
    <s v="OFF LINE"/>
    <s v="Invoice"/>
    <s v="Faturado"/>
    <s v="Serviço"/>
    <s v="N"/>
    <s v="Grupo Ocean Pact"/>
    <s v="Oceanpact Geociencias"/>
    <s v="-"/>
    <s v="-"/>
    <s v="-"/>
    <s v="KON-OPE-RIO-POS-OCEANPACT"/>
    <s v="-"/>
    <x v="196"/>
    <n v="15.52"/>
    <n v="0"/>
    <n v="0"/>
    <n v="0"/>
    <n v="0"/>
    <n v="0"/>
    <s v="Reserva importada do Sistema TMS. OS: 75313"/>
    <s v="Fornecedor não preenchido! (ACC01)"/>
    <s v="ARGO(TMS)"/>
    <s v="Falta de Fornecedor"/>
    <s v="Campo Fornecedor"/>
    <s v="Dados do Fornecedor"/>
    <s v="Qualidade dos dados"/>
    <s v="KONTIK BUSINESS TRAVEL"/>
  </r>
  <r>
    <n v="22678463"/>
    <n v="23483036"/>
    <s v="ACC01"/>
    <x v="253"/>
    <d v="2025-08-04T12:58:29"/>
    <s v="03 a 05 dias"/>
    <s v="03 a 05 dias"/>
    <s v="5FYJGU"/>
    <s v="TMS"/>
    <s v="CARLOS HENRIQUE AZEVEDO"/>
    <s v="Nataly Franca Regal de Castro"/>
    <s v="Nataly Franca Regal de Castro"/>
    <x v="226"/>
    <n v="7438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93"/>
    <n v="0"/>
    <n v="0"/>
    <n v="0"/>
    <n v="0"/>
    <n v="0"/>
    <n v="0"/>
    <s v="Reserva importada do Sistema TMS. OS: 74380"/>
    <s v="Fornecedor não preenchido! (ACC01)"/>
    <s v="ARGO(TMS)"/>
    <s v="Falta de Fornecedor"/>
    <s v="Campo Fornecedor"/>
    <s v="Dados do Fornecedor"/>
    <s v="Qualidade dos dados"/>
    <s v="KONTIK BUSINESS TRAVEL"/>
  </r>
  <r>
    <n v="22666296"/>
    <n v="23474141"/>
    <s v="ACC01"/>
    <x v="254"/>
    <d v="2025-08-05T07:33:43"/>
    <s v="03 a 05 dias"/>
    <s v="06 a 08 dias"/>
    <s v="YOUEDK"/>
    <s v="SABRE"/>
    <s v="SAEZ/AMANDA FELIX DA COSTA"/>
    <s v="CT"/>
    <s v="CT"/>
    <x v="227"/>
    <s v="L2IZGVFD6"/>
    <s v="-"/>
    <s v="ON LINE"/>
    <s v="Cartão de crédito"/>
    <s v="Cartão AMEX"/>
    <s v="Aéreo"/>
    <s v="N"/>
    <s v="Grupo Basf"/>
    <s v="Basf Sa"/>
    <s v="-"/>
    <s v="Gol Linhas Aereas"/>
    <n v="7700074761"/>
    <s v="FCM-OPE-SAO-PVI-BASF"/>
    <s v="-"/>
    <x v="197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79705"/>
    <n v="23484160"/>
    <s v="ACC01"/>
    <x v="255"/>
    <d v="2025-08-05T07:34:00"/>
    <s v="03 a 05 dias"/>
    <s v="03 a 05 dias"/>
    <s v="STLHGX"/>
    <s v="SABRE"/>
    <s v="FREDERICO DE MESQUITA/RENATA"/>
    <s v="CT"/>
    <s v="CT"/>
    <x v="228"/>
    <s v="H2EOZUM89"/>
    <s v="-"/>
    <s v="ON LINE"/>
    <s v="Cartão de crédito"/>
    <s v="Cartão AMEX"/>
    <s v="Aéreo"/>
    <s v="N"/>
    <s v="Grupo Basf"/>
    <s v="Basf Sa"/>
    <s v="-"/>
    <s v="Gol Linhas Aereas"/>
    <n v="7700074822"/>
    <s v="FCM-OPE-SAO-PVI-BASF"/>
    <s v="-"/>
    <x v="198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79705"/>
    <n v="23484497"/>
    <s v="ACC02"/>
    <x v="255"/>
    <d v="2025-08-05T07:34:00"/>
    <s v="03 a 05 dias"/>
    <s v="03 a 05 dias"/>
    <s v="STLHGX"/>
    <s v="SABRE"/>
    <s v="FREDERICO DE MESQUITA/RENATA"/>
    <s v="CT"/>
    <s v="CT"/>
    <x v="228"/>
    <s v="H2EOZUM89"/>
    <s v="-"/>
    <s v="ON LINE"/>
    <s v="Cartão de crédito"/>
    <s v="Cartão AMEX"/>
    <s v="Aéreo"/>
    <s v="N"/>
    <s v="Grupo Basf"/>
    <s v="Basf Sa"/>
    <s v="-"/>
    <s v="Gol Linhas Aereas"/>
    <n v="2142674468"/>
    <s v="FCM-OPE-SAO-PVI-BASF"/>
    <s v="-"/>
    <x v="198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93935"/>
    <n v="23496816"/>
    <s v="ACC01"/>
    <x v="256"/>
    <d v="2025-08-06T14:18:35"/>
    <s v="0 a 02 dias"/>
    <s v="0 a 02 dias"/>
    <s v="AOBZBMT"/>
    <s v="SABRE"/>
    <s v="DA SILVA/GIOVANNE JOSE MR"/>
    <s v="CT"/>
    <s v="CT"/>
    <x v="229"/>
    <s v="183216610-31702"/>
    <s v="-"/>
    <s v="ON LINE"/>
    <s v="Pagamento direto"/>
    <s v="Pagamento direto"/>
    <s v="Hotel"/>
    <s v="N"/>
    <s v="Grupo Basf"/>
    <s v="Chemetall do Brasil"/>
    <s v="-"/>
    <s v="-"/>
    <s v="-"/>
    <s v="FCM-OPE-SAO-PVI-BASF"/>
    <s v="-"/>
    <x v="19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3936"/>
    <n v="23496817"/>
    <s v="ACC01"/>
    <x v="257"/>
    <d v="2025-08-06T14:18:36"/>
    <s v="0 a 02 dias"/>
    <s v="0 a 02 dias"/>
    <s v="NQKJNUT"/>
    <s v="SABRE"/>
    <s v="SILVA/CICERO DIONISIO DA MR"/>
    <s v="CT"/>
    <s v="CT"/>
    <x v="230"/>
    <s v="183216679-27885"/>
    <s v="-"/>
    <s v="ON LINE"/>
    <s v="Pagamento direto"/>
    <s v="Pagamento direto"/>
    <s v="Hotel"/>
    <s v="N"/>
    <s v="Grupo Basf"/>
    <s v="Chemetall do Brasil"/>
    <s v="-"/>
    <s v="-"/>
    <s v="-"/>
    <s v="FCM-OPE-SAO-PVI-BASF"/>
    <s v="-"/>
    <x v="19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3993"/>
    <n v="23496866"/>
    <s v="ACC01"/>
    <x v="258"/>
    <d v="2025-08-06T14:36:24"/>
    <s v="0 a 02 dias"/>
    <s v="0 a 02 dias"/>
    <s v="AYDZPQT"/>
    <s v="SABRE"/>
    <s v="CORREIA/LEILANE MISS"/>
    <s v="CT"/>
    <s v="CT"/>
    <x v="231"/>
    <s v="183216563-90811"/>
    <s v="-"/>
    <s v="ON LINE"/>
    <s v="Pagamento direto"/>
    <s v="Pagamento direto"/>
    <s v="Hotel"/>
    <s v="N"/>
    <s v="Grupo Basf"/>
    <s v="Basf Sa"/>
    <s v="-"/>
    <s v="Novotel Lima San Isidro"/>
    <s v="-"/>
    <s v="FCM-OPE-SAO-PVI-BASF"/>
    <s v="-"/>
    <x v="20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93993"/>
    <n v="23496867"/>
    <s v="ACC02"/>
    <x v="258"/>
    <d v="2025-08-06T14:36:24"/>
    <s v="0 a 02 dias"/>
    <s v="0 a 02 dias"/>
    <s v="AYDZPQT"/>
    <s v="SABRE"/>
    <s v="CORREIA/LEILANE MISS"/>
    <s v="CT"/>
    <s v="CT"/>
    <x v="231"/>
    <s v="183216563-90811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0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94290"/>
    <n v="23497143"/>
    <s v="ACC01"/>
    <x v="259"/>
    <d v="2025-08-06T15:34:52"/>
    <s v="0 a 02 dias"/>
    <s v="0 a 02 dias"/>
    <s v="MEOMSF"/>
    <s v="SABRE"/>
    <s v="RENZI/CEZAR EDUARDO"/>
    <s v="CT"/>
    <s v="CT"/>
    <x v="123"/>
    <s v="D27E8KWTP"/>
    <s v="-"/>
    <s v="ON LINE"/>
    <s v="Cartão de crédito"/>
    <s v="Cartão AMEX"/>
    <s v="Aéreo"/>
    <s v="N"/>
    <s v="Grupo Basf"/>
    <s v="Suvinil"/>
    <s v="-"/>
    <s v="Gol Linhas Aereas"/>
    <n v="7700074988"/>
    <s v="FCM-OPE-SAO-PVI-BASF"/>
    <s v="-"/>
    <x v="202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81347"/>
    <n v="23485816"/>
    <s v="ACC01"/>
    <x v="260"/>
    <d v="2025-08-05T09:36:25"/>
    <s v="03 a 05 dias"/>
    <s v="03 a 05 dias"/>
    <s v="MSVYWLT"/>
    <s v="SABRE"/>
    <s v="LA TORRE/DANIELLA CAMPOS MRS"/>
    <s v="CT"/>
    <s v="CT"/>
    <x v="232"/>
    <s v="MSVYW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4556"/>
    <n v="23488413"/>
    <s v="ACC01"/>
    <x v="261"/>
    <d v="2025-08-05T09:36:55"/>
    <s v="03 a 05 dias"/>
    <s v="03 a 05 dias"/>
    <s v="EXIBKMT"/>
    <s v="SABRE"/>
    <s v="LA TORRE/DANIELLA CAMPOS MRS"/>
    <s v="CT"/>
    <s v="CT"/>
    <x v="233"/>
    <s v="EXIBKM"/>
    <s v="-"/>
    <s v="ON LINE"/>
    <s v="Pagamento direto"/>
    <s v="Pagamento direto"/>
    <s v="Hotel"/>
    <s v="N"/>
    <s v="Grupo Basf"/>
    <s v="Basf Sa"/>
    <s v="-"/>
    <s v="Hilton Garden Inn Houston Energy Corridor"/>
    <s v="-"/>
    <s v="FCM-OPE-SAO-PVI-BASF"/>
    <s v="-"/>
    <x v="20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84556"/>
    <n v="23488414"/>
    <s v="ACC02"/>
    <x v="261"/>
    <d v="2025-08-05T09:36:55"/>
    <s v="03 a 05 dias"/>
    <s v="03 a 05 dias"/>
    <s v="EXIBKMT"/>
    <s v="SABRE"/>
    <s v="LA TORRE/DANIELLA CAMPOS MRS"/>
    <s v="CT"/>
    <s v="CT"/>
    <x v="233"/>
    <s v="EXIBK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05"/>
    <n v="3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3619"/>
    <n v="23505715"/>
    <s v="ACC01"/>
    <x v="262"/>
    <d v="2025-08-07T19:06:30"/>
    <s v="0 a 02 dias"/>
    <s v="0 a 02 dias"/>
    <s v="KXTHKBT"/>
    <s v="SABRE"/>
    <s v="LA TORRE/DANIELLA CAMPOS MRS"/>
    <s v="CT"/>
    <s v="CT"/>
    <x v="54"/>
    <s v="183241241-7884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0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2911"/>
    <n v="23505029"/>
    <s v="ACC01"/>
    <x v="263"/>
    <d v="2025-08-07T18:18:50"/>
    <s v="0 a 02 dias"/>
    <s v="0 a 02 dias"/>
    <s v="WZGUDAT"/>
    <s v="SABRE"/>
    <s v="SANTOS/JOSE RIBEIRO DOS MR"/>
    <s v="Felipe Anderson da Silva"/>
    <s v="Felipe Anderson da Silva"/>
    <x v="234"/>
    <s v="BA070825172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07"/>
    <n v="49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2769"/>
    <n v="23495717"/>
    <s v="ACC01"/>
    <x v="264"/>
    <d v="2025-08-06T12:06:20"/>
    <s v="0 a 02 dias"/>
    <s v="0 a 02 dias"/>
    <s v="OBYQLFT"/>
    <s v="SABRE"/>
    <s v="LAVACH SANTANA/FLAVIO LUIZ MR"/>
    <s v="Felipe Anderson da Silva"/>
    <s v="Felipe Anderson da Silva"/>
    <x v="235"/>
    <s v="BA060825112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7065"/>
    <n v="23490754"/>
    <s v="ACC01"/>
    <x v="265"/>
    <d v="2025-08-05T16:06:56"/>
    <s v="03 a 05 dias"/>
    <s v="03 a 05 dias"/>
    <s v="YLHRXMC"/>
    <s v="SABRE"/>
    <s v="GIAVENO/CARLOS DANIEL MR"/>
    <s v="Felipe Anderson da Silva"/>
    <s v="Felipe Anderson da Silva"/>
    <x v="236"/>
    <s v="BA0508251439"/>
    <s v="RDU"/>
    <s v="OFF LINE"/>
    <s v="Invoice"/>
    <s v="Faturado"/>
    <s v="Carro"/>
    <s v="N"/>
    <s v="Grupo Basf"/>
    <s v="Basf Sa"/>
    <s v="-"/>
    <s v="-"/>
    <s v="-"/>
    <s v="FCM-OPE-SAO-PVI-BASF"/>
    <s v="-"/>
    <x v="209"/>
    <n v="131.1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4"/>
    <n v="23497133"/>
    <s v="ACC01"/>
    <x v="266"/>
    <d v="2025-08-06T15:36:22"/>
    <s v="0 a 02 dias"/>
    <s v="0 a 02 dias"/>
    <s v="NQUJHUT"/>
    <s v="SABRE"/>
    <s v="MYAGUSHICU/DANIELA MRS"/>
    <s v="Felipe Anderson da Silva"/>
    <s v="Felipe Anderson da Silva"/>
    <x v="237"/>
    <s v="BA0608251442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4"/>
    <n v="23497134"/>
    <s v="ACC02"/>
    <x v="266"/>
    <d v="2025-08-06T15:36:22"/>
    <s v="0 a 02 dias"/>
    <s v="0 a 02 dias"/>
    <s v="NQUJHUT"/>
    <s v="SABRE"/>
    <s v="MYAGUSHICU/DANIELA MRS"/>
    <s v="Felipe Anderson da Silva"/>
    <s v="Felipe Anderson da Silva"/>
    <x v="237"/>
    <s v="BA0608251442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5"/>
    <n v="23497135"/>
    <s v="ACC01"/>
    <x v="267"/>
    <d v="2025-08-06T15:36:24"/>
    <s v="0 a 02 dias"/>
    <s v="0 a 02 dias"/>
    <s v="NQTOPYT"/>
    <s v="SABRE"/>
    <s v="DAMELIO/ALDANA"/>
    <s v="Felipe Anderson da Silva"/>
    <s v="Felipe Anderson da Silva"/>
    <x v="238"/>
    <s v="BA060825144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5"/>
    <n v="23497136"/>
    <s v="ACC02"/>
    <x v="267"/>
    <d v="2025-08-06T15:36:24"/>
    <s v="0 a 02 dias"/>
    <s v="0 a 02 dias"/>
    <s v="NQTOPYT"/>
    <s v="SABRE"/>
    <s v="DAMELIO/ALDANA"/>
    <s v="Felipe Anderson da Silva"/>
    <s v="Felipe Anderson da Silva"/>
    <x v="238"/>
    <s v="BA0608251444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6"/>
    <n v="23497137"/>
    <s v="ACC01"/>
    <x v="268"/>
    <d v="2025-08-06T15:36:24"/>
    <s v="0 a 02 dias"/>
    <s v="0 a 02 dias"/>
    <s v="NNPOBOT"/>
    <s v="SABRE"/>
    <s v="CARDOZO/ALEJANDRA"/>
    <s v="Felipe Anderson da Silva"/>
    <s v="Felipe Anderson da Silva"/>
    <x v="239"/>
    <s v="BA060825144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6"/>
    <n v="23497138"/>
    <s v="ACC02"/>
    <x v="268"/>
    <d v="2025-08-06T15:36:24"/>
    <s v="0 a 02 dias"/>
    <s v="0 a 02 dias"/>
    <s v="NNPOBOT"/>
    <s v="SABRE"/>
    <s v="CARDOZO/ALEJANDRA"/>
    <s v="Felipe Anderson da Silva"/>
    <s v="Felipe Anderson da Silva"/>
    <x v="239"/>
    <s v="BA0608251445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3996"/>
    <n v="23496873"/>
    <s v="ACC01"/>
    <x v="269"/>
    <d v="2025-08-06T14:36:35"/>
    <s v="0 a 02 dias"/>
    <s v="0 a 02 dias"/>
    <s v="AXKABMC"/>
    <s v="SABRE"/>
    <s v="RIBEIRO/LUIS CESAR MR"/>
    <s v="Felipe Anderson da Silva"/>
    <s v="Felipe Anderson da Silva"/>
    <x v="240"/>
    <s v="BA0608251407"/>
    <s v="SAO"/>
    <s v="OFF LINE"/>
    <s v="Invoice"/>
    <s v="Faturado"/>
    <s v="Carro"/>
    <s v="N"/>
    <s v="Grupo Basf"/>
    <s v="Basf Sa"/>
    <s v="-"/>
    <s v="-"/>
    <s v="-"/>
    <s v="FCM-OPE-SAO-PVI-BASF"/>
    <s v="-"/>
    <x v="212"/>
    <n v="430.8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878"/>
    <n v="23504995"/>
    <s v="ACC01"/>
    <x v="270"/>
    <d v="2025-08-07T18:21:52"/>
    <s v="0 a 02 dias"/>
    <s v="0 a 02 dias"/>
    <s v="GKUPDG"/>
    <s v="SABRE"/>
    <s v="ROCHA PREVIATTI/DAIANE SILVA"/>
    <s v="Beatrys Ferreira Rocha"/>
    <s v="CT"/>
    <x v="241"/>
    <s v="GKUPDG"/>
    <s v="-"/>
    <s v="ON LINE"/>
    <s v="?"/>
    <s v="TKT"/>
    <s v="Aéreo"/>
    <s v="N"/>
    <s v="Grupo Basf"/>
    <s v="Basf Sa"/>
    <s v="-"/>
    <s v="Latam Airlines Brasil"/>
    <n v="2971622834"/>
    <s v="FCM-OPE-SAO-PVI-BASF"/>
    <s v="-"/>
    <x v="1"/>
    <n v="0"/>
    <n v="399.42"/>
    <n v="0"/>
    <n v="51.05"/>
    <n v="0"/>
    <n v="0"/>
    <s v="Reserva importada por HubTravel"/>
    <s v="Verificação de bilhetes: Bilhete 2971622834 já sendo utilizado para este fornecedor."/>
    <s v="SABRE"/>
    <s v="Bilhete duplicado"/>
    <s v="Bilhete Já Contabilizado"/>
    <s v="Duplicidade de Contabilização"/>
    <s v="Qualidade dos dados"/>
    <s v="GRUPO KONTIK"/>
  </r>
  <r>
    <n v="22611726"/>
    <n v="23428259"/>
    <s v="ACC01"/>
    <x v="271"/>
    <d v="2025-08-07T15:18:29"/>
    <s v="0 a 02 dias"/>
    <s v="16 a 23 dias"/>
    <s v="WFODSV"/>
    <s v="SABRE"/>
    <s v="FERNANDES GOMES/FELIPE"/>
    <s v="Beatrys Ferreira Rocha"/>
    <s v="CT"/>
    <x v="242"/>
    <s v="WFODSV"/>
    <s v="-"/>
    <s v="ON LINE"/>
    <s v="Cartão de crédito"/>
    <s v="Cartão de crédito"/>
    <s v="Aéreo"/>
    <s v="N"/>
    <s v="Grupo Basf"/>
    <s v="Basf Sa"/>
    <s v="-"/>
    <s v="Latam Airlines Brasil"/>
    <n v="2971499806"/>
    <s v="FCM-OPE-SAO-PVI-BASF"/>
    <s v="-"/>
    <x v="213"/>
    <n v="55.65"/>
    <n v="0"/>
    <n v="0"/>
    <n v="55.65"/>
    <n v="0"/>
    <n v="0"/>
    <s v="Reserva importada por HubTravel"/>
    <s v="Verificação de bilhetes: Bilhete 2971499806 já sendo utilizado para este fornecedor."/>
    <s v="SABRE"/>
    <s v="Bilhete duplicado"/>
    <s v="Bilhete Já Contabilizado"/>
    <s v="Duplicidade de Contabilização"/>
    <s v="Qualidade dos dados"/>
    <s v="GRUPO KONTIK"/>
  </r>
  <r>
    <n v="22687781"/>
    <n v="23491421"/>
    <s v="ACC01"/>
    <x v="272"/>
    <d v="2025-08-05T17:50:58"/>
    <s v="03 a 05 dias"/>
    <s v="03 a 05 dias"/>
    <s v="YSWRGI"/>
    <s v="SABRE"/>
    <s v="MEIRA GUERREIRO/PRISCILA"/>
    <s v="Itamar de Souza"/>
    <s v="CT"/>
    <x v="243"/>
    <s v="YSWRGI"/>
    <s v="-"/>
    <s v="ON LINE"/>
    <s v="?"/>
    <s v="TKT"/>
    <s v="Aéreo"/>
    <s v="N"/>
    <s v="Grupo Basf"/>
    <s v="Basf Sa"/>
    <s v="-"/>
    <s v="Latam Airlines Brasil"/>
    <n v="2971607845"/>
    <s v="FCM-OPE-SAO-PVI-BASF"/>
    <s v="-"/>
    <x v="1"/>
    <n v="0"/>
    <n v="64.650000000000006"/>
    <n v="0"/>
    <n v="64.650000000000006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96508"/>
    <n v="23499347"/>
    <s v="ACC01"/>
    <x v="273"/>
    <d v="2025-08-06T19:20:14"/>
    <s v="0 a 02 dias"/>
    <s v="0 a 02 dias"/>
    <s v="HDLPBN"/>
    <s v="SABRE"/>
    <s v="BRANDA PAULETTI/GIOVANA"/>
    <s v="Itamar de Souza"/>
    <s v="CT"/>
    <x v="244"/>
    <s v="HDLPBN"/>
    <s v="-"/>
    <s v="ON LINE"/>
    <s v="?"/>
    <s v="TKT"/>
    <s v="Aéreo"/>
    <s v="N"/>
    <s v="Grupo Basf"/>
    <s v="Basf Sa"/>
    <s v="-"/>
    <s v="Latam Airlines Brasil"/>
    <n v="2971622800"/>
    <s v="FCM-OPE-SAO-PVI-BASF"/>
    <s v="-"/>
    <x v="1"/>
    <n v="0"/>
    <n v="450"/>
    <n v="0"/>
    <n v="9.7899999999999991"/>
    <n v="0"/>
    <n v="0"/>
    <s v="Reserva importada por HubTravel"/>
    <s v="Verificação de bilhetes: Bilhete 2971622800 já sendo utilizado para este fornecedor."/>
    <s v="SABRE"/>
    <s v="Bilhete duplicado"/>
    <s v="Bilhete Já Contabilizado"/>
    <s v="Duplicidade de Contabilização"/>
    <s v="Qualidade dos dados"/>
    <s v="GRUPO KONTIK"/>
  </r>
  <r>
    <n v="22699391"/>
    <n v="23501647"/>
    <s v="ACC01"/>
    <x v="274"/>
    <d v="2025-08-07T09:48:45"/>
    <s v="0 a 02 dias"/>
    <s v="0 a 02 dias"/>
    <s v="GHSNPY"/>
    <s v="SABRE"/>
    <s v="CARVALHO/RENATA  KOBAL CAMPOS DE"/>
    <s v="Felipe Anderson da Silva"/>
    <s v="Felipe Anderson da Silva"/>
    <x v="245"/>
    <s v="BA0708250858"/>
    <s v="-"/>
    <s v="OFF LINE"/>
    <s v="Cartão de crédito"/>
    <s v="Cartão AMEX"/>
    <s v="Aéreo"/>
    <s v="N"/>
    <s v="Grupo Basf"/>
    <s v="Suvinil"/>
    <s v="-"/>
    <s v="Azul Linhas Aereas"/>
    <n v="7700075052"/>
    <s v="FCM-OPE-SAO-PVI-BASF"/>
    <s v="-"/>
    <x v="214"/>
    <n v="58.8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02888"/>
    <n v="23505006"/>
    <s v="ACC01"/>
    <x v="275"/>
    <d v="2025-08-07T18:27:31"/>
    <s v="0 a 02 dias"/>
    <s v="0 a 02 dias"/>
    <s v="AMIABWT"/>
    <s v="SABRE"/>
    <s v="RIBEIRO/ALEXANDRE MARQUES MR"/>
    <s v="Marcelo Pereira de Melo"/>
    <s v="Marcelo Pereira de Melo"/>
    <x v="246"/>
    <s v="BA07082025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215"/>
    <n v="104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909"/>
    <n v="23505027"/>
    <s v="ACC01"/>
    <x v="276"/>
    <d v="2025-08-07T18:36:39"/>
    <s v="0 a 02 dias"/>
    <s v="0 a 02 dias"/>
    <s v="WXPZXI"/>
    <s v="SABRE"/>
    <s v="SANTANA/ALLYSON DIEGO NUNES"/>
    <s v="Marcelo Pereira de Melo"/>
    <s v="Marcelo Pereira de Melo"/>
    <x v="247"/>
    <s v="KMEY2Q"/>
    <s v="-"/>
    <s v="OFF LINE"/>
    <s v="Cartão de crédito"/>
    <s v="Cartão AMEX"/>
    <s v="Aéreo"/>
    <s v="N"/>
    <s v="Grupo Basf"/>
    <s v="Basf Sa"/>
    <s v="-"/>
    <s v="Azul Linhas Aereas"/>
    <s v="KMEY2Q"/>
    <s v="FCM-OPE-SAO-PVI-BASF"/>
    <s v="-"/>
    <x v="216"/>
    <n v="900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686314"/>
    <n v="23490061"/>
    <s v="ACC01"/>
    <x v="277"/>
    <d v="2025-08-05T13:57:25"/>
    <s v="03 a 05 dias"/>
    <s v="03 a 05 dias"/>
    <s v="CQJFIGC"/>
    <s v="SABRE"/>
    <s v="BORGES/ROBSON JAYME MR"/>
    <s v="Marcelo Pereira de Melo"/>
    <s v="Marcelo Pereira de Melo"/>
    <x v="248"/>
    <s v="BA05082025"/>
    <s v="FAR"/>
    <s v="OFF LINE"/>
    <s v="Invoice"/>
    <s v="Faturado"/>
    <s v="Carro"/>
    <s v="N"/>
    <s v="Grupo Basf"/>
    <s v="Basf Sa"/>
    <s v="-"/>
    <s v="-"/>
    <s v="-"/>
    <s v="FCM-OPE-SAO-PVI-BASF"/>
    <s v="-"/>
    <x v="217"/>
    <n v="521.0599999999999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3010"/>
    <n v="23505127"/>
    <s v="ACC01"/>
    <x v="278"/>
    <d v="2025-08-07T18:36:38"/>
    <s v="0 a 02 dias"/>
    <s v="0 a 02 dias"/>
    <s v="FAIKKS"/>
    <s v="SABRE"/>
    <s v="DE MELO/KARLA TIEMI OURA ALVE"/>
    <s v="Itamar de Souza"/>
    <s v="Renata Godoy Sant Anna"/>
    <x v="249"/>
    <s v="FAIKKS"/>
    <s v="-"/>
    <s v="ON LINE"/>
    <s v="?"/>
    <s v="TKT"/>
    <s v="Aéreo"/>
    <s v="N"/>
    <s v="Grupo Basf"/>
    <s v="Basf Sa"/>
    <s v="-"/>
    <s v="Latam Airlines Brasil"/>
    <n v="2971622845"/>
    <s v="FCM-OPE-SAO-PVI-BASF"/>
    <s v="-"/>
    <x v="1"/>
    <n v="0"/>
    <n v="0"/>
    <n v="0"/>
    <n v="16.350000000000001"/>
    <n v="0"/>
    <n v="0"/>
    <s v="Reserva importada por HubTravel"/>
    <s v="Finalidade não preenchida! (ACC02)"/>
    <s v="SABRE"/>
    <s v="Finalidade"/>
    <s v="Falta de informação Gerencial"/>
    <s v="Dados do Fornecedor"/>
    <s v="Qualidade dos dados"/>
    <s v="KONTIK BUSINESS TRAVEL"/>
  </r>
  <r>
    <n v="22703010"/>
    <n v="23505128"/>
    <s v="ACC02"/>
    <x v="278"/>
    <d v="2025-08-07T18:36:38"/>
    <s v="0 a 02 dias"/>
    <s v="0 a 02 dias"/>
    <s v="FAIKKS"/>
    <s v="SABRE"/>
    <s v="DE MELO/KARLA TIEMI OURA ALVE"/>
    <s v="Itamar de Souza"/>
    <s v="Renata Godoy Sant Anna"/>
    <x v="249"/>
    <s v="FAIKKS"/>
    <s v="-"/>
    <s v="ON LINE"/>
    <s v="?"/>
    <s v="TKT"/>
    <s v="Aéreo"/>
    <s v="N"/>
    <s v="Grupo Basf"/>
    <s v="Basf Sa"/>
    <s v="-"/>
    <s v="Latam Airlines Brasil"/>
    <n v="2971622845"/>
    <s v="FCM-OPE-SAO-PVI-BASF"/>
    <s v="-"/>
    <x v="1"/>
    <n v="0"/>
    <n v="0"/>
    <n v="0"/>
    <n v="0"/>
    <n v="0"/>
    <n v="0"/>
    <s v="Reserva importada por HubTravel"/>
    <s v="Finalidade não preenchida! (ACC02)"/>
    <s v="SABRE"/>
    <s v="Finalidade"/>
    <s v="Falta de informação Gerencial"/>
    <s v="Dados do Fornecedor"/>
    <s v="Qualidade dos dados"/>
    <s v="KONTIK BUSINESS TRAVEL"/>
  </r>
  <r>
    <n v="22703622"/>
    <n v="23505717"/>
    <s v="ACC01"/>
    <x v="279"/>
    <d v="2025-08-07T19:04:06"/>
    <s v="0 a 02 dias"/>
    <s v="0 a 02 dias"/>
    <s v="IXFGOA"/>
    <s v="SABRE"/>
    <s v="LOPES/LUIZ HENRIQUE DE CARVAL"/>
    <s v="Itamar de Souza"/>
    <s v="Renata Godoy Sant Anna"/>
    <x v="250"/>
    <s v="REM0708251828"/>
    <s v="-"/>
    <s v="OFF LINE"/>
    <s v="?"/>
    <s v="TKT"/>
    <s v="Aéreo"/>
    <s v="N"/>
    <s v="Grupo Basf"/>
    <s v="Basf Sa"/>
    <s v="-"/>
    <s v="Latam Airlines Brasil"/>
    <n v="2971606827"/>
    <s v="FCM-OPE-SAO-PVI-BASF"/>
    <s v="-"/>
    <x v="1"/>
    <n v="0"/>
    <n v="0"/>
    <n v="0"/>
    <n v="0"/>
    <n v="0"/>
    <n v="0"/>
    <s v="Reserva importada por HubTravel"/>
    <s v="Verificação de bilhetes: Bilhete 2971606827 já sendo utilizado para este fornecedor."/>
    <s v="SABRE"/>
    <s v="Bilhete duplicado"/>
    <s v="Bilhete Já Contabilizado"/>
    <s v="Duplicidade de Contabilização"/>
    <s v="Qualidade dos dados"/>
    <s v="GRUPO KONTIK"/>
  </r>
  <r>
    <n v="22703625"/>
    <n v="23505721"/>
    <s v="ACC01"/>
    <x v="280"/>
    <d v="2025-08-07T19:04:09"/>
    <s v="0 a 02 dias"/>
    <s v="0 a 02 dias"/>
    <s v="FAIKKS-1"/>
    <s v="SABRE"/>
    <s v="DE MELO/KARLA TIEMI OURA ALVE"/>
    <s v="Itamar de Souza"/>
    <s v="Renata Godoy Sant Anna"/>
    <x v="249"/>
    <s v="REM0708251839"/>
    <s v="-"/>
    <s v="OFF LINE"/>
    <s v="?"/>
    <s v="TKT"/>
    <s v="Aéreo"/>
    <s v="N"/>
    <s v="Grupo Basf"/>
    <s v="Basf Sa"/>
    <s v="-"/>
    <s v="Latam Airlines Brasil"/>
    <n v="2971622845"/>
    <s v="FCM-OPE-SAO-PVI-BASF"/>
    <s v="-"/>
    <x v="1"/>
    <n v="0"/>
    <n v="0"/>
    <n v="0"/>
    <n v="16.350000000000001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03625"/>
    <n v="23505723"/>
    <s v="ACC02"/>
    <x v="280"/>
    <d v="2025-08-07T19:04:09"/>
    <s v="0 a 02 dias"/>
    <s v="0 a 02 dias"/>
    <s v="FAIKKS-1"/>
    <s v="SABRE"/>
    <s v="DE MELO/KARLA TIEMI OURA ALVE"/>
    <s v="Itamar de Souza"/>
    <s v="Renata Godoy Sant Anna"/>
    <x v="249"/>
    <s v="REM0708251839"/>
    <s v="-"/>
    <s v="OFF LINE"/>
    <s v="?"/>
    <s v="TKT"/>
    <s v="Aéreo"/>
    <s v="N"/>
    <s v="Grupo Basf"/>
    <s v="Basf Sa"/>
    <s v="-"/>
    <s v="Latam Airlines Brasil"/>
    <n v="2971622845"/>
    <s v="FCM-OPE-SAO-PVI-BASF"/>
    <s v="-"/>
    <x v="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02914"/>
    <n v="23505033"/>
    <s v="ACC01"/>
    <x v="281"/>
    <d v="2025-08-07T18:31:19"/>
    <s v="0 a 02 dias"/>
    <s v="0 a 02 dias"/>
    <s v="LZUBCV"/>
    <s v="SABRE"/>
    <s v="DE OLIVEIRA/ANDRE"/>
    <s v="Beatrys Ferreira Rocha"/>
    <s v="Marcelo de Freitas"/>
    <x v="211"/>
    <s v="BA0608251144"/>
    <s v="-"/>
    <s v="OFF LINE"/>
    <s v="Cartão de crédito"/>
    <s v="Cartão AMEX"/>
    <s v="Aéreo"/>
    <s v="N"/>
    <s v="Grupo Basf"/>
    <s v="Basf Sa"/>
    <s v="-"/>
    <s v="Latam Airlines Brasil"/>
    <n v="2971606798"/>
    <s v="FCM-OPE-SAO-PVI-BASF"/>
    <s v="-"/>
    <x v="218"/>
    <n v="59.54"/>
    <n v="421.08"/>
    <n v="0"/>
    <n v="59.54"/>
    <n v="0"/>
    <n v="0"/>
    <s v="Reserva importada por HubTravel"/>
    <s v="Verificação de bilhetes: Bilhete 2971606798 já sendo utilizado para este fornecedor."/>
    <s v="SABRE"/>
    <s v="Bilhete duplicado"/>
    <s v="Bilhete Já Contabilizado"/>
    <s v="Duplicidade de Contabilização"/>
    <s v="Qualidade dos dados"/>
    <s v="GRUPO KONTIK"/>
  </r>
  <r>
    <n v="22665512"/>
    <n v="23473416"/>
    <s v="ACC01"/>
    <x v="282"/>
    <d v="2025-08-05T07:36:18"/>
    <s v="03 a 05 dias"/>
    <s v="06 a 08 dias"/>
    <s v="DMAPRQT"/>
    <s v="SABRE"/>
    <s v="GABIN/ADOLFO LUIS MR"/>
    <s v="WS"/>
    <s v="WS"/>
    <x v="251"/>
    <s v="DMAPRQ"/>
    <s v="-"/>
    <s v="ON LINE"/>
    <s v="Cartão de crédito"/>
    <s v="Cartão de crédito"/>
    <s v="Hotel"/>
    <s v="N"/>
    <s v="Grupo Chanel"/>
    <s v="Chanel"/>
    <s v="-"/>
    <s v="Ruby Claire Hotel &amp; Bar"/>
    <s v="-"/>
    <s v="FCM-OPE-SAO-PVI-BTC-CONCUR-CHANEL"/>
    <s v="-"/>
    <x v="219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01932"/>
    <n v="23504080"/>
    <s v="ACC01"/>
    <x v="283"/>
    <d v="2025-08-07T16:18:29"/>
    <s v="0 a 02 dias"/>
    <s v="0 a 02 dias"/>
    <s v="MQBGBRT"/>
    <s v="SABRE"/>
    <s v="SOUZA DE AGUIAR/HICARO THALES"/>
    <s v="Marcia Pereira dos Santos Soares"/>
    <s v="Marcia Pereira dos Santos Soares"/>
    <x v="252"/>
    <s v="MQBGBR"/>
    <s v="-"/>
    <s v="ON LINE"/>
    <s v="Cartão de crédito"/>
    <s v="Cartão de crédito"/>
    <s v="Hotel"/>
    <s v="N"/>
    <s v="Grupo Chanel"/>
    <s v="Chanel"/>
    <s v="-"/>
    <s v="Holiday Inn Goiania"/>
    <s v="-"/>
    <s v="FCM-OPE-SAO-PVI-BTC-CONCUR-CHANEL"/>
    <s v="-"/>
    <x v="220"/>
    <n v="70.08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77867"/>
    <n v="23482464"/>
    <s v="ACC01"/>
    <x v="284"/>
    <d v="2025-08-05T07:36:20"/>
    <s v="03 a 05 dias"/>
    <s v="03 a 05 dias"/>
    <s v="EZHMTUT"/>
    <s v="SABRE"/>
    <s v="SANTOS GOMES II/LUANA SANTOS GOMES MISS"/>
    <s v="Karen Aparecida Ferreira"/>
    <s v="Karen Aparecida Ferreira"/>
    <x v="253"/>
    <s v="NI3107250906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77868"/>
    <n v="23482465"/>
    <s v="ACC01"/>
    <x v="285"/>
    <d v="2025-08-05T07:36:20"/>
    <s v="03 a 05 dias"/>
    <s v="03 a 05 dias"/>
    <s v="QLJMYNT"/>
    <s v="SABRE"/>
    <s v="JOSE CRISPIM/FABRICIO"/>
    <s v="Karen Aparecida Ferreira"/>
    <s v="Karen Aparecida Ferreira"/>
    <x v="254"/>
    <s v="NI3107250942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39240"/>
    <n v="23450273"/>
    <s v="ACC01"/>
    <x v="286"/>
    <d v="2025-07-28T16:36:05"/>
    <s v="09 a 15 dias"/>
    <s v="09 a 15 dias"/>
    <s v="WLHAOCT"/>
    <s v="SABRE"/>
    <s v="COSTA/MARCOS ROGERIO MR"/>
    <s v="Eliane da Silva Souza Paula"/>
    <s v="Eliane da Silva Souza Paula"/>
    <x v="255"/>
    <s v="LU"/>
    <s v="-"/>
    <s v="OFF LINE"/>
    <s v="Invoice"/>
    <s v="Faturado"/>
    <s v="Hotel"/>
    <s v="N"/>
    <s v="Grupo Sibelco"/>
    <s v="Sibelco - Pedra do Indaia - Matriz"/>
    <s v="-"/>
    <s v="-"/>
    <s v="-"/>
    <s v="FCM-OPE-SAO-PVI-BTC-CONCUR-SIBELCO"/>
    <s v="-"/>
    <x v="2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3487"/>
    <n v="23471535"/>
    <s v="ACC01"/>
    <x v="287"/>
    <d v="2025-08-05T07:33:41"/>
    <s v="03 a 05 dias"/>
    <s v="06 a 08 dias"/>
    <s v="EVWVYE"/>
    <s v="SABRE"/>
    <s v="DA SILVA/RODRIGO"/>
    <s v="WS"/>
    <s v="WS"/>
    <x v="256"/>
    <s v="EVWVYE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457250"/>
    <s v="FCM-OPE-SAO-PVI-BTC-CYTRIC-S&amp;P"/>
    <s v="-"/>
    <x v="1"/>
    <n v="0"/>
    <n v="0"/>
    <n v="0"/>
    <n v="0"/>
    <n v="0"/>
    <n v="0"/>
    <s v="Reserva importada por HubTravel"/>
    <s v="Tarifa máxim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666258"/>
    <n v="23474104"/>
    <s v="ACC01"/>
    <x v="288"/>
    <d v="2025-08-05T07:33:43"/>
    <s v="03 a 05 dias"/>
    <s v="06 a 08 dias"/>
    <s v="AMPJWB"/>
    <s v="SABRE"/>
    <s v="SILVA/ANNE MS"/>
    <s v="WS"/>
    <s v="WS"/>
    <x v="257"/>
    <s v="AMPJWB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509971"/>
    <s v="FCM-OPE-SAO-PVI-BTC-CYTRIC-S&amp;P"/>
    <s v="-"/>
    <x v="1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1015"/>
    <n v="23503212"/>
    <s v="ACC01"/>
    <x v="289"/>
    <d v="2025-08-08T05:24:24"/>
    <s v="0 a 02 dias"/>
    <s v="0 a 02 dias"/>
    <s v="OZGZRD"/>
    <s v="SABRE"/>
    <s v="MONTEIRO LOPES/JOAO VITOR"/>
    <s v="WS"/>
    <s v="WS"/>
    <x v="258"/>
    <s v="OZGZRD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2142860774"/>
    <s v="FCM-OPE-SAO-PVI-BTC-CYTRIC-S&amp;P"/>
    <s v="-"/>
    <x v="1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3434"/>
    <n v="23505533"/>
    <s v="ACC01"/>
    <x v="290"/>
    <d v="2025-08-08T05:48:40"/>
    <s v="0 a 02 dias"/>
    <s v="0 a 02 dias"/>
    <s v="ITRJBM"/>
    <s v="SABRE"/>
    <s v="DE ANDRADE BALTIERI/BEATRIZ"/>
    <s v="WS"/>
    <s v="WS"/>
    <x v="259"/>
    <s v="ITRJBM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913928"/>
    <s v="FCM-OPE-SAO-PVI-BTC-CYTRIC-S&amp;P"/>
    <s v="-"/>
    <x v="1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94925"/>
    <n v="23497775"/>
    <s v="ACC01"/>
    <x v="291"/>
    <d v="2025-08-06T17:13:09"/>
    <s v="0 a 02 dias"/>
    <s v="0 a 02 dias"/>
    <s v="KUZHSPT"/>
    <s v="SABRE"/>
    <s v="ALBUQUERQUE/GABRIEL"/>
    <s v="Marcia Pereira dos Santos Soares"/>
    <s v="Marcia Pereira dos Santos Soares"/>
    <x v="260"/>
    <s v="SP0608251610"/>
    <s v="-"/>
    <s v="OFF LINE"/>
    <s v="Invoice"/>
    <s v="Faturado"/>
    <s v="Hotel"/>
    <s v="N"/>
    <s v="Grupo Sep"/>
    <s v="Sep Global Informacoes do Brasil Ltda"/>
    <s v="Cliente FEE no POS"/>
    <s v="-"/>
    <s v="-"/>
    <s v="FCM-OPE-SAO-PVI-BTC-CYTRIC-S&amp;P"/>
    <s v="-"/>
    <x v="2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6034"/>
    <n v="23456182"/>
    <s v="ACC01"/>
    <x v="292"/>
    <d v="2025-07-29T16:51:07"/>
    <s v="09 a 15 dias"/>
    <s v="09 a 15 dias"/>
    <n v="19351827"/>
    <s v="GOVER"/>
    <s v="Gustavo FRANCA"/>
    <s v="Gover"/>
    <s v="Gover"/>
    <x v="261"/>
    <n v="4573938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222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646070"/>
    <n v="23456209"/>
    <s v="ACC01"/>
    <x v="293"/>
    <d v="2025-07-29T16:51:25"/>
    <s v="09 a 15 dias"/>
    <s v="09 a 15 dias"/>
    <n v="19352264"/>
    <s v="GOVER"/>
    <s v="Ana B CONCEICAO DE AMORIM COELHO"/>
    <s v="Gover"/>
    <s v="Gover"/>
    <x v="262"/>
    <n v="4573950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222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685472"/>
    <n v="23489284"/>
    <s v="ACC01"/>
    <x v="294"/>
    <d v="2025-08-05T12:31:56"/>
    <s v="03 a 05 dias"/>
    <s v="03 a 05 dias"/>
    <s v="H4575738"/>
    <s v="GOVER"/>
    <s v="Antonio INOCENCIO"/>
    <s v="Mayara de Oliveira Alencar"/>
    <s v="Mayara de Oliveira Alencar"/>
    <x v="263"/>
    <n v="4575738"/>
    <s v="-"/>
    <s v="OFF LINE"/>
    <s v="Invoice"/>
    <s v="Faturado"/>
    <s v="Hotel"/>
    <s v="N"/>
    <s v="Grupo Arcadis"/>
    <s v="Arcadis"/>
    <s v="-"/>
    <s v="-"/>
    <s v="-"/>
    <s v="FCM-OPE-SAO-PVI-ARCADIS"/>
    <s v="-"/>
    <x v="223"/>
    <n v="0"/>
    <n v="0"/>
    <n v="0"/>
    <n v="0"/>
    <n v="0"/>
    <n v="0"/>
    <s v="Reserva importada do sistema Gover. Id: 4575738"/>
    <s v="Fornecedor não preenchido! (ACC01)"/>
    <s v="GOVER"/>
    <s v="Falta de Fornecedor"/>
    <s v="Campo Fornecedor"/>
    <s v="Dados do Fornecedor"/>
    <s v="Sistêmico"/>
    <s v="GRUPO KONTIK"/>
  </r>
  <r>
    <n v="22694030"/>
    <n v="23496902"/>
    <s v="ACC01"/>
    <x v="295"/>
    <d v="2025-08-06T14:41:07"/>
    <s v="0 a 02 dias"/>
    <s v="0 a 02 dias"/>
    <s v="H4577238"/>
    <s v="GOVER"/>
    <s v="Leonardo CORDEIRO"/>
    <s v="Mayara de Oliveira Alencar"/>
    <s v="Mayara de Oliveira Alencar"/>
    <x v="264"/>
    <n v="4577238"/>
    <s v="-"/>
    <s v="OFF LINE"/>
    <s v="Invoice"/>
    <s v="Faturado"/>
    <s v="Hotel"/>
    <s v="N"/>
    <s v="Grupo Arcadis"/>
    <s v="Arcadis"/>
    <s v="-"/>
    <s v="-"/>
    <s v="-"/>
    <s v="FCM-OPE-SAO-PVI-ARCADIS"/>
    <s v="-"/>
    <x v="224"/>
    <n v="0"/>
    <n v="0"/>
    <n v="0"/>
    <n v="0"/>
    <n v="0"/>
    <n v="0"/>
    <s v="Reserva importada do sistema Gover. Id: 4577238"/>
    <s v="Fornecedor não preenchido! (ACC01)"/>
    <s v="GOVER"/>
    <s v="Falta de Fornecedor"/>
    <s v="Campo Fornecedor"/>
    <s v="Dados do Fornecedor"/>
    <s v="Sistêmico"/>
    <s v="GRUPO KONTIK"/>
  </r>
  <r>
    <n v="22687912"/>
    <n v="23491564"/>
    <s v="ACC01"/>
    <x v="296"/>
    <d v="2025-08-05T18:21:14"/>
    <s v="03 a 05 dias"/>
    <s v="03 a 05 dias"/>
    <s v="5F6N7L"/>
    <s v="TMS"/>
    <s v="ADRIANO SILVA"/>
    <s v="BEATRYZ DA SILVA COSTA"/>
    <s v="BEATRYZ DA SILVA COSTA"/>
    <x v="265"/>
    <n v="8026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5"/>
    <n v="0"/>
    <n v="0"/>
    <n v="0"/>
    <n v="0"/>
    <n v="0"/>
    <n v="0"/>
    <s v="Reserva importada do Sistema TMS. OS: 80263"/>
    <s v="Fornecedor não preenchido! (ACC01)"/>
    <s v="ARGO(TMS)"/>
    <s v="Falta de Fornecedor"/>
    <s v="Campo Fornecedor"/>
    <s v="Dados do Fornecedor"/>
    <s v="Sistêmico"/>
    <s v="GRUPO KONTIK"/>
  </r>
  <r>
    <n v="22695418"/>
    <n v="23498275"/>
    <s v="ACC01"/>
    <x v="297"/>
    <d v="2025-08-06T18:31:58"/>
    <s v="0 a 02 dias"/>
    <s v="0 a 02 dias"/>
    <s v="5G58HZ"/>
    <s v="TMS"/>
    <s v="JOSE AZEVEDO"/>
    <s v="Jessica Soares Teixeira"/>
    <s v="Jessica Soares Teixeira"/>
    <x v="266"/>
    <n v="7969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6"/>
    <n v="0"/>
    <n v="0"/>
    <n v="0"/>
    <n v="0"/>
    <n v="0"/>
    <n v="0"/>
    <s v="Reserva importada do Sistema TMS. OS: 79691"/>
    <s v="Fornecedor não preenchido! (ACC01)"/>
    <s v="ARGO(TMS)"/>
    <s v="Falta de Fornecedor"/>
    <s v="Campo Fornecedor"/>
    <s v="Dados do Fornecedor"/>
    <s v="Qualidade dos dados"/>
    <s v="KONTIK BUSINESS TRAVEL"/>
  </r>
  <r>
    <n v="22702771"/>
    <n v="23504897"/>
    <s v="ACC01"/>
    <x v="298"/>
    <d v="2025-08-07T18:31:17"/>
    <s v="0 a 02 dias"/>
    <s v="0 a 02 dias"/>
    <s v="5G6GDC"/>
    <s v="TMS"/>
    <s v="ISAIAS ALVES"/>
    <s v="Jessica Soares Teixeira"/>
    <s v="Jessica Soares Teixeira"/>
    <x v="9"/>
    <n v="79890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7"/>
    <n v="0"/>
    <n v="0"/>
    <n v="0"/>
    <n v="0"/>
    <n v="32"/>
    <n v="0"/>
    <s v="Reserva importada do Sistema TMS. OS: 79890"/>
    <s v="Fornecedor não preenchido! (ACC01)"/>
    <s v="ARGO(TMS)"/>
    <s v="Falta de Fornecedor"/>
    <s v="Campo Fornecedor"/>
    <s v="Dados do Fornecedor"/>
    <s v="Qualidade dos dados"/>
    <s v="KONTIK BUSINESS TRAVEL"/>
  </r>
  <r>
    <n v="22705909"/>
    <n v="23507540"/>
    <s v="ACC01"/>
    <x v="299"/>
    <d v="2025-08-08T06:05:54"/>
    <s v="0 a 02 dias"/>
    <s v="0 a 02 dias"/>
    <s v="5GCYPV"/>
    <s v="TMS"/>
    <s v="ANCHELIDA RIBEIRO"/>
    <s v="Tms"/>
    <s v="Tms"/>
    <x v="267"/>
    <n v="80760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8"/>
    <n v="0"/>
    <n v="0"/>
    <n v="0"/>
    <n v="0"/>
    <n v="8.61"/>
    <n v="0"/>
    <s v="Reserva importada do Sistema TMS. OS: 80760"/>
    <s v="Fornecedor não preenchido! (ACC01)"/>
    <s v="ARGO(TMS)"/>
    <s v="Falta de Fornecedor"/>
    <s v="Campo Fornecedor"/>
    <s v="Dados do Fornecedor"/>
    <s v="Sistêmico"/>
    <s v="GRUPO KONTIK"/>
  </r>
  <r>
    <n v="22705927"/>
    <n v="23507556"/>
    <s v="ACC01"/>
    <x v="300"/>
    <d v="2025-08-08T06:06:36"/>
    <s v="0 a 02 dias"/>
    <s v="0 a 02 dias"/>
    <s v="5GQJM4"/>
    <s v="TMS"/>
    <s v="CLICIA CARVALHO"/>
    <s v="Tms"/>
    <s v="Tms"/>
    <x v="268"/>
    <n v="7977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73"/>
    <n v="0"/>
    <n v="0"/>
    <n v="0"/>
    <n v="0"/>
    <n v="0"/>
    <n v="0"/>
    <s v="Reserva importada do Sistema TMS. OS: 79778"/>
    <s v="Fornecedor não preenchido! (ACC01)"/>
    <s v="ARGO(TMS)"/>
    <s v="Falta de Fornecedor"/>
    <s v="Campo Fornecedor"/>
    <s v="Dados do Fornecedor"/>
    <s v="Sistêmico"/>
    <s v="GRUPO KONTIK"/>
  </r>
  <r>
    <n v="22705931"/>
    <n v="23507560"/>
    <s v="ACC01"/>
    <x v="301"/>
    <d v="2025-08-08T06:06:53"/>
    <s v="0 a 02 dias"/>
    <s v="0 a 02 dias"/>
    <s v="5G5UP4"/>
    <s v="TMS"/>
    <s v="CLICIA CARVALHO"/>
    <s v="Tms"/>
    <s v="Tms"/>
    <x v="268"/>
    <n v="79774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73"/>
    <n v="0"/>
    <n v="0"/>
    <n v="0"/>
    <n v="0"/>
    <n v="0"/>
    <n v="0"/>
    <s v="Reserva importada do Sistema TMS. OS: 79774"/>
    <s v="Fornecedor não preenchido! (ACC01)"/>
    <s v="ARGO(TMS)"/>
    <s v="Falta de Fornecedor"/>
    <s v="Campo Fornecedor"/>
    <s v="Dados do Fornecedor"/>
    <s v="Sistêmico"/>
    <s v="GRUPO KONTIK"/>
  </r>
  <r>
    <n v="22677992"/>
    <n v="23482583"/>
    <s v="ACC01"/>
    <x v="302"/>
    <d v="2025-08-04T12:05:36"/>
    <s v="03 a 05 dias"/>
    <s v="03 a 05 dias"/>
    <s v="5FIECU"/>
    <s v="TMS"/>
    <s v="MARCELO ALMEIDA"/>
    <s v="Tms"/>
    <s v="Tms"/>
    <x v="269"/>
    <n v="79965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70"/>
    <n v="0"/>
    <n v="0"/>
    <n v="0"/>
    <n v="0"/>
    <n v="0"/>
    <n v="0"/>
    <s v="Reserva importada do Sistema TMS. OS: 79965"/>
    <s v="Fornecedor não preenchido! (ACC01)"/>
    <s v="ARGO(TMS)"/>
    <s v="Falta de Fornecedor"/>
    <s v="Campo Fornecedor"/>
    <s v="Dados do Fornecedor"/>
    <s v="Sistêmico"/>
    <s v="GRUPO KONTIK"/>
  </r>
  <r>
    <n v="22680436"/>
    <n v="23484905"/>
    <s v="ACC01"/>
    <x v="303"/>
    <d v="2025-08-04T18:15:54"/>
    <s v="03 a 05 dias"/>
    <s v="03 a 05 dias"/>
    <s v="5FYE0K"/>
    <s v="TMS"/>
    <s v="MERIELEN SILVA"/>
    <s v="Mauricio Almeida de Lima"/>
    <s v="Mauricio Almeida de Lima"/>
    <x v="146"/>
    <n v="798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9"/>
    <n v="0"/>
    <n v="0"/>
    <n v="0"/>
    <n v="0"/>
    <n v="0"/>
    <n v="0"/>
    <s v="Reserva importada do Sistema TMS. OS: 79826"/>
    <s v="Fornecedor não preenchido! (ACC01)"/>
    <s v="ARGO(TMS)"/>
    <s v="Falta de Fornecedor"/>
    <s v="Campo Fornecedor"/>
    <s v="Dados do Fornecedor"/>
    <s v="Qualidade dos dados"/>
    <s v="KONTIK BUSINESS TRAVEL"/>
  </r>
  <r>
    <n v="22702713"/>
    <n v="23504838"/>
    <s v="ACC01"/>
    <x v="304"/>
    <d v="2025-08-07T18:18:00"/>
    <s v="0 a 02 dias"/>
    <s v="0 a 02 dias"/>
    <s v="5GJBEC"/>
    <s v="TMS"/>
    <s v="ANA DIAS"/>
    <s v="Maria Clara Landeira Mezavila"/>
    <s v="Maria Clara Landeira Mezavila"/>
    <x v="270"/>
    <n v="805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7"/>
    <n v="0"/>
    <n v="0"/>
    <n v="0"/>
    <n v="0"/>
    <n v="32"/>
    <n v="0"/>
    <s v="Reserva importada do Sistema TMS. OS: 80526"/>
    <s v="Fornecedor não preenchido! (ACC01)"/>
    <s v="ARGO(TMS)"/>
    <s v="Falta de Fornecedor"/>
    <s v="Campo Fornecedor"/>
    <s v="Dados do Fornecedor"/>
    <s v="Qualidade dos dados"/>
    <s v="KONTIK BUSINESS TRAVEL"/>
  </r>
  <r>
    <n v="22702790"/>
    <n v="23504914"/>
    <s v="ACC01"/>
    <x v="305"/>
    <d v="2025-08-07T18:32:50"/>
    <s v="0 a 02 dias"/>
    <s v="0 a 02 dias"/>
    <s v="5GLHCD"/>
    <s v="TMS"/>
    <s v="ASSIS MONTI NETO"/>
    <s v="Giovanna Duarte Pereira"/>
    <s v="Giovanna Duarte Pereira"/>
    <x v="271"/>
    <n v="7904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0"/>
    <n v="0"/>
    <n v="0"/>
    <n v="0"/>
    <n v="0"/>
    <n v="0"/>
    <n v="0"/>
    <s v="Reserva importada do Sistema TMS. OS: 79043"/>
    <s v="Fornecedor não preenchido! (ACC01)"/>
    <s v="ARGO(TMS)"/>
    <s v="Falta de Fornecedor"/>
    <s v="Campo Fornecedor"/>
    <s v="Dados do Fornecedor"/>
    <s v="Qualidade dos dados"/>
    <s v="KONTIK BUSINESS TRAVEL"/>
  </r>
  <r>
    <n v="22682820"/>
    <n v="23487170"/>
    <s v="ACC01"/>
    <x v="306"/>
    <d v="2025-08-05T00:06:27"/>
    <s v="03 a 05 dias"/>
    <s v="03 a 05 dias"/>
    <s v="5F9PJK"/>
    <s v="TMS"/>
    <s v="MARIELLE SILVA"/>
    <s v="Tms"/>
    <s v="Tms"/>
    <x v="272"/>
    <n v="8010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1"/>
    <n v="0"/>
    <n v="0"/>
    <n v="0"/>
    <n v="0"/>
    <n v="0"/>
    <n v="0"/>
    <s v="Reserva importada do Sistema TMS. OS: 80108"/>
    <s v="Fornecedor não preenchido! (ACC01)"/>
    <s v="ARGO(TMS)"/>
    <s v="Falta de Fornecedor"/>
    <s v="Campo Fornecedor"/>
    <s v="Dados do Fornecedor"/>
    <s v="Sistêmico"/>
    <s v="GRUPO KONTIK"/>
  </r>
  <r>
    <n v="22678508"/>
    <n v="23483080"/>
    <s v="ACC01"/>
    <x v="307"/>
    <d v="2025-08-04T13:03:21"/>
    <s v="03 a 05 dias"/>
    <s v="03 a 05 dias"/>
    <s v="5FG0H7"/>
    <s v="TMS"/>
    <s v="MARCELO DE ALENCAR"/>
    <s v="Tms"/>
    <s v="Tms"/>
    <x v="273"/>
    <n v="21822"/>
    <s v="-"/>
    <s v="ON LINE"/>
    <s v="Cartão de crédito"/>
    <s v="Cartão de crédito"/>
    <s v="Hotel"/>
    <s v="N"/>
    <s v="Grupo Taesa"/>
    <s v="Saira Transmissora"/>
    <s v="-"/>
    <s v="-"/>
    <s v="-"/>
    <s v="KON-OPE-RIO-POS-TAESA"/>
    <s v="-"/>
    <x v="232"/>
    <n v="0"/>
    <n v="0"/>
    <n v="0"/>
    <n v="0"/>
    <n v="0"/>
    <n v="0"/>
    <s v="Reserva importada do Sistema TMS. OS: 21822"/>
    <s v="Fornecedor não preenchido! (ACC01)"/>
    <s v="ARGO(TMS)"/>
    <s v="Falta de Fornecedor"/>
    <s v="Campo Fornecedor"/>
    <s v="Dados do Fornecedor"/>
    <s v="Sistêmico"/>
    <s v="GRUPO KONTIK"/>
  </r>
  <r>
    <n v="22688697"/>
    <n v="23492340"/>
    <s v="ACC01"/>
    <x v="308"/>
    <d v="2025-08-05T19:04:13"/>
    <s v="03 a 05 dias"/>
    <s v="03 a 05 dias"/>
    <s v="GAQTUR2"/>
    <s v="TMS"/>
    <s v="JORGE TEIXEIRA LOURENCO"/>
    <s v="Michelly Andrade Leandro da Silva"/>
    <s v="Michelly Andrade Leandro da Silva"/>
    <x v="274"/>
    <n v="21209"/>
    <s v="-"/>
    <s v="ON LINE"/>
    <s v="Cartão de crédito"/>
    <s v="Cartão AMEX"/>
    <s v="Aéreo"/>
    <s v="N"/>
    <s v="Grupo Taesa"/>
    <s v="Sao Pedro"/>
    <s v="-"/>
    <s v="Gol Linhas Aereas"/>
    <n v="2142011770"/>
    <s v="KON-OPE-RIO-POS-TAESA"/>
    <s v="-"/>
    <x v="233"/>
    <n v="0"/>
    <n v="0"/>
    <n v="0"/>
    <n v="0"/>
    <n v="0"/>
    <n v="0"/>
    <s v="Reserva importada do Sistema TMS. OS: 21209"/>
    <s v="Verificação de bilhetes: Bilhete 2142011770 já sendo utilizado para este fornecedor."/>
    <s v="ARGO(TMS)"/>
    <s v="Bilhete duplicado"/>
    <s v="Bilhete Já Contabilizado"/>
    <s v="Duplicidade de Contabilização"/>
    <s v="Qualidade dos dados"/>
    <s v="GRUPO KONTIK"/>
  </r>
  <r>
    <n v="22703692"/>
    <n v="23505788"/>
    <s v="ACC01"/>
    <x v="309"/>
    <d v="2025-08-07T19:55:12"/>
    <s v="0 a 02 dias"/>
    <s v="0 a 02 dias"/>
    <s v="5GF9UE"/>
    <s v="TMS"/>
    <s v="SHEILA SAMPAIO DE SOUZA"/>
    <s v="Tms"/>
    <s v="Tms"/>
    <x v="275"/>
    <n v="22132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234"/>
    <n v="0"/>
    <n v="0"/>
    <n v="0"/>
    <n v="0"/>
    <n v="0"/>
    <n v="0"/>
    <s v="Reserva importada do Sistema TMS. OS: 22132"/>
    <s v="Fornecedor não preenchido! (ACC01)"/>
    <s v="ARGO(TMS)"/>
    <s v="Falta de Fornecedor"/>
    <s v="Campo Fornecedor"/>
    <s v="Dados do Fornecedor"/>
    <s v="Sistêmico"/>
    <s v="GRUPO KONTIK"/>
  </r>
  <r>
    <n v="22703730"/>
    <n v="23505818"/>
    <s v="ACC01"/>
    <x v="310"/>
    <d v="2025-08-07T19:56:37"/>
    <s v="0 a 02 dias"/>
    <s v="0 a 02 dias"/>
    <s v="5GWQK3"/>
    <s v="TMS"/>
    <s v="GABRIEL CERQUEIRA DE AZEVEDO"/>
    <s v="Tms"/>
    <s v="Tms"/>
    <x v="259"/>
    <n v="21900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235"/>
    <n v="0"/>
    <n v="0"/>
    <n v="0"/>
    <n v="0"/>
    <n v="0"/>
    <n v="0"/>
    <s v="Reserva importada do Sistema TMS. OS: 21900"/>
    <s v="Fornecedor não preenchido! (ACC01)"/>
    <s v="ARGO(TMS)"/>
    <s v="Falta de Fornecedor"/>
    <s v="Campo Fornecedor"/>
    <s v="Dados do Fornecedor"/>
    <s v="Sistêmico"/>
    <s v="GRUPO KONTIK"/>
  </r>
  <r>
    <n v="22679477"/>
    <n v="23483931"/>
    <s v="ACC01"/>
    <x v="311"/>
    <d v="2025-08-04T15:40:49"/>
    <s v="03 a 05 dias"/>
    <s v="03 a 05 dias"/>
    <n v="19421049"/>
    <s v="GOVER"/>
    <s v="APRIGIO MACHADO DE OLIVEIRA"/>
    <s v="Gover"/>
    <s v="Gover"/>
    <x v="276"/>
    <n v="4576364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236"/>
    <n v="9.35"/>
    <n v="0"/>
    <n v="0"/>
    <n v="0"/>
    <n v="0"/>
    <n v="0"/>
    <s v="Reserva importada do sistema Gover. Id: 4576364"/>
    <s v="Fornecedor não preenchido! (ACC01)"/>
    <s v="GOVER"/>
    <s v="Falta de Fornecedor"/>
    <s v="Campo Fornecedor"/>
    <s v="Dados do Fornecedor"/>
    <s v="Sistêmico"/>
    <s v="GRUPO KONTIK"/>
  </r>
  <r>
    <n v="22683082"/>
    <n v="23487429"/>
    <s v="ACC01"/>
    <x v="312"/>
    <d v="2025-08-05T00:40:30"/>
    <s v="03 a 05 dias"/>
    <s v="03 a 05 dias"/>
    <s v="5FH4I8"/>
    <s v="TMS"/>
    <s v="EDUARDO RODRIGUES"/>
    <s v="Tms"/>
    <s v="Tms"/>
    <x v="277"/>
    <n v="4698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37"/>
    <n v="0"/>
    <n v="0"/>
    <n v="0"/>
    <n v="0"/>
    <n v="81.44"/>
    <n v="0"/>
    <s v="Reserva importada do Sistema TMS. OS: 4698"/>
    <s v="Fornecedor não preenchido! (ACC01)"/>
    <s v="ARGO(TMS)"/>
    <s v="Falta de Fornecedor"/>
    <s v="Campo Fornecedor"/>
    <s v="Dados do Fornecedor"/>
    <s v="Qualidade dos dados"/>
    <s v="KONTIK BUSINESS TRAVEL"/>
  </r>
  <r>
    <n v="22690270"/>
    <n v="23493788"/>
    <s v="ACC01"/>
    <x v="313"/>
    <d v="2025-08-06T00:16:34"/>
    <s v="0 a 02 dias"/>
    <s v="0 a 02 dias"/>
    <s v="5G05F0"/>
    <s v="TMS"/>
    <s v="THIAGO LUIS SOMBRA"/>
    <s v="Jennifer dos Santos Guedes de Oliveira"/>
    <s v="Jennifer dos Santos Guedes de Oliveira"/>
    <x v="278"/>
    <n v="4723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38"/>
    <n v="0"/>
    <n v="0"/>
    <n v="0"/>
    <n v="0"/>
    <n v="81.7"/>
    <n v="0"/>
    <s v="Reserva importada do Sistema TMS. OS: 4723"/>
    <s v="Fornecedor não preenchido! (ACC01)"/>
    <s v="ARGO(TMS)"/>
    <s v="Falta de Fornecedor"/>
    <s v="Campo Fornecedor"/>
    <s v="Dados do Fornecedor"/>
    <s v="Qualidade dos dados"/>
    <s v="KONTIK BUSINESS TRAVEL"/>
  </r>
  <r>
    <n v="22695828"/>
    <n v="23498680"/>
    <s v="ACC01"/>
    <x v="314"/>
    <d v="2025-08-06T19:06:01"/>
    <s v="0 a 02 dias"/>
    <s v="0 a 02 dias"/>
    <s v="5G958Z"/>
    <s v="TMS"/>
    <s v="FERNANDO NEUSTEIN"/>
    <s v="Jennifer dos Santos Guedes de Oliveira"/>
    <s v="Jennifer dos Santos Guedes de Oliveira"/>
    <x v="279"/>
    <n v="4744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39"/>
    <n v="0"/>
    <n v="0"/>
    <n v="0"/>
    <n v="0"/>
    <n v="81.11"/>
    <n v="0"/>
    <s v="Reserva importada do Sistema TMS. OS: 4744"/>
    <s v="Fornecedor não preenchido! (ACC01)"/>
    <s v="ARGO(TMS)"/>
    <s v="Falta de Fornecedor"/>
    <s v="Campo Fornecedor"/>
    <s v="Dados do Fornecedor"/>
    <s v="Qualidade dos dados"/>
    <s v="KONTIK BUSINESS TRAVEL"/>
  </r>
  <r>
    <n v="22680984"/>
    <n v="23485461"/>
    <s v="ACC01"/>
    <x v="315"/>
    <d v="2025-08-04T19:06:52"/>
    <s v="03 a 05 dias"/>
    <s v="03 a 05 dias"/>
    <s v="5F892K"/>
    <s v="TMS"/>
    <s v="DANIEL FERNANDES DA SILVA"/>
    <s v="Tms"/>
    <s v="Tms"/>
    <x v="280"/>
    <n v="38895"/>
    <s v="Mogi das Cruzes / "/>
    <s v="ON LINE"/>
    <s v="Invoice"/>
    <s v="Faturado"/>
    <s v="Carro"/>
    <s v="N"/>
    <s v="Grupo Motiva"/>
    <s v="Riosp"/>
    <s v="-"/>
    <s v="-"/>
    <s v="-"/>
    <s v="KON-OPE-SAO-PVI-CCR"/>
    <s v="-"/>
    <x v="240"/>
    <n v="0"/>
    <n v="0"/>
    <n v="0"/>
    <n v="0"/>
    <n v="0"/>
    <n v="0"/>
    <s v="Reserva importada do Sistema TMS. OS: 38895"/>
    <s v="Fornecedor não preenchido! (ACC01)"/>
    <s v="ARGO(TMS)"/>
    <s v="Falta de Fornecedor"/>
    <s v="Campo Fornecedor"/>
    <s v="Dados do Fornecedor"/>
    <s v="Qualidade dos dados"/>
    <s v="KONTIK BUSINESS TRAVEL"/>
  </r>
  <r>
    <n v="22703409"/>
    <n v="23505508"/>
    <s v="ACC01"/>
    <x v="316"/>
    <d v="2025-08-07T19:25:41"/>
    <s v="0 a 02 dias"/>
    <s v="0 a 02 dias"/>
    <s v="5GT4YE"/>
    <s v="TMS"/>
    <s v="LUIS CARLOS BUSTOS"/>
    <s v="Tms"/>
    <s v="Tms"/>
    <x v="281"/>
    <n v="39212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241"/>
    <n v="0"/>
    <n v="0"/>
    <n v="0"/>
    <n v="0"/>
    <n v="0"/>
    <n v="0"/>
    <s v="Reserva importada do Sistema TMS. OS: 39212"/>
    <s v="Fornecedor não preenchido! (ACC01)"/>
    <s v="ARGO(TMS)"/>
    <s v="Falta de Fornecedor"/>
    <s v="Campo Fornecedor"/>
    <s v="Dados do Fornecedor"/>
    <s v="Qualidade dos dados"/>
    <s v="KONTIK BUSINESS TRAVEL"/>
  </r>
  <r>
    <n v="22703413"/>
    <n v="23505512"/>
    <s v="ACC01"/>
    <x v="317"/>
    <d v="2025-08-07T19:25:41"/>
    <s v="0 a 02 dias"/>
    <s v="0 a 02 dias"/>
    <s v="5GHR6C"/>
    <s v="TMS"/>
    <s v="FERNANDO HENRIQUE DE MARCHI"/>
    <s v="Tms"/>
    <s v="Tms"/>
    <x v="82"/>
    <n v="39207"/>
    <s v="São Paulo / SAO"/>
    <s v="ON LINE"/>
    <s v="Invoice"/>
    <s v="Faturado"/>
    <s v="Carro"/>
    <s v="N"/>
    <s v="Grupo Motiva"/>
    <s v="Viasul"/>
    <s v="-"/>
    <s v="-"/>
    <s v="-"/>
    <s v="KON-OPE-SAO-PVI-CCR"/>
    <s v="-"/>
    <x v="242"/>
    <n v="0"/>
    <n v="0"/>
    <n v="0"/>
    <n v="0"/>
    <n v="0"/>
    <n v="0"/>
    <s v="Reserva importada do Sistema TMS. OS: 39207"/>
    <s v="Fornecedor não preenchido! (ACC01)"/>
    <s v="ARGO(TMS)"/>
    <s v="Falta de Fornecedor"/>
    <s v="Campo Fornecedor"/>
    <s v="Dados do Fornecedor"/>
    <s v="Qualidade dos dados"/>
    <s v="KONTIK BUSINESS TRAVEL"/>
  </r>
  <r>
    <n v="22703416"/>
    <n v="23505515"/>
    <s v="ACC01"/>
    <x v="318"/>
    <d v="2025-08-07T19:25:41"/>
    <s v="0 a 02 dias"/>
    <s v="0 a 02 dias"/>
    <s v="5GUFYE"/>
    <s v="TMS"/>
    <s v="CAROLINA MASA COELHO"/>
    <s v="Tms"/>
    <s v="Tms"/>
    <x v="282"/>
    <n v="39204"/>
    <s v="Guarulhos / GRU"/>
    <s v="ON LINE"/>
    <s v="Invoice"/>
    <s v="Faturado"/>
    <s v="Carro"/>
    <s v="N"/>
    <s v="Grupo Motiva"/>
    <s v="Motiva Filial"/>
    <s v="-"/>
    <s v="-"/>
    <s v="-"/>
    <s v="KON-OPE-SAO-PVI-CCR"/>
    <s v="-"/>
    <x v="243"/>
    <n v="0"/>
    <n v="0"/>
    <n v="0"/>
    <n v="0"/>
    <n v="0"/>
    <n v="0"/>
    <s v="Reserva importada do Sistema TMS. OS: 39204"/>
    <s v="Fornecedor não preenchido! (ACC01)"/>
    <s v="ARGO(TMS)"/>
    <s v="Falta de Fornecedor"/>
    <s v="Campo Fornecedor"/>
    <s v="Dados do Fornecedor"/>
    <s v="Qualidade dos dados"/>
    <s v="KONTIK BUSINESS TRAVEL"/>
  </r>
  <r>
    <n v="22703417"/>
    <n v="23505516"/>
    <s v="ACC01"/>
    <x v="319"/>
    <d v="2025-08-07T19:25:41"/>
    <s v="0 a 02 dias"/>
    <s v="0 a 02 dias"/>
    <s v="5G8FY3"/>
    <s v="TMS"/>
    <s v="IGOR BONIN MORENO"/>
    <s v="Tms"/>
    <s v="Tms"/>
    <x v="283"/>
    <n v="39203"/>
    <s v="Campo Grande / CGR"/>
    <s v="ON LINE"/>
    <s v="Invoice"/>
    <s v="Faturado"/>
    <s v="Carro"/>
    <s v="N"/>
    <s v="Grupo Motiva"/>
    <s v="Motiva Filial"/>
    <s v="-"/>
    <s v="-"/>
    <s v="-"/>
    <s v="KON-OPE-SAO-PVI-CCR"/>
    <s v="-"/>
    <x v="244"/>
    <n v="0"/>
    <n v="0"/>
    <n v="0"/>
    <n v="0"/>
    <n v="0"/>
    <n v="0"/>
    <s v="Reserva importada do Sistema TMS. OS: 39203"/>
    <s v="Fornecedor não preenchido! (ACC01)"/>
    <s v="ARGO(TMS)"/>
    <s v="Falta de Fornecedor"/>
    <s v="Campo Fornecedor"/>
    <s v="Dados do Fornecedor"/>
    <s v="Qualidade dos dados"/>
    <s v="KONTIK BUSINESS TRAVEL"/>
  </r>
  <r>
    <n v="22543021"/>
    <n v="23369176"/>
    <s v="ACC01"/>
    <x v="320"/>
    <d v="2025-07-10T12:40:29"/>
    <s v="24 a 31 dias"/>
    <s v="24 a 31 dias"/>
    <s v="5C5569"/>
    <s v="TMS"/>
    <s v="FELIPE DELMIRO PEREIRA"/>
    <s v="Tms"/>
    <s v="Tms"/>
    <x v="284"/>
    <n v="36965"/>
    <s v="Araucaria / CWB"/>
    <s v="ON LINE"/>
    <s v="Invoice"/>
    <s v="Faturado"/>
    <s v="Carro"/>
    <s v="N"/>
    <s v="Grupo Motiva"/>
    <s v="Bloco Sul"/>
    <s v="-"/>
    <s v="-"/>
    <s v="-"/>
    <s v="KON-OPE-SAO-PVI-CCR"/>
    <s v="-"/>
    <x v="245"/>
    <n v="0"/>
    <n v="0"/>
    <n v="0"/>
    <n v="0"/>
    <n v="0"/>
    <n v="0"/>
    <s v="Reserva importada do Sistema TMS. OS: 36965"/>
    <s v="Fornecedor não preenchido! (ACC01)"/>
    <s v="ARGO(TMS)"/>
    <s v="Falta de Fornecedor"/>
    <s v="Campo Fornecedor"/>
    <s v="Dados do Fornecedor"/>
    <s v="Qualidade dos dados"/>
    <s v="KONTIK BUSINESS TRAVEL"/>
  </r>
  <r>
    <n v="22585270"/>
    <n v="23406972"/>
    <s v="ACC01"/>
    <x v="321"/>
    <d v="2025-08-04T13:10:19"/>
    <s v="03 a 05 dias"/>
    <s v="16 a 23 dias"/>
    <s v="5DY96L"/>
    <s v="TMS"/>
    <s v="LUIS ANTONIO GONCALVES"/>
    <s v="Tms"/>
    <s v="Tms"/>
    <x v="285"/>
    <n v="37762"/>
    <s v="-"/>
    <s v="ON LINE"/>
    <s v="Invoice"/>
    <s v="Faturado"/>
    <s v="Hotel"/>
    <s v="S"/>
    <s v="Grupo Motiva"/>
    <s v="Motiva Filial"/>
    <s v="-"/>
    <s v="Mercure Curitiba Sete de Setembro Inativo"/>
    <s v="-"/>
    <s v="KON-OPE-SAO-PVI-CCR"/>
    <s v="-"/>
    <x v="246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s v="ARGO(TMS)"/>
    <s v="Contrato de fornecedor"/>
    <s v="Análise Cadastro"/>
    <s v="Dados do Fornecedor"/>
    <s v="Qualidade dos dados"/>
    <s v="KONTIK BUSINESS TRAVEL"/>
  </r>
  <r>
    <n v="22693219"/>
    <n v="23496159"/>
    <s v="ACC01"/>
    <x v="322"/>
    <d v="2025-08-06T13:03:41"/>
    <s v="0 a 02 dias"/>
    <s v="0 a 02 dias"/>
    <s v="5G7SZ1"/>
    <s v="TMS"/>
    <s v="MAURO RAMOS CARNEIRO"/>
    <s v="Tms"/>
    <s v="Tms"/>
    <x v="286"/>
    <n v="39067"/>
    <s v="-"/>
    <s v="ON LINE"/>
    <s v="Cartão de crédito"/>
    <s v="Cartão de crédito"/>
    <s v="Hotel"/>
    <s v="N"/>
    <s v="Grupo Motiva"/>
    <s v="Concessionaria da Rodovia dos Lagos S/a"/>
    <s v="-"/>
    <s v="-"/>
    <s v="-"/>
    <s v="KON-OPE-SAO-PVI-CCR"/>
    <s v="-"/>
    <x v="247"/>
    <n v="0"/>
    <n v="0"/>
    <n v="0"/>
    <n v="0"/>
    <n v="17"/>
    <n v="0"/>
    <s v="Reserva importada do Sistema TMS. OS: 39067"/>
    <s v="Fornecedor não preenchido! (ACC01)"/>
    <s v="ARGO(TMS)"/>
    <s v="Falta de Fornecedor"/>
    <s v="Campo Fornecedor"/>
    <s v="Dados do Fornecedor"/>
    <s v="Sistêmico"/>
    <s v="GRUPO KONTIK"/>
  </r>
  <r>
    <n v="22647132"/>
    <n v="23457207"/>
    <s v="ACC01"/>
    <x v="323"/>
    <d v="2025-07-29T23:41:24"/>
    <s v="09 a 15 dias"/>
    <s v="09 a 15 dias"/>
    <s v="5FTJTA"/>
    <s v="TMS"/>
    <s v="FERNAO CAMARGO"/>
    <s v="Flavio Roberto Ferreira"/>
    <s v="Flavio Roberto Ferreira"/>
    <x v="287"/>
    <n v="38477"/>
    <s v="-"/>
    <s v="OFF LINE"/>
    <s v="Invoice"/>
    <s v="Faturado"/>
    <s v="Serviço"/>
    <s v="N"/>
    <s v="Grupo Motiva"/>
    <s v="Motiva Matriz"/>
    <s v="-"/>
    <s v="-"/>
    <s v="-"/>
    <s v="KON-OPE-SAO-PVI-CCR"/>
    <s v="-"/>
    <x v="248"/>
    <n v="0"/>
    <n v="0"/>
    <n v="0"/>
    <n v="0"/>
    <n v="0"/>
    <n v="0"/>
    <s v="Reserva importada do Sistema TMS. OS: 38477"/>
    <s v="Fornecedor não preenchido! (ACC01)"/>
    <s v="ARGO(TMS)"/>
    <s v="Falta de Fornecedor"/>
    <s v="Campo Fornecedor"/>
    <s v="Dados do Fornecedor"/>
    <s v="Qualidade dos dados"/>
    <s v="KONTIK BUSINESS TRAVEL"/>
  </r>
  <r>
    <n v="22627061"/>
    <n v="23441593"/>
    <s v="ACC01"/>
    <x v="324"/>
    <d v="2025-07-25T19:06:04"/>
    <s v="09 a 15 dias"/>
    <s v="09 a 15 dias"/>
    <s v="5EJS4K"/>
    <s v="TMS"/>
    <s v="FERNAO CAMARGO"/>
    <s v="Flavio Roberto Ferreira"/>
    <s v="Flavio Roberto Ferreira"/>
    <x v="288"/>
    <n v="38265"/>
    <s v="-"/>
    <s v="OFF LINE"/>
    <s v="Invoice"/>
    <s v="Faturado"/>
    <s v="Serviço"/>
    <s v="N"/>
    <s v="Grupo Motiva"/>
    <s v="Motiva Matriz"/>
    <s v="-"/>
    <s v="-"/>
    <s v="-"/>
    <s v="KON-OPE-SAO-PVI-CCR"/>
    <s v="-"/>
    <x v="249"/>
    <n v="0"/>
    <n v="0"/>
    <n v="0"/>
    <n v="0"/>
    <n v="0"/>
    <n v="0"/>
    <s v="Reserva importada do Sistema TMS. OS: 38265"/>
    <s v="Fornecedor não preenchido! (ACC01)"/>
    <s v="ARGO(TMS)"/>
    <s v="Falta de Fornecedor"/>
    <s v="Campo Fornecedor"/>
    <s v="Dados do Fornecedor"/>
    <s v="Qualidade dos dados"/>
    <s v="KONTIK BUSINESS TRAVEL"/>
  </r>
  <r>
    <n v="22651123"/>
    <n v="23460705"/>
    <s v="ACC01"/>
    <x v="325"/>
    <d v="2025-07-30T13:06:39"/>
    <s v="09 a 15 dias"/>
    <s v="09 a 15 dias"/>
    <s v="5F2WCX"/>
    <s v="TMS"/>
    <s v="DIOGO ALVES RIOS"/>
    <s v="Catia Leite Oliveira"/>
    <s v="Catia Leite Oliveira"/>
    <x v="289"/>
    <n v="38484"/>
    <s v="-"/>
    <s v="OFF LINE"/>
    <s v="Invoice"/>
    <s v="Faturado"/>
    <s v="Serviço"/>
    <s v="N"/>
    <s v="Grupo Motiva"/>
    <s v="Motiva Matriz"/>
    <s v="-"/>
    <s v="-"/>
    <s v="-"/>
    <s v="KON-OPE-SAO-PVI-CCR"/>
    <s v="-"/>
    <x v="250"/>
    <n v="0"/>
    <n v="0"/>
    <n v="0"/>
    <n v="0"/>
    <n v="0"/>
    <n v="0"/>
    <s v="Reserva importada do Sistema TMS. OS: 38484"/>
    <s v="Fornecedor não preenchido! (ACC01)"/>
    <s v="ARGO(TMS)"/>
    <s v="Falta de Fornecedor"/>
    <s v="Campo Fornecedor"/>
    <s v="Dados do Fornecedor"/>
    <s v="Qualidade dos dados"/>
    <s v="KONTIK BUSINESS TRAVEL"/>
  </r>
  <r>
    <n v="22696337"/>
    <n v="23499186"/>
    <s v="ACC01"/>
    <x v="326"/>
    <d v="2025-08-06T20:10:40"/>
    <s v="0 a 02 dias"/>
    <s v="0 a 02 dias"/>
    <s v="5GK2AW"/>
    <s v="TMS"/>
    <s v="PAULO FERNANDO DA SILVA"/>
    <s v="Tms"/>
    <s v="Tms"/>
    <x v="290"/>
    <n v="25436"/>
    <s v="-"/>
    <s v="ON LINE"/>
    <s v="Cartão de crédito"/>
    <s v="Cartão de crédito"/>
    <s v="Hotel"/>
    <s v="N"/>
    <s v="Grupo Uol"/>
    <s v="Colt - Compass. Uol Tecnologia"/>
    <s v="-"/>
    <s v="-"/>
    <s v="-"/>
    <s v="KON-OPE-RIO-PVI-UOL"/>
    <s v="-"/>
    <x v="251"/>
    <n v="0"/>
    <n v="0"/>
    <n v="0"/>
    <n v="0"/>
    <n v="0"/>
    <n v="0"/>
    <s v="Reserva importada do Sistema TMS. OS: 25436"/>
    <s v="Fornecedor não preenchido! (ACC01)"/>
    <s v="ARGO(TMS)"/>
    <s v="Falta de Fornecedor"/>
    <s v="Campo Fornecedor"/>
    <s v="Dados do Fornecedor"/>
    <s v="Sistêmico"/>
    <s v="GRUPO KONTIK"/>
  </r>
  <r>
    <n v="22705178"/>
    <n v="23507119"/>
    <s v="ACC01"/>
    <x v="327"/>
    <d v="2025-08-08T00:26:16"/>
    <s v="0 a 02 dias"/>
    <s v="0 a 02 dias"/>
    <s v="5G540R"/>
    <s v="TMS"/>
    <s v="RODRIGO MATIAS DOS SANTOS"/>
    <s v="Tms"/>
    <s v="Tms"/>
    <x v="291"/>
    <n v="25570"/>
    <s v="Campo Grande / CGR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2"/>
    <n v="0"/>
    <n v="0"/>
    <n v="0"/>
    <n v="0"/>
    <n v="0"/>
    <n v="0"/>
    <s v="Reserva importada do Sistema TMS. OS: 25570"/>
    <s v="Fornecedor não preenchido! (ACC01)"/>
    <s v="ARGO(TMS)"/>
    <s v="Falta de Fornecedor"/>
    <s v="Campo Fornecedor"/>
    <s v="Dados do Fornecedor"/>
    <s v="Qualidade dos dados"/>
    <s v="KONTIK BUSINESS TRAVEL"/>
  </r>
  <r>
    <n v="22705184"/>
    <n v="23507125"/>
    <s v="ACC01"/>
    <x v="328"/>
    <d v="2025-08-08T00:26:16"/>
    <s v="0 a 02 dias"/>
    <s v="0 a 02 dias"/>
    <s v="5G6VM4"/>
    <s v="TMS"/>
    <s v="SILVANO RODRIGUES FILHO"/>
    <s v="Tms"/>
    <s v="Tms"/>
    <x v="292"/>
    <n v="25555"/>
    <s v="São Paulo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3"/>
    <n v="0"/>
    <n v="0"/>
    <n v="0"/>
    <n v="0"/>
    <n v="0"/>
    <n v="0"/>
    <s v="Reserva importada do Sistema TMS. OS: 25555"/>
    <s v="Fornecedor não preenchido! (ACC01)"/>
    <s v="ARGO(TMS)"/>
    <s v="Falta de Fornecedor"/>
    <s v="Campo Fornecedor"/>
    <s v="Dados do Fornecedor"/>
    <s v="Qualidade dos dados"/>
    <s v="KONTIK BUSINESS TRAVEL"/>
  </r>
  <r>
    <n v="22703897"/>
    <n v="23505980"/>
    <s v="ACC01"/>
    <x v="329"/>
    <d v="2025-08-07T20:16:45"/>
    <s v="0 a 02 dias"/>
    <s v="0 a 02 dias"/>
    <s v="5GQOK3"/>
    <s v="TMS"/>
    <s v="JANNSEN ARAUJO DE OLIVEIRA"/>
    <s v="Tms"/>
    <s v="Tms"/>
    <x v="102"/>
    <n v="25565"/>
    <s v="Maceio / MCZ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4"/>
    <n v="0"/>
    <n v="0"/>
    <n v="0"/>
    <n v="0"/>
    <n v="0"/>
    <n v="0"/>
    <s v="Reserva importada do Sistema TMS. OS: 25565"/>
    <s v="Fornecedor não preenchido! (ACC01)"/>
    <s v="ARGO(TMS)"/>
    <s v="Falta de Fornecedor"/>
    <s v="Campo Fornecedor"/>
    <s v="Dados do Fornecedor"/>
    <s v="Qualidade dos dados"/>
    <s v="KONTIK BUSINESS TRAVEL"/>
  </r>
  <r>
    <n v="22693466"/>
    <n v="23496391"/>
    <s v="ACC01"/>
    <x v="330"/>
    <d v="2025-08-06T13:47:42"/>
    <s v="0 a 02 dias"/>
    <s v="0 a 02 dias"/>
    <s v="5GOG2Q"/>
    <s v="TMS"/>
    <s v="MARCELA TARACHUCK ANDRADE"/>
    <s v="Tms"/>
    <s v="Tms"/>
    <x v="293"/>
    <n v="25344"/>
    <s v="Nova Lima / BHZ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55"/>
    <n v="0"/>
    <n v="0"/>
    <n v="0"/>
    <n v="0"/>
    <n v="0"/>
    <n v="0"/>
    <s v="Reserva importada do Sistema TMS. OS: 25344"/>
    <s v="Fornecedor não preenchido! (ACC01)"/>
    <s v="ARGO(TMS)"/>
    <s v="Falta de Fornecedor"/>
    <s v="Campo Fornecedor"/>
    <s v="Dados do Fornecedor"/>
    <s v="Qualidade dos dados"/>
    <s v="KONTIK BUSINESS TRAVEL"/>
  </r>
  <r>
    <n v="22688920"/>
    <n v="23492546"/>
    <s v="ACC01"/>
    <x v="331"/>
    <d v="2025-08-05T20:25:45"/>
    <s v="03 a 05 dias"/>
    <s v="03 a 05 dias"/>
    <s v="5GZZCP"/>
    <s v="TMS"/>
    <s v="FRANCISCO BATISTA"/>
    <s v="NATALIA BARRAL DE OLIVEIRA"/>
    <s v="NATALIA BARRAL DE OLIVEIRA"/>
    <x v="294"/>
    <n v="24266"/>
    <s v="-"/>
    <s v="OFF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256"/>
    <n v="0"/>
    <n v="0"/>
    <n v="0"/>
    <n v="0"/>
    <n v="0"/>
    <n v="0"/>
    <s v="Reserva importada do Sistema TMS. OS: 24266"/>
    <s v="Fornecedor não preenchido! (ACC01)"/>
    <s v="ARGO(TMS)"/>
    <s v="Falta de Fornecedor"/>
    <s v="Campo Fornecedor"/>
    <s v="Dados do Fornecedor"/>
    <s v="Qualidade dos dados"/>
    <s v="KONTIK BUSINESS TRAVEL"/>
  </r>
  <r>
    <n v="22666001"/>
    <n v="23473868"/>
    <s v="ACC01"/>
    <x v="332"/>
    <d v="2025-08-05T09:30:04"/>
    <s v="03 a 05 dias"/>
    <s v="06 a 08 dias"/>
    <s v="HVNNBV"/>
    <s v="GOVER"/>
    <s v="Camila Robinson"/>
    <s v="Gover"/>
    <s v="Gover"/>
    <x v="295"/>
    <n v="4575821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57"/>
    <n v="310.60000000000002"/>
    <n v="0"/>
    <n v="0"/>
    <n v="0"/>
    <n v="0"/>
    <n v="0"/>
    <s v="Reserva importada do sistema Gover. Id: 4575821"/>
    <s v="Fornecedor não preenchido! (ACC01)"/>
    <s v="GOVER"/>
    <s v="Falta de Fornecedor"/>
    <s v="Campo Fornecedor"/>
    <s v="Dados do Fornecedor"/>
    <s v="Sistêmico"/>
    <s v="GRUPO KONTIK"/>
  </r>
  <r>
    <n v="22625813"/>
    <n v="23440422"/>
    <s v="ACC01"/>
    <x v="333"/>
    <d v="2025-07-30T08:14:30"/>
    <s v="09 a 15 dias"/>
    <s v="09 a 15 dias"/>
    <n v="19314360"/>
    <s v="GOVER"/>
    <s v="Renata Vanni de Lima"/>
    <s v="Gover"/>
    <s v="Gover"/>
    <x v="296"/>
    <n v="4572443"/>
    <s v="-"/>
    <s v="ON LINE"/>
    <s v="Cartão de crédito"/>
    <s v="Cartão de crédito"/>
    <s v="Hotel"/>
    <s v="N"/>
    <s v="Grupo British American Tobacco"/>
    <s v="Fundacao Albino Souza Cruz"/>
    <s v="-"/>
    <s v="Radisson Oscar Freire"/>
    <s v="-"/>
    <s v="FCM-OPE-SAO-PVI-BAT"/>
    <s v="-"/>
    <x v="258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702666"/>
    <n v="23504790"/>
    <s v="ACC01"/>
    <x v="334"/>
    <d v="2025-08-08T04:15:22"/>
    <s v="0 a 02 dias"/>
    <s v="0 a 02 dias"/>
    <s v="RES019617-7037"/>
    <s v="GOVER"/>
    <s v="Andre  Luciano Ribeiro de  Almeida"/>
    <s v="Gover"/>
    <s v="Gover"/>
    <x v="297"/>
    <n v="4577876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59"/>
    <n v="0"/>
    <n v="0"/>
    <n v="0"/>
    <n v="0"/>
    <n v="0"/>
    <n v="0"/>
    <s v="Reserva importada do sistema Gover. Id: 4577876"/>
    <s v="Fornecedor não preenchido! (ACC01)"/>
    <s v="GOVER"/>
    <s v="Falta de Fornecedor"/>
    <s v="Campo Fornecedor"/>
    <s v="Dados do Fornecedor"/>
    <s v="Sistêmico"/>
    <s v="GRUPO KONTIK"/>
  </r>
  <r>
    <n v="22684233"/>
    <n v="23488139"/>
    <s v="ACC01"/>
    <x v="335"/>
    <d v="2025-08-05T12:08:26"/>
    <s v="03 a 05 dias"/>
    <s v="03 a 05 dias"/>
    <s v="ESQAIZ"/>
    <s v="GOVER"/>
    <s v="Ana Carolina Neu"/>
    <s v="Gover"/>
    <s v="Gover"/>
    <x v="298"/>
    <n v="4576964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0"/>
    <n v="39.5"/>
    <n v="0"/>
    <n v="0"/>
    <n v="0"/>
    <n v="0"/>
    <n v="0"/>
    <s v="Reserva importada do sistema Gover. Id: 4576964"/>
    <s v="Fornecedor não preenchido! (ACC01)"/>
    <s v="GOVER"/>
    <s v="Falta de Fornecedor"/>
    <s v="Campo Fornecedor"/>
    <s v="Dados do Fornecedor"/>
    <s v="Sistêmico"/>
    <s v="GRUPO KONTIK"/>
  </r>
  <r>
    <n v="22699083"/>
    <n v="23501381"/>
    <s v="ACC01"/>
    <x v="336"/>
    <d v="2025-08-08T03:10:18"/>
    <s v="0 a 02 dias"/>
    <s v="0 a 02 dias"/>
    <s v="FBLUHN"/>
    <s v="GOVER"/>
    <s v="Cleverson Lucas Da Silva Costa"/>
    <s v="Gover"/>
    <s v="Gover"/>
    <x v="299"/>
    <n v="4578311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1"/>
    <n v="33.64"/>
    <n v="0"/>
    <n v="0"/>
    <n v="0"/>
    <n v="0"/>
    <n v="0"/>
    <s v="Reserva importada do sistema Gover. Id: 4578311"/>
    <s v="Fornecedor não preenchido! (ACC01)"/>
    <s v="GOVER"/>
    <s v="Falta de Fornecedor"/>
    <s v="Campo Fornecedor"/>
    <s v="Dados do Fornecedor"/>
    <s v="Sistêmico"/>
    <s v="GRUPO KONTIK"/>
  </r>
  <r>
    <n v="22699084"/>
    <n v="23501382"/>
    <s v="ACC01"/>
    <x v="337"/>
    <d v="2025-08-08T03:10:18"/>
    <s v="0 a 02 dias"/>
    <s v="0 a 02 dias"/>
    <s v="NMVUEO"/>
    <s v="GOVER"/>
    <s v="Daniel Faria De Souza"/>
    <s v="Gover"/>
    <s v="Gover"/>
    <x v="299"/>
    <n v="4578311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1"/>
    <n v="33.64"/>
    <n v="0"/>
    <n v="0"/>
    <n v="0"/>
    <n v="0"/>
    <n v="0"/>
    <s v="Reserva importada do sistema Gover. Id: 4578311"/>
    <s v="Fornecedor não preenchido! (ACC01)"/>
    <s v="GOVER"/>
    <s v="Falta de Fornecedor"/>
    <s v="Campo Fornecedor"/>
    <s v="Dados do Fornecedor"/>
    <s v="Sistêmico"/>
    <s v="GRUPO KONTIK"/>
  </r>
  <r>
    <n v="22681663"/>
    <n v="23486127"/>
    <s v="ACC01"/>
    <x v="338"/>
    <d v="2025-08-05T11:57:45"/>
    <s v="03 a 05 dias"/>
    <s v="03 a 05 dias"/>
    <s v="JZNUTV"/>
    <s v="GOVER"/>
    <s v="Diego Antunes Campos"/>
    <s v="Gover"/>
    <s v="Gover"/>
    <x v="300"/>
    <n v="4576775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62"/>
    <n v="13.2"/>
    <n v="0"/>
    <n v="0"/>
    <n v="0"/>
    <n v="0"/>
    <n v="0"/>
    <s v="Reserva importada do sistema Gover. Id: 4576775"/>
    <s v="Fornecedor não preenchido! (ACC01)"/>
    <s v="GOVER"/>
    <s v="Falta de Fornecedor"/>
    <s v="Campo Fornecedor"/>
    <s v="Dados do Fornecedor"/>
    <s v="Sistêmico"/>
    <s v="GRUPO KONTIK"/>
  </r>
  <r>
    <n v="22686934"/>
    <n v="23490619"/>
    <s v="ACC01"/>
    <x v="339"/>
    <d v="2025-08-06T03:35:07"/>
    <s v="0 a 02 dias"/>
    <s v="03 a 05 dias"/>
    <n v="19418900"/>
    <s v="GOVER"/>
    <s v="Joeliton De Jesus Santos"/>
    <s v="Gover"/>
    <s v="Gover"/>
    <x v="301"/>
    <n v="457623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3"/>
    <n v="0"/>
    <n v="0"/>
    <n v="0"/>
    <n v="0"/>
    <n v="0"/>
    <n v="0"/>
    <s v="Reserva importada do sistema Gover. Id: 4576232"/>
    <s v="Fornecedor não preenchido! (ACC01)"/>
    <s v="GOVER"/>
    <s v="Falta de Fornecedor"/>
    <s v="Campo Fornecedor"/>
    <s v="Dados do Fornecedor"/>
    <s v="Sistêmico"/>
    <s v="GRUPO KONTIK"/>
  </r>
  <r>
    <n v="22686935"/>
    <n v="23490620"/>
    <s v="ACC01"/>
    <x v="340"/>
    <d v="2025-08-06T03:35:07"/>
    <s v="0 a 02 dias"/>
    <s v="03 a 05 dias"/>
    <n v="19418901"/>
    <s v="GOVER"/>
    <s v="Joeliton De Jesus Santos"/>
    <s v="Gover"/>
    <s v="Gover"/>
    <x v="301"/>
    <n v="457623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3"/>
    <n v="0"/>
    <n v="0"/>
    <n v="0"/>
    <n v="0"/>
    <n v="0"/>
    <n v="0"/>
    <s v="Reserva importada do sistema Gover. Id: 4576232"/>
    <s v="Fornecedor não preenchido! (ACC01)"/>
    <s v="GOVER"/>
    <s v="Falta de Fornecedor"/>
    <s v="Campo Fornecedor"/>
    <s v="Dados do Fornecedor"/>
    <s v="Sistêmico"/>
    <s v="GRUPO KONTIK"/>
  </r>
  <r>
    <n v="22686936"/>
    <n v="23490621"/>
    <s v="ACC01"/>
    <x v="341"/>
    <d v="2025-08-06T03:35:07"/>
    <s v="0 a 02 dias"/>
    <s v="03 a 05 dias"/>
    <n v="19418902"/>
    <s v="GOVER"/>
    <s v="Joeliton De Jesus Santos"/>
    <s v="Gover"/>
    <s v="Gover"/>
    <x v="301"/>
    <n v="457623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3"/>
    <n v="0"/>
    <n v="0"/>
    <n v="0"/>
    <n v="0"/>
    <n v="0"/>
    <n v="0"/>
    <s v="Reserva importada do sistema Gover. Id: 4576232"/>
    <s v="Fornecedor não preenchido! (ACC01)"/>
    <s v="GOVER"/>
    <s v="Falta de Fornecedor"/>
    <s v="Campo Fornecedor"/>
    <s v="Dados do Fornecedor"/>
    <s v="Sistêmico"/>
    <s v="GRUPO KONTIK"/>
  </r>
  <r>
    <n v="22686937"/>
    <n v="23490622"/>
    <s v="ACC01"/>
    <x v="342"/>
    <d v="2025-08-06T03:35:07"/>
    <s v="0 a 02 dias"/>
    <s v="03 a 05 dias"/>
    <n v="19418903"/>
    <s v="GOVER"/>
    <s v="Joeliton De Jesus Santos"/>
    <s v="Gover"/>
    <s v="Gover"/>
    <x v="301"/>
    <n v="457623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3"/>
    <n v="0"/>
    <n v="0"/>
    <n v="0"/>
    <n v="0"/>
    <n v="0"/>
    <n v="0"/>
    <s v="Reserva importada do sistema Gover. Id: 4576232"/>
    <s v="Fornecedor não preenchido! (ACC01)"/>
    <s v="GOVER"/>
    <s v="Falta de Fornecedor"/>
    <s v="Campo Fornecedor"/>
    <s v="Dados do Fornecedor"/>
    <s v="Sistêmico"/>
    <s v="GRUPO KONTIK"/>
  </r>
  <r>
    <n v="22686939"/>
    <n v="23490623"/>
    <s v="ACC01"/>
    <x v="343"/>
    <d v="2025-08-06T03:35:07"/>
    <s v="0 a 02 dias"/>
    <s v="03 a 05 dias"/>
    <n v="19418904"/>
    <s v="GOVER"/>
    <s v="Joeliton De Jesus Santos"/>
    <s v="Gover"/>
    <s v="Gover"/>
    <x v="301"/>
    <n v="457623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3"/>
    <n v="0"/>
    <n v="0"/>
    <n v="0"/>
    <n v="0"/>
    <n v="0"/>
    <n v="0"/>
    <s v="Reserva importada do sistema Gover. Id: 4576232"/>
    <s v="Fornecedor não preenchido! (ACC01)"/>
    <s v="GOVER"/>
    <s v="Falta de Fornecedor"/>
    <s v="Campo Fornecedor"/>
    <s v="Dados do Fornecedor"/>
    <s v="Sistêmico"/>
    <s v="GRUPO KONTIK"/>
  </r>
  <r>
    <n v="22687042"/>
    <n v="23490724"/>
    <s v="ACC01"/>
    <x v="344"/>
    <d v="2025-08-06T03:41:53"/>
    <s v="0 a 02 dias"/>
    <s v="03 a 05 dias"/>
    <s v="IQCDKV"/>
    <s v="GOVER"/>
    <s v="Carlos Gustavo Rocha Laranjeira"/>
    <s v="Gover"/>
    <s v="Gover"/>
    <x v="302"/>
    <n v="4577471"/>
    <s v="-"/>
    <s v="ON LINE"/>
    <s v="Cartão de crédito"/>
    <s v="Cartão de crédito"/>
    <s v="Hotel"/>
    <s v="N"/>
    <s v="Grupo British American Tobacco"/>
    <s v="Souza Cruz"/>
    <s v="-"/>
    <s v="Ibis Styles Boa Vista - Inativo"/>
    <s v="-"/>
    <s v="FCM-OPE-SAO-PVI-BAT"/>
    <s v="-"/>
    <x v="264"/>
    <n v="36.72"/>
    <n v="0"/>
    <n v="0"/>
    <n v="0"/>
    <n v="0"/>
    <n v="0"/>
    <s v="Reserva importada do sistema Gover. Id: 4577471"/>
    <s v="Não foi possível encontrar um contrato válido para o fornecedor 49032 (Código fornecedor) "/>
    <s v="GOVER"/>
    <s v="Contrato de fornecedor"/>
    <s v="Análise Cadastro"/>
    <s v="Dados do Fornecedor"/>
    <s v="Qualidade dos dados"/>
    <s v="KONTIK BUSINESS TRAVEL"/>
  </r>
  <r>
    <n v="22652259"/>
    <n v="23461782"/>
    <s v="ACC01"/>
    <x v="345"/>
    <d v="2025-07-31T13:05:51"/>
    <s v="06 a 08 dias"/>
    <s v="09 a 15 dias"/>
    <s v="H4574134"/>
    <s v="GOVER"/>
    <s v="Lucas Polese Correa"/>
    <s v="Francisca Maria Mangueira"/>
    <s v="Francisca Maria Mangueira"/>
    <x v="70"/>
    <n v="4574134"/>
    <s v="-"/>
    <s v="OFF LINE"/>
    <s v="Cartão de crédito"/>
    <s v="Cartão de crédito"/>
    <s v="Hotel"/>
    <s v="N"/>
    <s v="Grupo British American Tobacco"/>
    <s v="Souza Cruz"/>
    <s v="-"/>
    <s v="Pousada Afonso Claudio"/>
    <s v="-"/>
    <s v="FCM-OPE-SAO-PVI-BAT"/>
    <s v="-"/>
    <x v="265"/>
    <n v="0"/>
    <n v="0"/>
    <n v="0"/>
    <n v="0"/>
    <n v="0"/>
    <n v="0"/>
    <s v="Reserva importada do sistema Gover. Id: 4574134"/>
    <s v="Fornecedor não preenchido! (ACC02)"/>
    <s v="GOVER"/>
    <s v="Falta de Fornecedor"/>
    <s v="Campo Fornecedor"/>
    <s v="Dados do Fornecedor"/>
    <s v="Sistêmico"/>
    <s v="GRUPO KONTIK"/>
  </r>
  <r>
    <n v="22652259"/>
    <n v="23461783"/>
    <s v="ACC02"/>
    <x v="345"/>
    <d v="2025-07-31T13:05:51"/>
    <s v="06 a 08 dias"/>
    <s v="09 a 15 dias"/>
    <s v="H4574134"/>
    <s v="GOVER"/>
    <s v="Carlos Eduardo Lima Gomes"/>
    <s v="Francisca Maria Mangueira"/>
    <s v="Francisca Maria Mangueira"/>
    <x v="70"/>
    <n v="4574134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5"/>
    <n v="0"/>
    <n v="0"/>
    <n v="0"/>
    <n v="0"/>
    <n v="0"/>
    <n v="0"/>
    <s v="Reserva importada do sistema Gover. Id: 4574134"/>
    <s v="Fornecedor não preenchido! (ACC02)"/>
    <s v="GOVER"/>
    <s v="Falta de Fornecedor"/>
    <s v="Campo Fornecedor"/>
    <s v="Dados do Fornecedor"/>
    <s v="Sistêmico"/>
    <s v="GRUPO KONTIK"/>
  </r>
  <r>
    <n v="22700889"/>
    <n v="23503100"/>
    <s v="ACC01"/>
    <x v="346"/>
    <d v="2025-08-07T13:03:24"/>
    <s v="0 a 02 dias"/>
    <s v="0 a 02 dias"/>
    <s v="HHDBPMT"/>
    <s v="SABRE"/>
    <s v="PINHEIRO/ALANA"/>
    <s v="Ana Clara Brime"/>
    <s v="Ana Clara Brime"/>
    <x v="303"/>
    <s v="L9P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276"/>
    <n v="23504414"/>
    <s v="ACC01"/>
    <x v="347"/>
    <d v="2025-08-07T17:15:48"/>
    <s v="0 a 02 dias"/>
    <s v="0 a 02 dias"/>
    <s v="AJOJHOT"/>
    <s v="SABRE"/>
    <s v="FREITAS NETO/JOSE"/>
    <s v="Ana Clara Brime"/>
    <s v="Ana Clara Brime"/>
    <x v="92"/>
    <s v="L9M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1596"/>
    <n v="23461155"/>
    <s v="ACC01"/>
    <x v="348"/>
    <d v="2025-07-30T13:30:32"/>
    <s v="09 a 15 dias"/>
    <s v="09 a 15 dias"/>
    <s v="NINLCFT"/>
    <s v="SABRE"/>
    <s v="JACINTO/ALESSANDRA"/>
    <s v="Ana Clara Brime"/>
    <s v="Ana Clara Brime"/>
    <x v="304"/>
    <s v="L96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4219"/>
    <n v="23454435"/>
    <s v="ACC01"/>
    <x v="349"/>
    <d v="2025-07-29T11:15:50"/>
    <s v="09 a 15 dias"/>
    <s v="09 a 15 dias"/>
    <s v="UATHIXT"/>
    <s v="SABRE"/>
    <s v="MADRUGA/ADENILSON"/>
    <s v="Ana Clara Brime"/>
    <s v="Ana Clara Brime"/>
    <x v="305"/>
    <s v="L96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9258"/>
    <n v="23501528"/>
    <s v="ACC01"/>
    <x v="350"/>
    <d v="2025-08-07T09:27:13"/>
    <s v="0 a 02 dias"/>
    <s v="0 a 02 dias"/>
    <s v="GFLVWET"/>
    <s v="SABRE"/>
    <s v="BERGELT/LISIA"/>
    <s v="Ana Clara Brime"/>
    <s v="Ana Clara Brime"/>
    <x v="306"/>
    <s v="L9P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343"/>
    <n v="23497197"/>
    <s v="ACC01"/>
    <x v="351"/>
    <d v="2025-08-06T15:46:09"/>
    <s v="0 a 02 dias"/>
    <s v="0 a 02 dias"/>
    <s v="MGOUWQT"/>
    <s v="SABRE"/>
    <s v="SILVA/WELLINGTON"/>
    <s v="Ana Clara Brime"/>
    <s v="Ana Clara Brime"/>
    <x v="307"/>
    <s v="L9K3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3008"/>
    <n v="23505125"/>
    <s v="ACC01"/>
    <x v="352"/>
    <d v="2025-08-07T18:36:47"/>
    <s v="0 a 02 dias"/>
    <s v="0 a 02 dias"/>
    <s v="SPLCVC"/>
    <s v="SABRE"/>
    <s v="ANTONINI LOURENCO/LUIS CESAR"/>
    <s v="Flavia Constanzi do Nascimento"/>
    <s v="CORA TORLAI CIRINO"/>
    <x v="308"/>
    <s v="SPLCVC"/>
    <s v="-"/>
    <s v="ON LINE"/>
    <s v="Invoice"/>
    <s v="Faturado"/>
    <s v="Aéreo"/>
    <s v="N"/>
    <s v="Grupo Nzte"/>
    <s v="Consulado Geral da Nova Zelandia"/>
    <s v="-"/>
    <s v="Latam Airlines Brasil"/>
    <n v="2971592839"/>
    <s v="FCM-OPE-SAO-PVI-BTC FCM"/>
    <s v="-"/>
    <x v="271"/>
    <n v="59.54"/>
    <n v="403.65"/>
    <n v="0"/>
    <n v="59.54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2703334"/>
    <n v="23505442"/>
    <s v="ACC01"/>
    <x v="353"/>
    <d v="2025-08-07T19:21:22"/>
    <s v="0 a 02 dias"/>
    <s v="0 a 02 dias"/>
    <s v="5GCXYC"/>
    <s v="TMS"/>
    <s v="CARLOS OLIVEIRA"/>
    <s v="Tms"/>
    <s v="Tms"/>
    <x v="309"/>
    <n v="386"/>
    <s v="Taubate / QHP"/>
    <s v="ON LINE"/>
    <s v="Invoice"/>
    <s v="Faturado"/>
    <s v="Carro"/>
    <s v="N"/>
    <s v="Grupo Zupper"/>
    <s v="Zupper Viagens Internas"/>
    <s v="-"/>
    <s v="-"/>
    <s v="-"/>
    <s v="KON-OPE-SAO-SUP-KONTIK DESPESAS"/>
    <s v="-"/>
    <x v="272"/>
    <n v="0"/>
    <n v="0"/>
    <n v="0"/>
    <n v="0"/>
    <n v="0"/>
    <n v="0"/>
    <s v="Reserva importada do Sistema TMS. OS: 386"/>
    <s v="Fornecedor não preenchido! (ACC01)"/>
    <s v="ZUPPER"/>
    <s v="Falta de Fornecedor"/>
    <s v="Campo Fornecedor"/>
    <s v="Dados do Fornecedor"/>
    <s v="Qualidade dos dados"/>
    <s v="ZUPPER VIAGENS"/>
  </r>
  <r>
    <n v="22694934"/>
    <n v="23497788"/>
    <s v="ACC01"/>
    <x v="354"/>
    <d v="2025-08-06T17:24:45"/>
    <s v="0 a 02 dias"/>
    <s v="0 a 02 dias"/>
    <s v="LXVMIH"/>
    <s v="SABRE"/>
    <s v="SOUZA/RODRIGO GENTIL GONCALVES DE"/>
    <s v="WS"/>
    <s v="WS"/>
    <x v="310"/>
    <s v="LXVMIH"/>
    <s v="-"/>
    <s v="ON LINE"/>
    <s v="Cartão de crédito"/>
    <s v="Cartão AMEX"/>
    <s v="Aéreo"/>
    <s v="N"/>
    <s v="Grupo Atento"/>
    <s v="Atento Brasil S/a"/>
    <s v="-"/>
    <s v="Gol Linhas Aereas"/>
    <n v="2142757360"/>
    <s v="FCM-OPE-POA-PVI-ATENTO"/>
    <s v="-"/>
    <x v="273"/>
    <n v="120.57"/>
    <n v="0"/>
    <n v="0"/>
    <n v="0"/>
    <n v="0"/>
    <n v="0"/>
    <s v="Reserva importada por HubTravel"/>
    <s v="Projeto não preenchido! (ACC01)"/>
    <s v="SABRE"/>
    <s v="Projeto"/>
    <s v="Falta de informação Gerencial"/>
    <s v="Dados do Fornecedor"/>
    <s v="Qualidade dos dados"/>
    <s v="KONTIK BUSINESS TRAVEL"/>
  </r>
  <r>
    <n v="22700754"/>
    <n v="23502970"/>
    <s v="ACC01"/>
    <x v="355"/>
    <d v="2025-08-07T12:53:08"/>
    <s v="0 a 02 dias"/>
    <s v="0 a 02 dias"/>
    <s v="DOTTHU1"/>
    <s v="TMS"/>
    <s v="SUELMA ROSA DOS SANTOS"/>
    <s v="Tami Maron"/>
    <s v="Tami Maron"/>
    <x v="311"/>
    <n v="1293"/>
    <s v="-"/>
    <s v="OFF LINE"/>
    <s v="Cartão de crédito"/>
    <s v="Cartão AMEX"/>
    <s v="Aéreo"/>
    <s v="N"/>
    <s v="Grupo Pepsico"/>
    <s v="Pepsico"/>
    <s v="-"/>
    <s v="Latam Airlines Brasil"/>
    <n v="2971585096"/>
    <s v="KON-OPE-POA-PVI-PEPSICO"/>
    <s v="-"/>
    <x v="1"/>
    <n v="30.95"/>
    <n v="0"/>
    <n v="0"/>
    <n v="0"/>
    <n v="0"/>
    <n v="0"/>
    <s v="Reserva importada do Sistema TMS. OS: 1293"/>
    <s v="Verificação de bilhetes: Bilhete 2971585096 já sendo utilizado para este fornecedor."/>
    <s v="ARGO(TMS)"/>
    <s v="Bilhete duplicado"/>
    <s v="Bilhete Já Contabilizado"/>
    <s v="Duplicidade de Contabilização"/>
    <s v="Qualidade dos dados"/>
    <s v="GRUPO KONTIK"/>
  </r>
  <r>
    <n v="22693310"/>
    <n v="23496252"/>
    <s v="ACC01"/>
    <x v="356"/>
    <d v="2025-08-06T13:20:50"/>
    <s v="0 a 02 dias"/>
    <s v="0 a 02 dias"/>
    <s v="5GSKQQ"/>
    <s v="TMS"/>
    <s v="RAPHAEL WOREK CYJON"/>
    <s v="Thais Matte Andreis"/>
    <s v="Thais Matte Andreis"/>
    <x v="312"/>
    <n v="1251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274"/>
    <n v="0"/>
    <n v="0"/>
    <n v="0"/>
    <n v="0"/>
    <n v="0"/>
    <n v="0"/>
    <s v="Reserva importada do Sistema TMS. OS: 1251"/>
    <s v="Fornecedor não preenchido! (ACC01)"/>
    <s v="ARGO(TMS)"/>
    <s v="Falta de Fornecedor"/>
    <s v="Campo Fornecedor"/>
    <s v="Dados do Fornecedor"/>
    <s v="Qualidade dos dados"/>
    <s v="KONTIK BUSINESS TRAVEL"/>
  </r>
  <r>
    <n v="22678475"/>
    <n v="23483048"/>
    <s v="ACC01"/>
    <x v="357"/>
    <d v="2025-08-04T12:58:59"/>
    <s v="03 a 05 dias"/>
    <s v="03 a 05 dias"/>
    <s v="5F6KG7"/>
    <s v="TMS"/>
    <s v="RAPHAEL WOREK CYJON"/>
    <s v="Thais Matte Andreis"/>
    <s v="Thais Matte Andreis"/>
    <x v="313"/>
    <n v="1136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275"/>
    <n v="0"/>
    <n v="0"/>
    <n v="0"/>
    <n v="0"/>
    <n v="0"/>
    <n v="0"/>
    <s v="Reserva importada do Sistema TMS. OS: 1136"/>
    <s v="Fornecedor não preenchido! (ACC01)"/>
    <s v="ARGO(TMS)"/>
    <s v="Falta de Fornecedor"/>
    <s v="Campo Fornecedor"/>
    <s v="Dados do Fornecedor"/>
    <s v="Qualidade dos dados"/>
    <s v="KONTIK BUSINESS TRAVEL"/>
  </r>
  <r>
    <n v="22678480"/>
    <n v="23483052"/>
    <s v="ACC01"/>
    <x v="358"/>
    <d v="2025-08-04T13:02:47"/>
    <s v="03 a 05 dias"/>
    <s v="03 a 05 dias"/>
    <s v="5FNIGJ"/>
    <s v="TMS"/>
    <s v="PRISCILA SILVEIRA"/>
    <s v="Tms"/>
    <s v="Tms"/>
    <x v="314"/>
    <n v="1133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276"/>
    <n v="0"/>
    <n v="0"/>
    <n v="0"/>
    <n v="0"/>
    <n v="29.86"/>
    <n v="0"/>
    <s v="Reserva importada do Sistema TMS. OS: 1133"/>
    <s v="Fornecedor não preenchido! (ACC01)"/>
    <s v="ARGO(TMS)"/>
    <s v="Falta de Fornecedor"/>
    <s v="Campo Fornecedor"/>
    <s v="Dados do Fornecedor"/>
    <s v="Sistêmico"/>
    <s v="GRUPO KONTIK"/>
  </r>
  <r>
    <n v="22678488"/>
    <n v="23483060"/>
    <s v="ACC01"/>
    <x v="359"/>
    <d v="2025-08-04T13:03:00"/>
    <s v="03 a 05 dias"/>
    <s v="03 a 05 dias"/>
    <s v="5FGLGU"/>
    <s v="TMS"/>
    <s v="MARCELA SILVEIRA"/>
    <s v="Tms"/>
    <s v="Tms"/>
    <x v="315"/>
    <n v="1108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277"/>
    <n v="0"/>
    <n v="0"/>
    <n v="0"/>
    <n v="0"/>
    <n v="902.5"/>
    <n v="0"/>
    <s v="Reserva importada do Sistema TMS. OS: 1108"/>
    <s v="Fornecedor não preenchido! (ACC01)"/>
    <s v="ARGO(TMS)"/>
    <s v="Falta de Fornecedor"/>
    <s v="Campo Fornecedor"/>
    <s v="Dados do Fornecedor"/>
    <s v="Sistêmico"/>
    <s v="GRUPO KONTIK"/>
  </r>
  <r>
    <n v="22702799"/>
    <n v="23504923"/>
    <s v="ACC01"/>
    <x v="360"/>
    <d v="2025-08-07T18:35:50"/>
    <s v="0 a 02 dias"/>
    <s v="0 a 02 dias"/>
    <s v="5GH7ED"/>
    <s v="TMS"/>
    <s v="SILVIO ROBERTO CAMPOS"/>
    <s v="Tms"/>
    <s v="Tms"/>
    <x v="316"/>
    <n v="2724"/>
    <s v="Natal / NAT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78"/>
    <n v="0"/>
    <n v="0"/>
    <n v="0"/>
    <n v="0"/>
    <n v="0"/>
    <n v="0"/>
    <s v="Reserva importada do Sistema TMS. OS: 2724"/>
    <s v="Fornecedor não preenchido! (ACC01)"/>
    <s v="ARGO(TMS)"/>
    <s v="Falta de Fornecedor"/>
    <s v="Campo Fornecedor"/>
    <s v="Dados do Fornecedor"/>
    <s v="Qualidade dos dados"/>
    <s v="KONTIK BUSINESS TRAVEL"/>
  </r>
  <r>
    <n v="22702811"/>
    <n v="23504934"/>
    <s v="ACC01"/>
    <x v="361"/>
    <d v="2025-08-07T18:36:11"/>
    <s v="0 a 02 dias"/>
    <s v="0 a 02 dias"/>
    <s v="5GWK3E"/>
    <s v="TMS"/>
    <s v="IGOR CAMPOS"/>
    <s v="Tms"/>
    <s v="Tms"/>
    <x v="317"/>
    <n v="2706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79"/>
    <n v="0"/>
    <n v="0"/>
    <n v="0"/>
    <n v="0"/>
    <n v="0"/>
    <n v="0"/>
    <s v="Reserva importada do Sistema TMS. OS: 2706"/>
    <s v="Fornecedor não preenchido! (ACC01)"/>
    <s v="ARGO(TMS)"/>
    <s v="Falta de Fornecedor"/>
    <s v="Campo Fornecedor"/>
    <s v="Dados do Fornecedor"/>
    <s v="Qualidade dos dados"/>
    <s v="KONTIK BUSINESS TRAVEL"/>
  </r>
  <r>
    <n v="22702819"/>
    <n v="23504941"/>
    <s v="ACC01"/>
    <x v="362"/>
    <d v="2025-08-07T18:36:32"/>
    <s v="0 a 02 dias"/>
    <s v="0 a 02 dias"/>
    <s v="5GTKEC"/>
    <s v="TMS"/>
    <s v="LILIANA BUSCA"/>
    <s v="Tms"/>
    <s v="Tms"/>
    <x v="317"/>
    <n v="2701"/>
    <s v="Jundiaí / QDV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0"/>
    <n v="0"/>
    <n v="0"/>
    <n v="0"/>
    <n v="0"/>
    <n v="0"/>
    <n v="0"/>
    <s v="Reserva importada do Sistema TMS. OS: 2701"/>
    <s v="Fornecedor não preenchido! (ACC01)"/>
    <s v="ARGO(TMS)"/>
    <s v="Falta de Fornecedor"/>
    <s v="Campo Fornecedor"/>
    <s v="Dados do Fornecedor"/>
    <s v="Qualidade dos dados"/>
    <s v="KONTIK BUSINESS TRAVEL"/>
  </r>
  <r>
    <n v="22702841"/>
    <n v="23504957"/>
    <s v="ACC01"/>
    <x v="363"/>
    <d v="2025-08-07T18:36:51"/>
    <s v="0 a 02 dias"/>
    <s v="0 a 02 dias"/>
    <s v="5GZL3D"/>
    <s v="TMS"/>
    <s v="RODRIGO MARQUES"/>
    <s v="Tms"/>
    <s v="Tms"/>
    <x v="318"/>
    <n v="2680"/>
    <s v="Vitoria / VIX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1"/>
    <n v="0"/>
    <n v="0"/>
    <n v="0"/>
    <n v="0"/>
    <n v="0"/>
    <n v="0"/>
    <s v="Reserva importada do Sistema TMS. OS: 2680"/>
    <s v="Fornecedor não preenchido! (ACC01)"/>
    <s v="ARGO(TMS)"/>
    <s v="Falta de Fornecedor"/>
    <s v="Campo Fornecedor"/>
    <s v="Dados do Fornecedor"/>
    <s v="Qualidade dos dados"/>
    <s v="KONTIK BUSINESS TRAVEL"/>
  </r>
  <r>
    <n v="22702843"/>
    <n v="23504959"/>
    <s v="ACC01"/>
    <x v="364"/>
    <d v="2025-08-07T18:36:52"/>
    <s v="0 a 02 dias"/>
    <s v="0 a 02 dias"/>
    <s v="5GX933"/>
    <s v="TMS"/>
    <s v="REBECA TEIXEIRA"/>
    <s v="Tms"/>
    <s v="Tms"/>
    <x v="319"/>
    <n v="2677"/>
    <s v="Juiz de Fora - Zona da Mata / IZ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2"/>
    <n v="0"/>
    <n v="0"/>
    <n v="0"/>
    <n v="0"/>
    <n v="0"/>
    <n v="0"/>
    <s v="Reserva importada do Sistema TMS. OS: 2677"/>
    <s v="Fornecedor não preenchido! (ACC01)"/>
    <s v="ARGO(TMS)"/>
    <s v="Falta de Fornecedor"/>
    <s v="Campo Fornecedor"/>
    <s v="Dados do Fornecedor"/>
    <s v="Qualidade dos dados"/>
    <s v="KONTIK BUSINESS TRAVEL"/>
  </r>
  <r>
    <n v="22702859"/>
    <n v="23504975"/>
    <s v="ACC01"/>
    <x v="365"/>
    <d v="2025-08-07T18:37:05"/>
    <s v="0 a 02 dias"/>
    <s v="0 a 02 dias"/>
    <s v="5G5NDC"/>
    <s v="TMS"/>
    <s v="MAYSA SILVA"/>
    <s v="Tms"/>
    <s v="Tms"/>
    <x v="320"/>
    <n v="2669"/>
    <s v="Campo Grande / CGR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3"/>
    <n v="0"/>
    <n v="0"/>
    <n v="0"/>
    <n v="0"/>
    <n v="0"/>
    <n v="0"/>
    <s v="Reserva importada do Sistema TMS. OS: 2669"/>
    <s v="Fornecedor não preenchido! (ACC01)"/>
    <s v="ARGO(TMS)"/>
    <s v="Falta de Fornecedor"/>
    <s v="Campo Fornecedor"/>
    <s v="Dados do Fornecedor"/>
    <s v="Qualidade dos dados"/>
    <s v="KONTIK BUSINESS TRAVEL"/>
  </r>
  <r>
    <n v="22702870"/>
    <n v="23504986"/>
    <s v="ACC01"/>
    <x v="366"/>
    <d v="2025-08-07T18:40:37"/>
    <s v="0 a 02 dias"/>
    <s v="0 a 02 dias"/>
    <s v="5GUNDE"/>
    <s v="TMS"/>
    <s v="ADRIANO MARTHI"/>
    <s v="Tms"/>
    <s v="Tms"/>
    <x v="319"/>
    <n v="2660"/>
    <s v="Sorocaba / SOD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4"/>
    <n v="0"/>
    <n v="0"/>
    <n v="0"/>
    <n v="0"/>
    <n v="0"/>
    <n v="0"/>
    <s v="Reserva importada do Sistema TMS. OS: 2660"/>
    <s v="Fornecedor não preenchido! (ACC01)"/>
    <s v="ARGO(TMS)"/>
    <s v="Falta de Fornecedor"/>
    <s v="Campo Fornecedor"/>
    <s v="Dados do Fornecedor"/>
    <s v="Qualidade dos dados"/>
    <s v="KONTIK BUSINESS TRAVEL"/>
  </r>
  <r>
    <n v="22702871"/>
    <n v="23504987"/>
    <s v="ACC01"/>
    <x v="367"/>
    <d v="2025-08-07T18:40:38"/>
    <s v="0 a 02 dias"/>
    <s v="0 a 02 dias"/>
    <s v="5GK9ED"/>
    <s v="TMS"/>
    <s v="JULIANO COELHO"/>
    <s v="Tms"/>
    <s v="Tms"/>
    <x v="321"/>
    <n v="2650"/>
    <s v="Uberaba / UB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5"/>
    <n v="0"/>
    <n v="0"/>
    <n v="0"/>
    <n v="0"/>
    <n v="0"/>
    <n v="0"/>
    <s v="Reserva importada do Sistema TMS. OS: 2650"/>
    <s v="Fornecedor não preenchido! (ACC01)"/>
    <s v="ARGO(TMS)"/>
    <s v="Falta de Fornecedor"/>
    <s v="Campo Fornecedor"/>
    <s v="Dados do Fornecedor"/>
    <s v="Qualidade dos dados"/>
    <s v="KONTIK BUSINESS TRAVEL"/>
  </r>
  <r>
    <n v="22702833"/>
    <n v="23504952"/>
    <s v="ACC01"/>
    <x v="368"/>
    <d v="2025-08-07T18:36:48"/>
    <s v="0 a 02 dias"/>
    <s v="0 a 02 dias"/>
    <s v="5GO83D"/>
    <s v="TMS"/>
    <s v="WILDER FERNANDES"/>
    <s v="Thais Peixoto de Melo"/>
    <s v="Thais Peixoto de Melo"/>
    <x v="318"/>
    <n v="2691"/>
    <s v="Ribeirão Preto / R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6"/>
    <n v="0"/>
    <n v="0"/>
    <n v="0"/>
    <n v="0"/>
    <n v="0"/>
    <n v="0"/>
    <s v="Reserva importada do Sistema TMS. OS: 2691"/>
    <s v="Fornecedor não preenchido! (ACC01)"/>
    <s v="ARGO(TMS)"/>
    <s v="Falta de Fornecedor"/>
    <s v="Campo Fornecedor"/>
    <s v="Dados do Fornecedor"/>
    <s v="Qualidade dos dados"/>
    <s v="KONTIK BUSINESS TRAVEL"/>
  </r>
  <r>
    <n v="22702836"/>
    <n v="23504954"/>
    <s v="ACC01"/>
    <x v="369"/>
    <d v="2025-08-07T18:36:49"/>
    <s v="0 a 02 dias"/>
    <s v="0 a 02 dias"/>
    <s v="5GMNEE"/>
    <s v="TMS"/>
    <s v="WILDER FERNANDES"/>
    <s v="Thais Peixoto de Melo"/>
    <s v="Thais Peixoto de Melo"/>
    <x v="318"/>
    <n v="2688"/>
    <s v="Ribeirão Preto / R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2"/>
    <n v="0"/>
    <n v="0"/>
    <n v="0"/>
    <n v="0"/>
    <n v="0"/>
    <n v="0"/>
    <s v="Reserva importada do Sistema TMS. OS: 2688"/>
    <s v="Fornecedor não preenchido! (ACC01)"/>
    <s v="ARGO(TMS)"/>
    <s v="Falta de Fornecedor"/>
    <s v="Campo Fornecedor"/>
    <s v="Dados do Fornecedor"/>
    <s v="Qualidade dos dados"/>
    <s v="KONTIK BUSINESS TRAVEL"/>
  </r>
  <r>
    <n v="22702806"/>
    <n v="23504930"/>
    <s v="ACC01"/>
    <x v="370"/>
    <d v="2025-08-07T18:36:10"/>
    <s v="0 a 02 dias"/>
    <s v="0 a 02 dias"/>
    <s v="5G1KE3"/>
    <s v="TMS"/>
    <s v="LUCIANA NUNES"/>
    <s v="Thais Peixoto de Melo"/>
    <s v="Thais Peixoto de Melo"/>
    <x v="319"/>
    <n v="2710"/>
    <s v="Maraba / MA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87"/>
    <n v="0"/>
    <n v="0"/>
    <n v="0"/>
    <n v="0"/>
    <n v="0"/>
    <n v="0"/>
    <s v="Reserva importada do Sistema TMS. OS: 2710"/>
    <s v="Fornecedor não preenchido! (ACC01)"/>
    <s v="ARGO(TMS)"/>
    <s v="Falta de Fornecedor"/>
    <s v="Campo Fornecedor"/>
    <s v="Dados do Fornecedor"/>
    <s v="Qualidade dos dados"/>
    <s v="KONTIK BUSINESS TRAVEL"/>
  </r>
  <r>
    <n v="22692949"/>
    <n v="23495893"/>
    <s v="ACC01"/>
    <x v="371"/>
    <d v="2025-08-06T12:31:43"/>
    <s v="0 a 02 dias"/>
    <s v="0 a 02 dias"/>
    <s v="5GU8NM"/>
    <s v="TMS"/>
    <s v="BRAULIO UCHOA"/>
    <s v="Thais Peixoto de Melo"/>
    <s v="Thais Peixoto de Melo"/>
    <x v="32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8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0"/>
    <n v="23495894"/>
    <s v="ACC01"/>
    <x v="371"/>
    <d v="2025-08-06T12:31:44"/>
    <s v="0 a 02 dias"/>
    <s v="0 a 02 dias"/>
    <s v="5GIK90"/>
    <s v="TMS"/>
    <s v="BRAULIO UCHOA"/>
    <s v="Thais Peixoto de Melo"/>
    <s v="Thais Peixoto de Melo"/>
    <x v="32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9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1"/>
    <n v="23495895"/>
    <s v="ACC01"/>
    <x v="371"/>
    <d v="2025-08-06T12:31:45"/>
    <s v="0 a 02 dias"/>
    <s v="0 a 02 dias"/>
    <s v="5GNKNB"/>
    <s v="TMS"/>
    <s v="BRAULIO UCHOA"/>
    <s v="Thais Peixoto de Melo"/>
    <s v="Thais Peixoto de Melo"/>
    <x v="32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8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2"/>
    <n v="23495896"/>
    <s v="ACC01"/>
    <x v="372"/>
    <d v="2025-08-06T12:31:45"/>
    <s v="0 a 02 dias"/>
    <s v="0 a 02 dias"/>
    <s v="5GMLOM"/>
    <s v="TMS"/>
    <s v="MOZART RAMOS"/>
    <s v="Thais Peixoto de Melo"/>
    <s v="Thais Peixoto de Melo"/>
    <x v="323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8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92953"/>
    <n v="23495897"/>
    <s v="ACC01"/>
    <x v="373"/>
    <d v="2025-08-06T12:31:46"/>
    <s v="0 a 02 dias"/>
    <s v="0 a 02 dias"/>
    <s v="5G1N9P"/>
    <s v="TMS"/>
    <s v="MOZART RAMOS"/>
    <s v="Thais Peixoto de Melo"/>
    <s v="Thais Peixoto de Melo"/>
    <x v="323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9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85436"/>
    <n v="23489251"/>
    <s v="ACC01"/>
    <x v="374"/>
    <d v="2025-08-05T12:21:44"/>
    <s v="03 a 05 dias"/>
    <s v="03 a 05 dias"/>
    <s v="5F1DW9"/>
    <s v="TMS"/>
    <s v="ALESSANDRA ABREU"/>
    <s v="Tms"/>
    <s v="Tms"/>
    <x v="324"/>
    <n v="2554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0"/>
    <n v="0"/>
    <n v="0"/>
    <n v="0"/>
    <n v="0"/>
    <n v="62"/>
    <n v="0"/>
    <s v="Reserva importada do Sistema TMS. OS: 2554"/>
    <s v="Fornecedor não preenchido! (ACC01)"/>
    <s v="ARGO(TMS)"/>
    <s v="Falta de Fornecedor"/>
    <s v="Campo Fornecedor"/>
    <s v="Dados do Fornecedor"/>
    <s v="Sistêmico"/>
    <s v="GRUPO KONTIK"/>
  </r>
  <r>
    <n v="22685449"/>
    <n v="23489263"/>
    <s v="ACC01"/>
    <x v="375"/>
    <d v="2025-08-05T12:26:46"/>
    <s v="03 a 05 dias"/>
    <s v="03 a 05 dias"/>
    <s v="5FUD29"/>
    <s v="TMS"/>
    <s v="CRISTINA LIBARDI"/>
    <s v="Tms"/>
    <s v="Tms"/>
    <x v="325"/>
    <n v="2474"/>
    <s v="Vila Velha / VIX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1"/>
    <n v="0"/>
    <n v="0"/>
    <n v="0"/>
    <n v="0"/>
    <n v="0"/>
    <n v="0"/>
    <s v="Reserva importada do Sistema TMS. OS: 2474"/>
    <s v="Fornecedor não preenchido! (ACC01)"/>
    <s v="ARGO(TMS)"/>
    <s v="Falta de Fornecedor"/>
    <s v="Campo Fornecedor"/>
    <s v="Dados do Fornecedor"/>
    <s v="Qualidade dos dados"/>
    <s v="KONTIK BUSINESS TRAVEL"/>
  </r>
  <r>
    <n v="22701250"/>
    <n v="23503436"/>
    <s v="ACC"/>
    <x v="376"/>
    <d v="2025-08-07T14:10:06"/>
    <s v="0 a 02 dias"/>
    <s v="0 a 02 dias"/>
    <s v="5GQDP3"/>
    <s v="MANUAL"/>
    <s v="DEBORA TUREK"/>
    <s v="Claudia Lucia Stella"/>
    <s v="Claudia Lucia Stella"/>
    <x v="326"/>
    <s v="-"/>
    <s v="-"/>
    <s v="OFF LINE"/>
    <s v="Cartão de crédito"/>
    <s v="Cartão de crédito"/>
    <s v="Aéreo"/>
    <s v="N"/>
    <s v="Grupo Banco Genial Investimentos"/>
    <s v="Genial Investimentos Corretora"/>
    <s v="-"/>
    <s v="Latam Airlines Brasil"/>
    <n v="4453300183"/>
    <s v="KON-OPE-SAO-PVI-BTC ARGO"/>
    <s v="-"/>
    <x v="119"/>
    <n v="0"/>
    <n v="0"/>
    <n v="0"/>
    <n v="0"/>
    <n v="0"/>
    <n v="0"/>
    <s v="-"/>
    <s v="Verificação de bilhetes: Bilhete 4453300183 já sendo utilizado para este fornecedor."/>
    <s v="MANUAL"/>
    <s v="Bilhete duplicado"/>
    <s v="Bilhete Já Contabilizado"/>
    <s v="Duplicidade de Contabilização"/>
    <s v="Qualidade dos dados"/>
    <s v="GRUPO KONTIK"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  <r>
    <m/>
    <m/>
    <m/>
    <x v="377"/>
    <m/>
    <m/>
    <m/>
    <m/>
    <m/>
    <m/>
    <m/>
    <m/>
    <x v="327"/>
    <m/>
    <m/>
    <m/>
    <m/>
    <m/>
    <m/>
    <m/>
    <m/>
    <m/>
    <m/>
    <m/>
    <m/>
    <m/>
    <m/>
    <x v="292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0">
  <r>
    <n v="22687782"/>
    <n v="23491432"/>
    <s v="ACC01"/>
    <x v="0"/>
    <d v="2025-08-06T08:51:56"/>
    <x v="0"/>
    <x v="0"/>
    <s v="5FLEUO"/>
    <s v="MANUAL"/>
    <s v="SERVICO"/>
    <s v="Elaine Cristina Martins"/>
    <s v="Elaine Cristina Martins"/>
    <d v="2025-08-05T17:07:00"/>
    <s v="-"/>
    <s v="-"/>
    <s v="OFF LINE"/>
    <s v="Invoice"/>
    <s v="Faturado"/>
    <x v="0"/>
    <s v="N"/>
    <x v="0"/>
    <s v="Claro S/a"/>
    <s v="-"/>
    <s v="Ciclo Academy"/>
    <s v="-"/>
    <x v="0"/>
    <n v="170240"/>
    <x v="0"/>
    <n v="0"/>
    <n v="0"/>
    <n v="0"/>
    <n v="0"/>
    <n v="0"/>
    <n v="0"/>
    <s v="-"/>
    <s v="Necessário cadastrar um contrato para o cliente &quot;&quot;"/>
    <x v="0"/>
    <x v="0"/>
    <s v="Análise Cadastro"/>
    <x v="0"/>
    <s v="Qualidade dos dados"/>
    <s v="KONTIK BUSINESS TRAVEL"/>
    <x v="0"/>
  </r>
  <r>
    <n v="22687782"/>
    <n v="23491443"/>
    <s v="ACC02"/>
    <x v="0"/>
    <d v="2025-08-06T08:51:56"/>
    <x v="0"/>
    <x v="0"/>
    <s v="5FLEUO"/>
    <s v="MANUAL"/>
    <s v="FEE+TAXAS"/>
    <s v="Elaine Cristina Martins"/>
    <s v="Elaine Cristina Martins"/>
    <d v="2025-08-05T17:07:00"/>
    <s v="-"/>
    <s v="-"/>
    <s v="OFF LINE"/>
    <s v="Invoice"/>
    <s v="Faturado"/>
    <x v="0"/>
    <s v="N"/>
    <x v="0"/>
    <s v="Claro S/a"/>
    <s v="-"/>
    <s v="Ciclo Academy"/>
    <s v="-"/>
    <x v="0"/>
    <n v="170240"/>
    <x v="1"/>
    <n v="0"/>
    <n v="0"/>
    <n v="0"/>
    <n v="0"/>
    <n v="0"/>
    <n v="2568.04"/>
    <s v="-"/>
    <s v="Necessário cadastrar um contrato para o cliente &quot;&quot;"/>
    <x v="0"/>
    <x v="0"/>
    <s v="Análise Cadastro"/>
    <x v="0"/>
    <s v="Qualidade dos dados"/>
    <s v="KONTIK BUSINESS TRAVEL"/>
    <x v="0"/>
  </r>
  <r>
    <n v="22691760"/>
    <n v="23494797"/>
    <s v="ACC01"/>
    <x v="1"/>
    <d v="2025-08-06T09:08:26"/>
    <x v="0"/>
    <x v="1"/>
    <s v="5GMXUP"/>
    <s v="MANUAL"/>
    <s v="SERVICO"/>
    <s v="Elaine Cristina Martins"/>
    <s v="Elaine Cristina Martins"/>
    <d v="2025-08-06T08:52:00"/>
    <s v="-"/>
    <s v="-"/>
    <s v="OFF LINE"/>
    <s v="Invoice"/>
    <s v="Faturado"/>
    <x v="0"/>
    <s v="N"/>
    <x v="0"/>
    <s v="Claro S/a"/>
    <s v="-"/>
    <s v="Ciclo Academy"/>
    <s v="-"/>
    <x v="0"/>
    <n v="170240"/>
    <x v="0"/>
    <n v="0"/>
    <n v="0"/>
    <n v="0"/>
    <n v="0"/>
    <n v="0"/>
    <n v="0"/>
    <s v="-"/>
    <s v="Necessário cadastrar um contrato para o cliente &quot;&quot;"/>
    <x v="0"/>
    <x v="0"/>
    <s v="Análise Cadastro"/>
    <x v="0"/>
    <s v="Qualidade dos dados"/>
    <s v="KONTIK BUSINESS TRAVEL"/>
    <x v="0"/>
  </r>
  <r>
    <n v="22691760"/>
    <n v="23494800"/>
    <s v="ACC02"/>
    <x v="1"/>
    <d v="2025-08-06T09:08:26"/>
    <x v="0"/>
    <x v="1"/>
    <s v="5GMXUP"/>
    <s v="MANUAL"/>
    <s v="FEE+TAXAS"/>
    <s v="Elaine Cristina Martins"/>
    <s v="Elaine Cristina Martins"/>
    <d v="2025-08-06T08:52:00"/>
    <s v="-"/>
    <s v="-"/>
    <s v="OFF LINE"/>
    <s v="Invoice"/>
    <s v="Faturado"/>
    <x v="0"/>
    <s v="N"/>
    <x v="0"/>
    <s v="Claro S/a"/>
    <s v="-"/>
    <s v="Ciclo Academy"/>
    <s v="-"/>
    <x v="0"/>
    <n v="170240"/>
    <x v="1"/>
    <n v="0"/>
    <n v="0"/>
    <n v="0"/>
    <n v="0"/>
    <n v="0"/>
    <n v="2568.04"/>
    <s v="-"/>
    <s v="Necessário cadastrar um contrato para o cliente &quot;&quot;"/>
    <x v="0"/>
    <x v="0"/>
    <s v="Análise Cadastro"/>
    <x v="0"/>
    <s v="Qualidade dos dados"/>
    <s v="KONTIK BUSINESS TRAVEL"/>
    <x v="0"/>
  </r>
  <r>
    <n v="22682882"/>
    <n v="23487228"/>
    <s v="ACC01"/>
    <x v="2"/>
    <d v="2025-08-05T00:15:23"/>
    <x v="1"/>
    <x v="0"/>
    <s v="5FKC78"/>
    <s v="TMS"/>
    <s v="TADEU FERNANDES"/>
    <s v="Ariane de Sousa Farias"/>
    <s v="Ariane de Sousa Farias"/>
    <d v="2025-08-04T19:04:00"/>
    <n v="276"/>
    <s v="-"/>
    <s v="OFF LINE"/>
    <s v="Invoice"/>
    <s v="Faturado"/>
    <x v="1"/>
    <s v="N"/>
    <x v="1"/>
    <s v="Biogaia Ab"/>
    <s v="-"/>
    <s v="-"/>
    <s v="-"/>
    <x v="0"/>
    <s v="-"/>
    <x v="2"/>
    <n v="0"/>
    <n v="0"/>
    <n v="0"/>
    <n v="0"/>
    <n v="0"/>
    <n v="0"/>
    <s v="Reserva importada do Sistema TMS. OS: 276"/>
    <s v="Fornecedor não preenchido! (ACC01)"/>
    <x v="1"/>
    <x v="1"/>
    <s v="Campo Fornecedor"/>
    <x v="0"/>
    <s v="Qualidade dos dados"/>
    <s v="KONTIK BUSINESS TRAVEL"/>
    <x v="1"/>
  </r>
  <r>
    <n v="22700836"/>
    <n v="23503046"/>
    <s v="ACC01"/>
    <x v="3"/>
    <d v="2025-08-07T12:54:33"/>
    <x v="0"/>
    <x v="1"/>
    <n v="19480079"/>
    <s v="WOOBA"/>
    <s v="NEVER/WELTON"/>
    <s v="Welton Silva da Cunha"/>
    <s v="Welton Silva da Cunha"/>
    <d v="2025-08-07T11:40:00"/>
    <s v="teste"/>
    <s v="-"/>
    <s v="OFF LINE"/>
    <s v="Invoice"/>
    <s v="Faturado"/>
    <x v="1"/>
    <s v="N"/>
    <x v="2"/>
    <s v="Constellation"/>
    <s v="-"/>
    <s v="Cardim Plaza Hotel"/>
    <s v="-"/>
    <x v="0"/>
    <s v="-"/>
    <x v="3"/>
    <n v="0"/>
    <n v="0"/>
    <n v="0"/>
    <n v="0"/>
    <n v="0"/>
    <n v="0"/>
    <s v="Reserva importada do Sistema WOOBA. Id: 1014"/>
    <s v="Canal de venda não preenchido! (ACC01)"/>
    <x v="2"/>
    <x v="2"/>
    <s v="Falta de informação Gerencial"/>
    <x v="0"/>
    <s v="Qualidade dos dados"/>
    <s v="KONTIK BUSINESS TRAVEL"/>
    <x v="0"/>
  </r>
  <r>
    <n v="22700837"/>
    <n v="23503048"/>
    <s v="ACC01"/>
    <x v="4"/>
    <d v="2025-08-07T12:54:34"/>
    <x v="0"/>
    <x v="1"/>
    <n v="19480475"/>
    <s v="WOOBA"/>
    <s v="NEVER/VANESSA"/>
    <s v="Welton Silva da Cunha"/>
    <s v="Welton Silva da Cunha"/>
    <d v="2025-08-07T11:53:00"/>
    <s v="TESTE2"/>
    <s v="-"/>
    <s v="OFF LINE"/>
    <s v="Invoice"/>
    <s v="Faturado"/>
    <x v="1"/>
    <s v="N"/>
    <x v="2"/>
    <s v="Constellation"/>
    <s v="-"/>
    <s v="Dan Inn Planalto Sao Paulo"/>
    <s v="-"/>
    <x v="0"/>
    <s v="-"/>
    <x v="4"/>
    <n v="0"/>
    <n v="0"/>
    <n v="0"/>
    <n v="0"/>
    <n v="10.45"/>
    <n v="0"/>
    <s v="Reserva importada do Sistema WOOBA. Id: 1015"/>
    <s v="Canal de venda não preenchido! (ACC01)"/>
    <x v="2"/>
    <x v="2"/>
    <s v="Falta de informação Gerencial"/>
    <x v="0"/>
    <s v="Qualidade dos dados"/>
    <s v="KONTIK BUSINESS TRAVEL"/>
    <x v="0"/>
  </r>
  <r>
    <n v="22691840"/>
    <n v="23494864"/>
    <s v="ACC01"/>
    <x v="5"/>
    <d v="2025-08-06T09:11:04"/>
    <x v="0"/>
    <x v="1"/>
    <s v="5GDF7M"/>
    <s v="MANUAL"/>
    <s v="SERVICO"/>
    <s v="Elaine Cristina Martins"/>
    <s v="Elaine Cristina Martins"/>
    <d v="2025-08-06T09:08:00"/>
    <s v="-"/>
    <s v="-"/>
    <s v="OFF LINE"/>
    <s v="Invoice"/>
    <s v="Faturado"/>
    <x v="0"/>
    <s v="N"/>
    <x v="0"/>
    <s v="Claro S/a"/>
    <s v="-"/>
    <s v="Ciclo Academy"/>
    <s v="-"/>
    <x v="1"/>
    <n v="170240"/>
    <x v="0"/>
    <n v="0"/>
    <n v="0"/>
    <n v="0"/>
    <n v="0"/>
    <n v="0"/>
    <n v="0"/>
    <s v="-"/>
    <s v="Necessário cadastrar um contrato para o cliente &quot;&quot;"/>
    <x v="0"/>
    <x v="0"/>
    <s v="Análise Cadastro"/>
    <x v="0"/>
    <s v="Qualidade dos dados"/>
    <s v="INOVENTS"/>
    <x v="2"/>
  </r>
  <r>
    <n v="22691840"/>
    <n v="23494866"/>
    <s v="ACC02"/>
    <x v="5"/>
    <d v="2025-08-06T09:11:04"/>
    <x v="0"/>
    <x v="1"/>
    <s v="5GDF7M"/>
    <s v="MANUAL"/>
    <s v="FEE+TAXAS"/>
    <s v="Elaine Cristina Martins"/>
    <s v="Elaine Cristina Martins"/>
    <d v="2025-08-06T09:08:00"/>
    <s v="-"/>
    <s v="-"/>
    <s v="OFF LINE"/>
    <s v="Invoice"/>
    <s v="Faturado"/>
    <x v="0"/>
    <s v="N"/>
    <x v="0"/>
    <s v="Claro S/a"/>
    <s v="-"/>
    <s v="Ciclo Academy"/>
    <s v="-"/>
    <x v="1"/>
    <n v="170240"/>
    <x v="1"/>
    <n v="0"/>
    <n v="0"/>
    <n v="0"/>
    <n v="0"/>
    <n v="0"/>
    <n v="2568.04"/>
    <s v="-"/>
    <s v="Necessário cadastrar um contrato para o cliente &quot;&quot;"/>
    <x v="0"/>
    <x v="0"/>
    <s v="Análise Cadastro"/>
    <x v="0"/>
    <s v="Qualidade dos dados"/>
    <s v="INOVENTS"/>
    <x v="2"/>
  </r>
  <r>
    <n v="22649882"/>
    <n v="23459418"/>
    <s v="ACC01"/>
    <x v="6"/>
    <d v="2025-08-05T20:30:21"/>
    <x v="1"/>
    <x v="2"/>
    <s v="HNMBIK"/>
    <s v="MANUAL"/>
    <s v="BARBARA MAGALHA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3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19"/>
    <s v="ACC02"/>
    <x v="6"/>
    <d v="2025-08-05T20:30:21"/>
    <x v="1"/>
    <x v="2"/>
    <s v="HNMBIK"/>
    <s v="MANUAL"/>
    <s v="JAMYLE PINHEIRO FACANHA CAVALCANTE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0"/>
    <s v="ACC03"/>
    <x v="6"/>
    <d v="2025-08-05T20:30:21"/>
    <x v="1"/>
    <x v="2"/>
    <s v="HNMBIK"/>
    <s v="MANUAL"/>
    <s v="CHRISTIANE GURGEL DO AMARAL CHAV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1"/>
    <s v="ACC04"/>
    <x v="6"/>
    <d v="2025-08-05T20:30:21"/>
    <x v="1"/>
    <x v="2"/>
    <s v="HNMBIK"/>
    <s v="MANUAL"/>
    <s v="HELEN LIDIA MEND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2"/>
    <s v="ACC05"/>
    <x v="6"/>
    <d v="2025-08-05T20:30:21"/>
    <x v="1"/>
    <x v="2"/>
    <s v="HNMBIK"/>
    <s v="MANUAL"/>
    <s v="DAMARIS RAQUELINA MALAQUIAS SARAIV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3"/>
    <s v="ACC06"/>
    <x v="6"/>
    <d v="2025-08-05T20:30:21"/>
    <x v="1"/>
    <x v="2"/>
    <s v="HNMBIK"/>
    <s v="MANUAL"/>
    <s v="ANTONIA LETICIA DE SOUZ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4"/>
    <s v="ACC07"/>
    <x v="6"/>
    <d v="2025-08-05T20:30:21"/>
    <x v="1"/>
    <x v="2"/>
    <s v="HNMBIK"/>
    <s v="MANUAL"/>
    <s v="ROSALINA FARIAS DIA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5"/>
    <s v="ACC08"/>
    <x v="6"/>
    <d v="2025-08-05T20:30:21"/>
    <x v="1"/>
    <x v="2"/>
    <s v="HNMBIK"/>
    <s v="MANUAL"/>
    <s v="LUANA CAROLINA LIMA DO NASCIMENT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6"/>
    <s v="ACC09"/>
    <x v="6"/>
    <d v="2025-08-05T20:30:21"/>
    <x v="1"/>
    <x v="2"/>
    <s v="HNMBIK"/>
    <s v="MANUAL"/>
    <s v="RAQUEL PEREIRA DA SILV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7"/>
    <s v="ACC10"/>
    <x v="6"/>
    <d v="2025-08-05T20:30:21"/>
    <x v="1"/>
    <x v="2"/>
    <s v="HNMBIK"/>
    <s v="MANUAL"/>
    <s v="DANIELA VAZ CAMIL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8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8"/>
    <s v="ACC11"/>
    <x v="6"/>
    <d v="2025-08-05T20:30:21"/>
    <x v="1"/>
    <x v="2"/>
    <s v="HNMBIK"/>
    <s v="MANUAL"/>
    <s v="JESSICA RODRIGUES VIAN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4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29"/>
    <s v="ACC12"/>
    <x v="6"/>
    <d v="2025-08-05T20:30:21"/>
    <x v="1"/>
    <x v="2"/>
    <s v="HNMBIK"/>
    <s v="MANUAL"/>
    <s v="JULIANA SILVA MACIEL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0"/>
    <s v="ACC13"/>
    <x v="6"/>
    <d v="2025-08-05T20:30:21"/>
    <x v="1"/>
    <x v="2"/>
    <s v="HNMBIK"/>
    <s v="MANUAL"/>
    <s v="RAISA SANTOS FERNAND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1"/>
    <s v="ACC14"/>
    <x v="6"/>
    <d v="2025-08-05T20:30:21"/>
    <x v="1"/>
    <x v="2"/>
    <s v="HNMBIK"/>
    <s v="MANUAL"/>
    <s v="DANIELA APRIGIO TEL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8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2"/>
    <s v="ACC15"/>
    <x v="6"/>
    <d v="2025-08-05T20:30:21"/>
    <x v="1"/>
    <x v="2"/>
    <s v="HNMBIK"/>
    <s v="MANUAL"/>
    <s v="ANA CARLA BARROSO DE SOUSA TOMAZ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3"/>
    <s v="ACC16"/>
    <x v="6"/>
    <d v="2025-08-05T20:30:21"/>
    <x v="1"/>
    <x v="2"/>
    <s v="HNMBIK"/>
    <s v="MANUAL"/>
    <s v="MARIA GISANE DOS SANTOS MACHAD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4"/>
    <s v="ACC17"/>
    <x v="6"/>
    <d v="2025-08-05T20:30:21"/>
    <x v="1"/>
    <x v="2"/>
    <s v="HNMBIK"/>
    <s v="MANUAL"/>
    <s v="RANGIELE DO CARMO ASSUNCA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5"/>
    <s v="ACC18"/>
    <x v="6"/>
    <d v="2025-08-05T20:30:21"/>
    <x v="1"/>
    <x v="2"/>
    <s v="HNMBIK"/>
    <s v="MANUAL"/>
    <s v="LUNARA SOUSA MOT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6"/>
    <s v="ACC19"/>
    <x v="6"/>
    <d v="2025-08-05T20:30:21"/>
    <x v="1"/>
    <x v="2"/>
    <s v="HNMBIK"/>
    <s v="MANUAL"/>
    <s v="HERLIA FERREIRA PEREIRA PALACI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7"/>
    <s v="ACC20"/>
    <x v="6"/>
    <d v="2025-08-05T20:30:21"/>
    <x v="1"/>
    <x v="2"/>
    <s v="HNMBIK"/>
    <s v="MANUAL"/>
    <s v="GEANNE PIRES DE MESQUIT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8"/>
    <s v="ACC21"/>
    <x v="6"/>
    <d v="2025-08-05T20:30:21"/>
    <x v="1"/>
    <x v="2"/>
    <s v="HNMBIK"/>
    <s v="MANUAL"/>
    <s v="DANIELE FREITAS CAVALCANTE DE OLIVEIR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39"/>
    <s v="ACC22"/>
    <x v="6"/>
    <d v="2025-08-05T20:30:21"/>
    <x v="1"/>
    <x v="2"/>
    <s v="HNMBIK"/>
    <s v="MANUAL"/>
    <s v="ADAILMA MENDES DOS SANTO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5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0"/>
    <s v="ACC23"/>
    <x v="6"/>
    <d v="2025-08-05T20:30:21"/>
    <x v="1"/>
    <x v="2"/>
    <s v="HNMBIK"/>
    <s v="MANUAL"/>
    <s v="KELEN CRISTINA MARTINS ALENCAR PINT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1"/>
    <s v="ACC24"/>
    <x v="6"/>
    <d v="2025-08-05T20:30:21"/>
    <x v="1"/>
    <x v="2"/>
    <s v="HNMBIK"/>
    <s v="MANUAL"/>
    <s v="JORGEANA MORAIS MONTEIR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2"/>
    <s v="ACC25"/>
    <x v="6"/>
    <d v="2025-08-05T20:30:21"/>
    <x v="1"/>
    <x v="2"/>
    <s v="HNMBIK"/>
    <s v="MANUAL"/>
    <s v="ANA CAROLINA CORRE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3"/>
    <s v="ACC26"/>
    <x v="6"/>
    <d v="2025-08-05T20:30:21"/>
    <x v="1"/>
    <x v="2"/>
    <s v="HNMBIK"/>
    <s v="MANUAL"/>
    <s v="IRLA GOMES DE SOUZ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4"/>
    <s v="ACC27"/>
    <x v="6"/>
    <d v="2025-08-05T20:30:21"/>
    <x v="1"/>
    <x v="2"/>
    <s v="HNMBIK"/>
    <s v="MANUAL"/>
    <s v="DAIANA MAGALHAES DE PAIV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5"/>
    <s v="ACC28"/>
    <x v="6"/>
    <d v="2025-08-05T20:30:21"/>
    <x v="1"/>
    <x v="2"/>
    <s v="HNMBIK"/>
    <s v="MANUAL"/>
    <s v="FERNANDA HELENA ALVES DA ROCH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6"/>
    <s v="ACC29"/>
    <x v="6"/>
    <d v="2025-08-05T20:30:21"/>
    <x v="1"/>
    <x v="2"/>
    <s v="HNMBIK"/>
    <s v="MANUAL"/>
    <s v="KESSYA CARDOSO LIM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7"/>
    <s v="ACC30"/>
    <x v="6"/>
    <d v="2025-08-05T20:30:21"/>
    <x v="1"/>
    <x v="2"/>
    <s v="HNMBIK"/>
    <s v="MANUAL"/>
    <s v="JESSICA CORREIA SAL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8"/>
    <s v="ACC31"/>
    <x v="6"/>
    <d v="2025-08-05T20:30:21"/>
    <x v="1"/>
    <x v="2"/>
    <s v="HNMBIK"/>
    <s v="MANUAL"/>
    <s v="MICHELLE PEREIRA DE OLIVEIR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8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49"/>
    <s v="ACC32"/>
    <x v="6"/>
    <d v="2025-08-05T20:30:21"/>
    <x v="1"/>
    <x v="2"/>
    <s v="HNMBIK"/>
    <s v="MANUAL"/>
    <s v="NATALIA TAVARES DE ALMEID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6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0"/>
    <s v="ACC33"/>
    <x v="6"/>
    <d v="2025-08-05T20:30:21"/>
    <x v="1"/>
    <x v="2"/>
    <s v="HNMBIK"/>
    <s v="MANUAL"/>
    <s v="ANDREZZA RAYANNE ALVES DE ALMEID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1"/>
    <s v="ACC34"/>
    <x v="6"/>
    <d v="2025-08-05T20:30:21"/>
    <x v="1"/>
    <x v="2"/>
    <s v="HNMBIK"/>
    <s v="MANUAL"/>
    <s v="LILIAN KESSIA ALVES SIEBR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2"/>
    <s v="ACC35"/>
    <x v="6"/>
    <d v="2025-08-05T20:30:21"/>
    <x v="1"/>
    <x v="2"/>
    <s v="HNMBIK"/>
    <s v="MANUAL"/>
    <s v="MONALISA DO NASCIMENTO RIBEIR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3"/>
    <s v="ACC36"/>
    <x v="6"/>
    <d v="2025-08-05T20:30:21"/>
    <x v="1"/>
    <x v="2"/>
    <s v="HNMBIK"/>
    <s v="MANUAL"/>
    <s v="PRISCILA ADRIAN RODRIGU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4"/>
    <s v="ACC37"/>
    <x v="6"/>
    <d v="2025-08-05T20:30:21"/>
    <x v="1"/>
    <x v="2"/>
    <s v="HNMBIK"/>
    <s v="MANUAL"/>
    <s v="NATALIA FARIAS DE SOUS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5"/>
    <s v="ACC38"/>
    <x v="6"/>
    <d v="2025-08-05T20:30:21"/>
    <x v="1"/>
    <x v="2"/>
    <s v="HNMBIK"/>
    <s v="MANUAL"/>
    <s v="MARIANA MELO CAMURC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6"/>
    <s v="ACC39"/>
    <x v="6"/>
    <d v="2025-08-05T20:30:21"/>
    <x v="1"/>
    <x v="2"/>
    <s v="HNMBIK"/>
    <s v="MANUAL"/>
    <s v="YOHANNA MARIA MENEZES DO NASCIMENT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7"/>
    <s v="ACC40"/>
    <x v="6"/>
    <d v="2025-08-05T20:30:21"/>
    <x v="1"/>
    <x v="2"/>
    <s v="HNMBIK"/>
    <s v="MANUAL"/>
    <s v="MARIA ELINARA COSTA REBOUCA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8"/>
    <s v="ACC41"/>
    <x v="6"/>
    <d v="2025-08-05T20:30:21"/>
    <x v="1"/>
    <x v="2"/>
    <s v="HNMBIK"/>
    <s v="MANUAL"/>
    <s v="ANA MICHELLE LOUREIRO LOB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8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59"/>
    <s v="ACC42"/>
    <x v="6"/>
    <d v="2025-08-05T20:30:21"/>
    <x v="1"/>
    <x v="2"/>
    <s v="HNMBIK"/>
    <s v="MANUAL"/>
    <s v="MAIARA MARIA NASCIMENTO DE ARAUJ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7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0"/>
    <s v="ACC43"/>
    <x v="6"/>
    <d v="2025-08-05T20:30:21"/>
    <x v="1"/>
    <x v="2"/>
    <s v="HNMBIK"/>
    <s v="MANUAL"/>
    <s v="THISIANIA ROMERO VIEIRA SOAR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1"/>
    <s v="ACC44"/>
    <x v="6"/>
    <d v="2025-08-05T20:30:21"/>
    <x v="1"/>
    <x v="2"/>
    <s v="HNMBIK"/>
    <s v="MANUAL"/>
    <s v="CRISLANE ALENCARINA LIMA DA SILV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2"/>
    <s v="ACC45"/>
    <x v="6"/>
    <d v="2025-08-05T20:30:21"/>
    <x v="1"/>
    <x v="2"/>
    <s v="HNMBIK"/>
    <s v="MANUAL"/>
    <s v="PAULA AMANDA DO CARMO FERNAND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3"/>
    <s v="ACC46"/>
    <x v="6"/>
    <d v="2025-08-05T20:30:21"/>
    <x v="1"/>
    <x v="2"/>
    <s v="HNMBIK"/>
    <s v="MANUAL"/>
    <s v="DIANA CARLA MORAES DOS SANTO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5"/>
    <s v="ACC47"/>
    <x v="6"/>
    <d v="2025-08-05T20:30:21"/>
    <x v="1"/>
    <x v="2"/>
    <s v="HNMBIK"/>
    <s v="MANUAL"/>
    <s v="LUDMILA VIRNA OLIVEIRA FERNAND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6"/>
    <s v="ACC48"/>
    <x v="6"/>
    <d v="2025-08-05T20:30:21"/>
    <x v="1"/>
    <x v="2"/>
    <s v="HNMBIK"/>
    <s v="MANUAL"/>
    <s v="CLAUDIANA HONORATO MIGUEL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7"/>
    <s v="ACC49"/>
    <x v="6"/>
    <d v="2025-08-05T20:30:21"/>
    <x v="1"/>
    <x v="2"/>
    <s v="HNMBIK"/>
    <s v="MANUAL"/>
    <s v="SAN MILK RODRIGUES QUEIROZ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8"/>
    <s v="ACC50"/>
    <x v="6"/>
    <d v="2025-08-05T20:30:21"/>
    <x v="1"/>
    <x v="2"/>
    <s v="HNMBIK"/>
    <s v="MANUAL"/>
    <s v="JENNIFER MAINARA DA SILVA FACANH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69"/>
    <s v="ACC51"/>
    <x v="6"/>
    <d v="2025-08-05T20:30:21"/>
    <x v="1"/>
    <x v="2"/>
    <s v="HNMBIK"/>
    <s v="MANUAL"/>
    <s v="THAIS MESQUITA GARCI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8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0"/>
    <s v="ACC52"/>
    <x v="6"/>
    <d v="2025-08-05T20:30:21"/>
    <x v="1"/>
    <x v="2"/>
    <s v="HNMBIK"/>
    <s v="MANUAL"/>
    <s v="ARLETE CAVALCANTE ASSUNCAO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89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1"/>
    <s v="ACC53"/>
    <x v="6"/>
    <d v="2025-08-05T20:30:21"/>
    <x v="1"/>
    <x v="2"/>
    <s v="HNMBIK"/>
    <s v="MANUAL"/>
    <s v="KELIANE DA SILVA SOAR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0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2"/>
    <s v="ACC54"/>
    <x v="6"/>
    <d v="2025-08-05T20:30:21"/>
    <x v="1"/>
    <x v="2"/>
    <s v="HNMBIK"/>
    <s v="MANUAL"/>
    <s v="MIKAELLA DOS SANTOS ALV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1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3"/>
    <s v="ACC55"/>
    <x v="6"/>
    <d v="2025-08-05T20:30:21"/>
    <x v="1"/>
    <x v="2"/>
    <s v="HNMBIK"/>
    <s v="MANUAL"/>
    <s v="ANNA CLARA DOMINGOS ALV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2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4"/>
    <s v="ACC56"/>
    <x v="6"/>
    <d v="2025-08-05T20:30:21"/>
    <x v="1"/>
    <x v="2"/>
    <s v="HNMBIK"/>
    <s v="MANUAL"/>
    <s v="FRANCISCA ERICA COSTA DE MENEZES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3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5"/>
    <s v="ACC57"/>
    <x v="6"/>
    <d v="2025-08-05T20:30:21"/>
    <x v="1"/>
    <x v="2"/>
    <s v="HNMBIK"/>
    <s v="MANUAL"/>
    <s v="LUIZIANNE MARIA GONCALVES DE ALENCAR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4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6"/>
    <s v="ACC58"/>
    <x v="6"/>
    <d v="2025-08-05T20:30:21"/>
    <x v="1"/>
    <x v="2"/>
    <s v="HNMBIK"/>
    <s v="MANUAL"/>
    <s v="LUAN MIKAEL DE SOUSA PEREIR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5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7"/>
    <s v="ACC59"/>
    <x v="6"/>
    <d v="2025-08-05T20:30:21"/>
    <x v="1"/>
    <x v="2"/>
    <s v="HNMBIK"/>
    <s v="MANUAL"/>
    <s v="ANA CAROLINA MOREIRA QUEIROZ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6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49882"/>
    <n v="23459478"/>
    <s v="ACC60"/>
    <x v="6"/>
    <d v="2025-08-05T20:30:21"/>
    <x v="1"/>
    <x v="2"/>
    <s v="HNMBIK"/>
    <s v="MANUAL"/>
    <s v="GABRIEL DA SILVA ROCHA"/>
    <s v="Jaqueline Rodrigues Teixeira"/>
    <s v="Jaqueline Rodrigues Teixeira"/>
    <d v="2025-07-29T00:00:00"/>
    <n v="4801518571"/>
    <s v="-"/>
    <s v="OFF LINE"/>
    <s v="Invoice"/>
    <s v="Faturado"/>
    <x v="2"/>
    <s v="N"/>
    <x v="3"/>
    <s v="Diageo Brasil"/>
    <s v="Cliente FEE no POS"/>
    <s v="Latam Airlines Brasil"/>
    <n v="2243398497"/>
    <x v="1"/>
    <n v="167526"/>
    <x v="5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0"/>
    <x v="3"/>
    <s v="Bilhete Já Contabilizado"/>
    <x v="1"/>
    <s v="Qualidade dos dados"/>
    <s v="INOVENTS"/>
    <x v="2"/>
  </r>
  <r>
    <n v="22679559"/>
    <n v="23484064"/>
    <s v="ACC01"/>
    <x v="7"/>
    <d v="2025-08-05T15:24:04"/>
    <x v="1"/>
    <x v="0"/>
    <s v="B3NZNT"/>
    <s v="MANUAL"/>
    <s v="BUENO BARBOSA/RENATA"/>
    <s v="Danny Junqueira Martins"/>
    <s v="Danny Junqueira Martins"/>
    <d v="2025-08-04T15:48:00"/>
    <s v="-"/>
    <s v="-"/>
    <s v="OFF LINE"/>
    <s v="Invoice"/>
    <s v="Faturado"/>
    <x v="2"/>
    <s v="N"/>
    <x v="4"/>
    <s v="Jti Distribuidora - Sao Paulo - Vila Nova Conceicao"/>
    <s v="-"/>
    <s v="Iberia"/>
    <n v="2971556787"/>
    <x v="1"/>
    <s v="ID152723"/>
    <x v="6"/>
    <n v="464.43"/>
    <n v="0"/>
    <n v="0"/>
    <n v="0"/>
    <n v="0"/>
    <n v="655.21"/>
    <s v="-"/>
    <s v="Verificação de bilhetes: Bilhete 2971556787 já sendo utilizado para este fornecedor."/>
    <x v="0"/>
    <x v="3"/>
    <s v="Bilhete Já Contabilizado"/>
    <x v="1"/>
    <s v="Qualidade dos dados"/>
    <s v="INOVENTS"/>
    <x v="2"/>
  </r>
  <r>
    <n v="22679559"/>
    <n v="23484078"/>
    <s v="ACC02"/>
    <x v="7"/>
    <d v="2025-08-05T15:24:04"/>
    <x v="1"/>
    <x v="0"/>
    <s v="B3NZNT"/>
    <s v="MANUAL"/>
    <s v="SIMOES BARBOSA/FRANCISCO"/>
    <s v="Danny Junqueira Martins"/>
    <s v="Danny Junqueira Martins"/>
    <d v="2025-08-04T15:48:00"/>
    <s v="-"/>
    <s v="-"/>
    <s v="OFF LINE"/>
    <s v="Invoice"/>
    <s v="Faturado"/>
    <x v="2"/>
    <s v="N"/>
    <x v="4"/>
    <s v="Jti Distribuidora - Sao Paulo - Vila Nova Conceicao"/>
    <s v="-"/>
    <s v="Iberia"/>
    <n v="2971556785"/>
    <x v="1"/>
    <s v="ID152723"/>
    <x v="6"/>
    <n v="464.43"/>
    <n v="0"/>
    <n v="0"/>
    <n v="0"/>
    <n v="0"/>
    <n v="655.21"/>
    <s v="-"/>
    <s v="Verificação de bilhetes: Bilhete 2971556787 já sendo utilizado para este fornecedor."/>
    <x v="0"/>
    <x v="3"/>
    <s v="Bilhete Já Contabilizado"/>
    <x v="1"/>
    <s v="Qualidade dos dados"/>
    <s v="INOVENTS"/>
    <x v="2"/>
  </r>
  <r>
    <n v="22701701"/>
    <n v="23503867"/>
    <s v="ACC"/>
    <x v="8"/>
    <d v="2025-08-07T15:45:50"/>
    <x v="0"/>
    <x v="1"/>
    <s v="ZWHCTQ"/>
    <s v="MANUAL"/>
    <s v="ANA CARVALHO"/>
    <s v="Laura Sales de Paula"/>
    <s v="Laura Sales de Paula"/>
    <d v="2025-08-06T15:38:00"/>
    <s v="-"/>
    <s v="-"/>
    <s v="OFF LINE"/>
    <s v="Invoice"/>
    <s v="Cartão convênio"/>
    <x v="2"/>
    <s v="N"/>
    <x v="5"/>
    <s v="Zupper Cartao"/>
    <s v="-"/>
    <s v="Azul Linhas Aereas"/>
    <n v="3023503866"/>
    <x v="2"/>
    <s v="-"/>
    <x v="7"/>
    <n v="46.36"/>
    <n v="0"/>
    <n v="0"/>
    <n v="0"/>
    <n v="0"/>
    <n v="56.71"/>
    <s v="-"/>
    <s v="36Faltou informar rateio de centro de custo/projeto abaixo da accounting"/>
    <x v="3"/>
    <x v="4"/>
    <s v="Rateio de centro de custo/projeto"/>
    <x v="2"/>
    <s v="Qualidade dos dados"/>
    <s v="ZUPPER VIAGENS"/>
    <x v="3"/>
  </r>
  <r>
    <n v="22701543"/>
    <n v="23503696"/>
    <s v="ACC01"/>
    <x v="9"/>
    <d v="2025-08-07T15:30:50"/>
    <x v="0"/>
    <x v="1"/>
    <s v="XEE5VR"/>
    <s v="EBOOKING"/>
    <s v="CARLOS EDUARDO OLIVEIRA SA"/>
    <s v="Zupper"/>
    <s v="Zupper"/>
    <d v="2025-08-07T15:05:00"/>
    <n v="6800303"/>
    <s v="-"/>
    <s v="OFF LINE"/>
    <s v="Cartão de crédito"/>
    <s v="Cartão de crédito"/>
    <x v="2"/>
    <s v="N"/>
    <x v="5"/>
    <s v="Carlos e O Sa"/>
    <s v="-"/>
    <s v="Azul Linhas Aereas"/>
    <n v="6359382136"/>
    <x v="2"/>
    <s v="-"/>
    <x v="8"/>
    <n v="106.98"/>
    <n v="0"/>
    <n v="0"/>
    <n v="0"/>
    <n v="0"/>
    <n v="224.88"/>
    <s v="-"/>
    <s v="Não foi possível encontrar configuração válida para Administradora de código 1 e Data Emissão 07/08/2025"/>
    <x v="3"/>
    <x v="5"/>
    <s v="Análise Benner"/>
    <x v="3"/>
    <s v="Qualidade dos dados"/>
    <s v="ZUPPER VIAGENS"/>
    <x v="3"/>
  </r>
  <r>
    <n v="22701543"/>
    <n v="23503698"/>
    <s v="ACC02"/>
    <x v="9"/>
    <d v="2025-08-07T15:30:50"/>
    <x v="0"/>
    <x v="1"/>
    <s v="XEE5VR"/>
    <s v="EBOOKING"/>
    <s v="CATARINA FATIMA OLIVEIRA"/>
    <s v="Zupper"/>
    <s v="Zupper"/>
    <d v="2025-08-07T15:05:00"/>
    <n v="6800303"/>
    <s v="-"/>
    <s v="OFF LINE"/>
    <s v="Cartão de crédito"/>
    <s v="Cartão de crédito"/>
    <x v="2"/>
    <s v="N"/>
    <x v="5"/>
    <s v="Carlos e O Sa"/>
    <s v="-"/>
    <s v="Azul Linhas Aereas"/>
    <n v="5083348355"/>
    <x v="2"/>
    <s v="-"/>
    <x v="8"/>
    <n v="106.98"/>
    <n v="0"/>
    <n v="0"/>
    <n v="0"/>
    <n v="0"/>
    <n v="0"/>
    <s v="-"/>
    <s v="Não foi possível encontrar configuração válida para Administradora de código 1 e Data Emissão 07/08/2025"/>
    <x v="3"/>
    <x v="5"/>
    <s v="Análise Benner"/>
    <x v="3"/>
    <s v="Qualidade dos dados"/>
    <s v="ZUPPER VIAGENS"/>
    <x v="3"/>
  </r>
  <r>
    <n v="22705296"/>
    <n v="23507214"/>
    <s v="ACC01"/>
    <x v="10"/>
    <d v="2025-08-08T01:05:20"/>
    <x v="0"/>
    <x v="1"/>
    <s v="XQUV5U"/>
    <s v="EBOOKING"/>
    <s v="RAIMUNDA JULIA BRANDAO"/>
    <s v="Zupper"/>
    <s v="Zupper"/>
    <d v="2025-08-08T00:59:00"/>
    <n v="6802172"/>
    <s v="-"/>
    <s v="OFF LINE"/>
    <s v="Cartão de crédito"/>
    <s v="Cartão de crédito"/>
    <x v="2"/>
    <s v="N"/>
    <x v="5"/>
    <s v="Raimunda Julia de Freitas Brandao"/>
    <s v="-"/>
    <s v="Azul Linhas Aereas"/>
    <n v="8282448174"/>
    <x v="2"/>
    <s v="-"/>
    <x v="9"/>
    <n v="54.45"/>
    <n v="0"/>
    <n v="0"/>
    <n v="0"/>
    <n v="0"/>
    <n v="32.549999999999997"/>
    <s v="-"/>
    <s v="Pnr já existente. A duplicidade de rloc é permitida apenas 6 meses após o último pnr emitido"/>
    <x v="3"/>
    <x v="6"/>
    <s v="Campo RLOC"/>
    <x v="1"/>
    <s v="Qualidade dos dados"/>
    <s v="ZUPPER VIAGENS"/>
    <x v="3"/>
  </r>
  <r>
    <n v="22462516"/>
    <n v="23302108"/>
    <s v="ACC01"/>
    <x v="11"/>
    <d v="2025-07-30T11:34:51"/>
    <x v="2"/>
    <x v="3"/>
    <s v="5BOOFQ"/>
    <s v="MANUAL"/>
    <s v="SERGIO HARUO KAWAMATA"/>
    <s v="Patricia Pinato Ferreira Lima"/>
    <s v="Patricia Pinato Ferreira Lima"/>
    <d v="2025-06-26T20:26:00"/>
    <s v="EMERGENCIAL TKT 563982"/>
    <s v="-"/>
    <s v="OFF LINE"/>
    <s v="Cartão de crédito"/>
    <s v="Cartão de crédito"/>
    <x v="1"/>
    <s v="N"/>
    <x v="6"/>
    <s v="Bat Souza Cruz"/>
    <s v="-"/>
    <s v="Grande Hotel Paranavai"/>
    <s v="-"/>
    <x v="3"/>
    <s v="-"/>
    <x v="10"/>
    <n v="0"/>
    <n v="0"/>
    <n v="0"/>
    <n v="0"/>
    <n v="0"/>
    <n v="0"/>
    <s v="atendimento emergencial tkt 563982"/>
    <s v="Necessário cadastrar um contrato para o cliente &quot;&quot;"/>
    <x v="0"/>
    <x v="0"/>
    <s v="Análise Cadastro"/>
    <x v="0"/>
    <s v="Qualidade dos dados"/>
    <s v="KONTIK BUSINESS TRAVEL"/>
    <x v="0"/>
  </r>
  <r>
    <n v="22689919"/>
    <n v="23493494"/>
    <s v="ACC01"/>
    <x v="12"/>
    <d v="2025-08-05T22:50:17"/>
    <x v="1"/>
    <x v="0"/>
    <s v="5GIAFM"/>
    <s v="MANUAL"/>
    <s v="EDER GALVAO"/>
    <s v="Alexandre Fernando Papa"/>
    <s v="Alexandre Fernando Papa"/>
    <d v="2025-08-05T22:38:00"/>
    <s v="-"/>
    <s v="-"/>
    <s v="OFF LINE"/>
    <s v="Cartão de crédito"/>
    <s v="Cartão de crédito"/>
    <x v="1"/>
    <s v="N"/>
    <x v="6"/>
    <s v="Bat Souza Cruz"/>
    <s v="-"/>
    <s v="Morangos Hotel"/>
    <s v="-"/>
    <x v="3"/>
    <s v="-"/>
    <x v="11"/>
    <n v="445.2"/>
    <n v="0"/>
    <n v="0"/>
    <n v="0"/>
    <n v="0"/>
    <n v="0"/>
    <s v="-"/>
    <s v="Necessário cadastrar um contrato para o cliente &quot;&quot;"/>
    <x v="0"/>
    <x v="0"/>
    <s v="Análise Cadastro"/>
    <x v="0"/>
    <s v="Qualidade dos dados"/>
    <s v="KONTIK BUSINESS TRAVEL"/>
    <x v="0"/>
  </r>
  <r>
    <n v="22684720"/>
    <n v="23488563"/>
    <s v="ACC01"/>
    <x v="13"/>
    <d v="2025-08-05T10:21:39"/>
    <x v="1"/>
    <x v="0"/>
    <s v="UDXTET"/>
    <s v="SABRE"/>
    <s v="MARTINS/ISRAEL MAURICIO"/>
    <s v="WS"/>
    <s v="WS"/>
    <d v="2025-08-04T13:13:00"/>
    <s v="FGFSIG"/>
    <s v="-"/>
    <s v="ON LINE"/>
    <s v="Cartão de crédito"/>
    <s v="Cartão de crédito"/>
    <x v="2"/>
    <s v="N"/>
    <x v="7"/>
    <s v="Glory"/>
    <s v="-"/>
    <s v="Gol Linhas Aereas"/>
    <n v="2142678674"/>
    <x v="4"/>
    <s v="-"/>
    <x v="12"/>
    <n v="85.3"/>
    <n v="0"/>
    <n v="0"/>
    <n v="0"/>
    <n v="0"/>
    <n v="0"/>
    <s v="Reserva importada por HubTravel"/>
    <s v="Centro de custo não preenchido! (ACC01) Matrícula não preenchida! (ACC01) Informação referencial 2 não preenchida! (ACC01) Projeto não preenchido! "/>
    <x v="4"/>
    <x v="7"/>
    <s v="Falta de informação Gerencial"/>
    <x v="0"/>
    <s v="Qualidade dos dados"/>
    <s v="KONTIK BUSINESS TRAVEL"/>
    <x v="1"/>
  </r>
  <r>
    <n v="22667864"/>
    <n v="23475643"/>
    <s v="ACC01"/>
    <x v="14"/>
    <d v="2025-08-05T07:36:19"/>
    <x v="1"/>
    <x v="4"/>
    <s v="AJXNWQT"/>
    <s v="SABRE"/>
    <s v="LIMA/FABIO BARBOSA"/>
    <s v="WS"/>
    <s v="WS"/>
    <d v="2025-08-01T13:24:00"/>
    <s v="AJXNWQ"/>
    <s v="-"/>
    <s v="ON LINE"/>
    <s v="Cartão de crédito"/>
    <s v="Cartão de crédito"/>
    <x v="1"/>
    <s v="N"/>
    <x v="7"/>
    <s v="Glory"/>
    <s v="-"/>
    <s v="Grand Mercure Brasilia Eixo Monumental"/>
    <s v="-"/>
    <x v="4"/>
    <s v="-"/>
    <x v="13"/>
    <n v="27.03"/>
    <n v="0"/>
    <n v="0"/>
    <n v="0"/>
    <n v="0"/>
    <n v="0"/>
    <s v="Reserva importada por HubTravel"/>
    <s v="Matrícula não preenchida! (ACC01)"/>
    <x v="4"/>
    <x v="8"/>
    <s v="Falta de informação Gerencial"/>
    <x v="0"/>
    <s v="Qualidade dos dados"/>
    <s v="KONTIK BUSINESS TRAVEL"/>
    <x v="1"/>
  </r>
  <r>
    <n v="22692217"/>
    <n v="23495214"/>
    <s v="ACC01"/>
    <x v="15"/>
    <d v="2025-08-06T10:19:09"/>
    <x v="0"/>
    <x v="1"/>
    <s v="FQQARC"/>
    <s v="SABRE"/>
    <s v="KIEVITSBOSCH VIEIRA/THAIS KIEVITSBOSCH"/>
    <s v="WS"/>
    <s v="WS"/>
    <d v="2025-08-05T20:28:00"/>
    <s v=" FQQARC"/>
    <s v="-"/>
    <s v="ON LINE"/>
    <s v="Cartão de crédito"/>
    <s v="Cartão de crédito"/>
    <x v="2"/>
    <s v="N"/>
    <x v="8"/>
    <s v="Elanco - Morumbi"/>
    <s v="-"/>
    <s v="Gol Linhas Aereas"/>
    <n v="2142779681"/>
    <x v="4"/>
    <s v="-"/>
    <x v="14"/>
    <n v="60.62"/>
    <n v="0"/>
    <n v="0"/>
    <n v="0"/>
    <n v="0"/>
    <n v="0"/>
    <s v="Reserva importada por HubTravel"/>
    <s v="Finalidade não preenchida! (ACC01)"/>
    <x v="4"/>
    <x v="9"/>
    <s v="Falta de informação Gerencial"/>
    <x v="0"/>
    <s v="Qualidade dos dados"/>
    <s v="KONTIK BUSINESS TRAVEL"/>
    <x v="1"/>
  </r>
  <r>
    <n v="22699175"/>
    <n v="23501462"/>
    <s v="ACC01"/>
    <x v="16"/>
    <d v="2025-08-07T09:09:12"/>
    <x v="0"/>
    <x v="1"/>
    <s v="FAKDZZC"/>
    <s v="SABRE"/>
    <s v="DI SERIO/RICARDO MARTINI MR"/>
    <s v="WS"/>
    <s v="WS"/>
    <d v="2025-08-07T06:19:00"/>
    <s v="FAKDZZ"/>
    <s v="CPT"/>
    <s v="ON LINE"/>
    <s v="Invoice"/>
    <s v="Faturado"/>
    <x v="3"/>
    <s v="N"/>
    <x v="9"/>
    <s v="Ses Dth"/>
    <s v="-"/>
    <s v="-"/>
    <s v="-"/>
    <x v="4"/>
    <s v="-"/>
    <x v="15"/>
    <n v="1726.4"/>
    <n v="0"/>
    <n v="0"/>
    <n v="0"/>
    <n v="0"/>
    <n v="0"/>
    <s v="Reserva importada por HubTravel"/>
    <s v="Centro de custo não preenchido! (ACC01) Empenho/departamento não preenchido! (ACC01) Matrícula não preenchida! (ACC01)"/>
    <x v="4"/>
    <x v="7"/>
    <s v="Falta de informação Gerencial"/>
    <x v="0"/>
    <s v="Qualidade dos dados"/>
    <s v="KONTIK BUSINESS TRAVEL"/>
    <x v="1"/>
  </r>
  <r>
    <n v="22693671"/>
    <n v="23496581"/>
    <s v="ACC01"/>
    <x v="17"/>
    <d v="2025-08-06T13:38:19"/>
    <x v="0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2"/>
    <s v="N"/>
    <x v="10"/>
    <s v="Adidas do Brasil Ltda"/>
    <s v="-"/>
    <s v="Latam Airlines Brasil"/>
    <n v="2971270833"/>
    <x v="4"/>
    <s v="-"/>
    <x v="16"/>
    <n v="55.65"/>
    <n v="256.97000000000003"/>
    <n v="0"/>
    <n v="55.65"/>
    <n v="0"/>
    <n v="0"/>
    <s v="Reserva importada por HubTravel"/>
    <s v="Verificação de bilhetes: Bilhete 2971270833 já sendo utilizado para este fornecedor."/>
    <x v="4"/>
    <x v="3"/>
    <s v="Bilhete Já Contabilizado"/>
    <x v="1"/>
    <s v="Qualidade dos dados"/>
    <s v="GRUPO KONTIK"/>
    <x v="4"/>
  </r>
  <r>
    <n v="22693671"/>
    <n v="23496582"/>
    <s v="ACC02"/>
    <x v="17"/>
    <d v="2025-08-06T13:38:19"/>
    <x v="0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2"/>
    <s v="N"/>
    <x v="10"/>
    <s v="Adidas do Brasil Ltda"/>
    <s v="-"/>
    <s v="Latam Airlines Brasil"/>
    <n v="1918239181"/>
    <x v="4"/>
    <s v="-"/>
    <x v="17"/>
    <n v="0"/>
    <n v="0"/>
    <n v="0"/>
    <n v="0"/>
    <n v="0"/>
    <n v="0"/>
    <s v="Reserva importada por HubTravel"/>
    <s v="Verificação de bilhetes: Bilhete 2971270833 já sendo utilizado para este fornecedor."/>
    <x v="4"/>
    <x v="3"/>
    <s v="Bilhete Já Contabilizado"/>
    <x v="1"/>
    <s v="Qualidade dos dados"/>
    <s v="GRUPO KONTIK"/>
    <x v="4"/>
  </r>
  <r>
    <n v="22693671"/>
    <n v="23496583"/>
    <s v="ACC03"/>
    <x v="17"/>
    <d v="2025-08-06T13:38:19"/>
    <x v="0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2"/>
    <s v="N"/>
    <x v="10"/>
    <s v="Adidas do Brasil Ltda"/>
    <s v="-"/>
    <s v="Latam Airlines Brasil"/>
    <n v="1918239182"/>
    <x v="4"/>
    <s v="-"/>
    <x v="17"/>
    <n v="0"/>
    <n v="39.68"/>
    <n v="0"/>
    <n v="0"/>
    <n v="0"/>
    <n v="0"/>
    <s v="Reserva importada por HubTravel"/>
    <s v="Verificação de bilhetes: Bilhete 2971270833 já sendo utilizado para este fornecedor."/>
    <x v="4"/>
    <x v="3"/>
    <s v="Bilhete Já Contabilizado"/>
    <x v="1"/>
    <s v="Qualidade dos dados"/>
    <s v="GRUPO KONTIK"/>
    <x v="4"/>
  </r>
  <r>
    <n v="22701489"/>
    <n v="23503652"/>
    <s v="ACC01"/>
    <x v="18"/>
    <d v="2025-08-07T14:56:26"/>
    <x v="0"/>
    <x v="1"/>
    <s v="LA9575542VFFO"/>
    <s v="EBOOKING"/>
    <s v="Hiroyama/Rodrigo"/>
    <s v="Kontrip"/>
    <s v="Kontrip"/>
    <d v="2025-08-07T12:58:00"/>
    <s v="-"/>
    <s v="-"/>
    <s v="OFF LINE"/>
    <s v="Cartão de crédito"/>
    <s v="Cartão de crédito"/>
    <x v="2"/>
    <s v="N"/>
    <x v="11"/>
    <s v="Tap Air Portugal"/>
    <s v="-"/>
    <s v="Latam Airlines Brasil"/>
    <n v="2244704214"/>
    <x v="5"/>
    <s v="-"/>
    <x v="18"/>
    <n v="67.75"/>
    <n v="0"/>
    <n v="40"/>
    <n v="0"/>
    <n v="0"/>
    <n v="26.39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526"/>
    <n v="23503679"/>
    <s v="ACC01"/>
    <x v="19"/>
    <d v="2025-08-07T15:02:01"/>
    <x v="0"/>
    <x v="1"/>
    <s v="YINS5C"/>
    <s v="EBOOKING"/>
    <s v="Boelter/Joel"/>
    <s v="Kontrip"/>
    <s v="Kontrip"/>
    <d v="2025-08-07T12:41:00"/>
    <s v="-"/>
    <s v="-"/>
    <s v="OFF LINE"/>
    <s v="Cartão de crédito"/>
    <s v="Cartão de crédito"/>
    <x v="2"/>
    <s v="N"/>
    <x v="12"/>
    <s v="Felice Automoveis Ltda"/>
    <s v="-"/>
    <s v="Azul Linhas Aereas"/>
    <n v="721127445"/>
    <x v="5"/>
    <s v="-"/>
    <x v="19"/>
    <n v="116.64"/>
    <n v="0"/>
    <n v="0"/>
    <n v="0"/>
    <n v="0"/>
    <n v="203.08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4257"/>
    <n v="23506291"/>
    <s v="ACC01"/>
    <x v="20"/>
    <d v="2025-08-07T20:31:09"/>
    <x v="0"/>
    <x v="1"/>
    <s v="SP4F5K"/>
    <s v="EBOOKING"/>
    <s v="SANTOS/SUELLEN"/>
    <s v="Kontrip"/>
    <s v="Kontrip"/>
    <d v="2025-08-07T05:26:00"/>
    <s v="-"/>
    <s v="-"/>
    <s v="OFF LINE"/>
    <s v="Cartão de crédito"/>
    <s v="Cartão de crédito"/>
    <x v="2"/>
    <s v="N"/>
    <x v="12"/>
    <s v="M3. Business Group Ltda"/>
    <s v="-"/>
    <s v="Azul Linhas Aereas"/>
    <n v="259866459"/>
    <x v="5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4264"/>
    <n v="23506303"/>
    <s v="ACC01"/>
    <x v="21"/>
    <d v="2025-08-07T20:33:40"/>
    <x v="0"/>
    <x v="1"/>
    <s v="VMYRHG"/>
    <s v="EBOOKING"/>
    <s v="VALENTE/KEILA"/>
    <s v="Kontrip"/>
    <s v="Kontrip"/>
    <d v="2025-08-07T05:45:00"/>
    <s v="-"/>
    <s v="-"/>
    <s v="OFF LINE"/>
    <s v="Cartão de crédito"/>
    <s v="Cartão de crédito"/>
    <x v="2"/>
    <s v="N"/>
    <x v="12"/>
    <s v="M3. Business Group Ltda"/>
    <s v="-"/>
    <s v="Azul Linhas Aereas"/>
    <n v="384657625"/>
    <x v="5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4266"/>
    <n v="23506306"/>
    <s v="ACC01"/>
    <x v="22"/>
    <d v="2025-08-07T20:33:44"/>
    <x v="0"/>
    <x v="1"/>
    <s v="LLL72T"/>
    <s v="EBOOKING"/>
    <s v="OLIVEIRA/ADRIANA"/>
    <s v="Kontrip"/>
    <s v="Kontrip"/>
    <d v="2025-08-07T05:54:00"/>
    <s v="-"/>
    <s v="-"/>
    <s v="OFF LINE"/>
    <s v="Cartão de crédito"/>
    <s v="Cartão de crédito"/>
    <x v="2"/>
    <s v="N"/>
    <x v="12"/>
    <s v="M3. Business Group Ltda"/>
    <s v="-"/>
    <s v="Azul Linhas Aereas"/>
    <n v="968746609"/>
    <x v="5"/>
    <s v="-"/>
    <x v="20"/>
    <n v="101.17"/>
    <n v="0"/>
    <n v="0"/>
    <n v="0"/>
    <n v="0"/>
    <n v="113.6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4366"/>
    <n v="23506390"/>
    <s v="ACC01"/>
    <x v="23"/>
    <d v="2025-08-07T21:01:30"/>
    <x v="0"/>
    <x v="1"/>
    <s v="YPRQYN"/>
    <s v="EBOOKING"/>
    <s v="Borba/Felipe"/>
    <s v="Kontrip"/>
    <s v="Kontrip"/>
    <d v="2025-08-07T08:57:00"/>
    <s v="-"/>
    <s v="-"/>
    <s v="OFF LINE"/>
    <s v="Invoice"/>
    <s v="Cartão convênio"/>
    <x v="2"/>
    <s v="N"/>
    <x v="12"/>
    <s v="Galera Gaming Jogos Eletronicos"/>
    <s v="-"/>
    <s v="Azul Linhas Aereas"/>
    <n v="553122361"/>
    <x v="5"/>
    <s v="-"/>
    <x v="21"/>
    <n v="0"/>
    <n v="0"/>
    <n v="0"/>
    <n v="0"/>
    <n v="0"/>
    <n v="4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703064"/>
    <n v="23505173"/>
    <s v="ACC01"/>
    <x v="24"/>
    <d v="2025-08-07T18:28:04"/>
    <x v="0"/>
    <x v="1"/>
    <s v="BPP6HH"/>
    <s v="EBOOKING"/>
    <s v="Alexandre Frosini Evangelista/Carlos"/>
    <s v="Kontrip"/>
    <s v="Kontrip"/>
    <d v="2025-08-07T06:25:00"/>
    <s v="-"/>
    <s v="-"/>
    <s v="OFF LINE"/>
    <s v="Cartão de crédito"/>
    <s v="Cartão de crédito"/>
    <x v="2"/>
    <s v="N"/>
    <x v="12"/>
    <s v="Associacao Brasileira de Geracao Distribuida - Abgd"/>
    <s v="-"/>
    <s v="Azul Linhas Aereas"/>
    <n v="530146970"/>
    <x v="5"/>
    <s v="-"/>
    <x v="22"/>
    <n v="450"/>
    <n v="0"/>
    <n v="0"/>
    <n v="0"/>
    <n v="0"/>
    <n v="4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703095"/>
    <n v="23505205"/>
    <s v="ACC01"/>
    <x v="25"/>
    <d v="2025-08-07T18:31:54"/>
    <x v="0"/>
    <x v="1"/>
    <s v="KQRSAC"/>
    <s v="EBOOKING"/>
    <s v="Sampaio/Bergsan"/>
    <s v="Kontrip"/>
    <s v="Kontrip"/>
    <d v="2025-08-07T05:47:00"/>
    <s v="-"/>
    <s v="-"/>
    <s v="OFF LINE"/>
    <s v="Cartão de crédito"/>
    <s v="Cartão de crédito"/>
    <x v="2"/>
    <s v="N"/>
    <x v="12"/>
    <s v="Ntsec - Network Security"/>
    <s v="-"/>
    <s v="Gol Linhas Aereas"/>
    <n v="2142916171"/>
    <x v="5"/>
    <s v="-"/>
    <x v="23"/>
    <n v="36.67"/>
    <n v="0"/>
    <n v="145.04"/>
    <n v="0"/>
    <n v="0"/>
    <n v="111.68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3175"/>
    <n v="23505287"/>
    <s v="ACC01"/>
    <x v="26"/>
    <d v="2025-08-07T18:39:16"/>
    <x v="0"/>
    <x v="1"/>
    <s v="IRPIKD"/>
    <s v="EBOOKING"/>
    <s v="Sampaio/Bergsan"/>
    <s v="Kontrip"/>
    <s v="Kontrip"/>
    <d v="2025-08-07T05:43:00"/>
    <s v="-"/>
    <s v="-"/>
    <s v="OFF LINE"/>
    <s v="Cartão de crédito"/>
    <s v="Cartão de crédito"/>
    <x v="2"/>
    <s v="N"/>
    <x v="12"/>
    <s v="Ntsec - Network Security"/>
    <s v="-"/>
    <s v="Gol Linhas Aereas"/>
    <n v="2142916962"/>
    <x v="5"/>
    <s v="-"/>
    <x v="24"/>
    <n v="51.07"/>
    <n v="0"/>
    <n v="169.88"/>
    <n v="0"/>
    <n v="0"/>
    <n v="130.81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686963"/>
    <n v="23490647"/>
    <s v="ACC01"/>
    <x v="27"/>
    <d v="2025-08-06T18:28:02"/>
    <x v="0"/>
    <x v="0"/>
    <s v="YOVNRQ"/>
    <s v="EBOOKING"/>
    <s v="ALMEIDA/LUIZ"/>
    <s v="Kontrip"/>
    <s v="Kontrip"/>
    <d v="2025-08-05T03:39:00"/>
    <s v="-"/>
    <s v="-"/>
    <s v="OFF LINE"/>
    <s v="Invoice"/>
    <s v="Cartão convênio"/>
    <x v="2"/>
    <s v="S"/>
    <x v="12"/>
    <s v="Araforros Ind e Comercio de Perfilados Ltda Em Recuperacao Judicial"/>
    <s v="-"/>
    <s v="Azul Linhas Aereas"/>
    <n v="3023498529"/>
    <x v="5"/>
    <s v="-"/>
    <x v="25"/>
    <n v="0"/>
    <n v="0"/>
    <n v="0"/>
    <n v="0"/>
    <n v="0"/>
    <n v="0"/>
    <s v="obs"/>
    <s v="Validação do documento: Valor dever ser maior que zero !"/>
    <x v="5"/>
    <x v="5"/>
    <s v="Análise Benner"/>
    <x v="3"/>
    <s v="Qualidade dos dados"/>
    <s v="KONTRIP VIAGENS"/>
    <x v="5"/>
  </r>
  <r>
    <n v="22693553"/>
    <n v="23496484"/>
    <s v="ACC01"/>
    <x v="28"/>
    <d v="2025-08-06T12:55:23"/>
    <x v="0"/>
    <x v="1"/>
    <s v="EFCSHY"/>
    <s v="EBOOKING"/>
    <s v="ROGERIO DE FRANÇA/PAULO"/>
    <s v="Kontrip"/>
    <s v="Kontrip"/>
    <d v="2025-08-06T12:51:00"/>
    <s v="-"/>
    <s v="-"/>
    <s v="OFF LINE"/>
    <s v="Cartão de crédito"/>
    <s v="Cartão de crédito"/>
    <x v="2"/>
    <s v="N"/>
    <x v="12"/>
    <s v="Mei Instalacao Industrial Ltda"/>
    <s v="-"/>
    <s v="Azul Linhas Aereas"/>
    <n v="442777606"/>
    <x v="5"/>
    <s v="-"/>
    <x v="26"/>
    <n v="0"/>
    <n v="0"/>
    <n v="0"/>
    <n v="0"/>
    <n v="0"/>
    <n v="4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692401"/>
    <n v="23495383"/>
    <s v="ACC01"/>
    <x v="29"/>
    <d v="2025-08-06T10:55:59"/>
    <x v="0"/>
    <x v="1"/>
    <s v="NRFVAS"/>
    <s v="MANUAL"/>
    <s v="Cardoso/Felipe"/>
    <s v="Kontrip"/>
    <s v="Kontrip"/>
    <d v="2025-07-31T01:10:00"/>
    <s v="-"/>
    <s v="-"/>
    <s v="OFF LINE"/>
    <s v="Cartão de crédito"/>
    <s v="Cartão de crédito"/>
    <x v="2"/>
    <s v="S"/>
    <x v="12"/>
    <s v="Kontrip - Vendas Cartao de Credito"/>
    <s v="-"/>
    <s v="Latam Airlines Brasil"/>
    <n v="2243683469"/>
    <x v="5"/>
    <s v="-"/>
    <x v="27"/>
    <n v="30.95"/>
    <n v="0"/>
    <n v="59.03"/>
    <n v="0"/>
    <n v="0"/>
    <n v="0"/>
    <s v="obsCancelamento VOID do pax FELIPE CARDOSO"/>
    <s v="Verificação de bilhetes: Bilhete 2243683469 já sendo utilizado para este fornecedor."/>
    <x v="5"/>
    <x v="3"/>
    <s v="Bilhete Já Contabilizado"/>
    <x v="1"/>
    <s v="Qualidade dos dados"/>
    <s v="KONTRIP VIAGENS"/>
    <x v="5"/>
  </r>
  <r>
    <n v="22700765"/>
    <n v="23502981"/>
    <s v="ACC01"/>
    <x v="30"/>
    <d v="2025-08-07T12:43:35"/>
    <x v="0"/>
    <x v="1"/>
    <s v="CME1UD"/>
    <s v="EBOOKING"/>
    <s v="MARIO MOUTINHO/LUIZ"/>
    <s v="Kontrip"/>
    <s v="Kontrip"/>
    <d v="2025-08-07T12:40:00"/>
    <s v="-"/>
    <s v="-"/>
    <s v="OFF LINE"/>
    <s v="Cartão de crédito"/>
    <s v="Cartão de crédito"/>
    <x v="2"/>
    <s v="N"/>
    <x v="12"/>
    <s v="Kontrip - Vendas Cartao de Credito"/>
    <s v="-"/>
    <s v="Azul Linhas Aereas"/>
    <n v="781870213"/>
    <x v="5"/>
    <s v="-"/>
    <x v="28"/>
    <n v="119.51"/>
    <n v="0"/>
    <n v="201.31"/>
    <n v="0"/>
    <n v="0"/>
    <n v="66.430000000000007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700473"/>
    <n v="23502703"/>
    <s v="ACC01"/>
    <x v="31"/>
    <d v="2025-08-07T12:28:19"/>
    <x v="0"/>
    <x v="1"/>
    <s v="WAQULI"/>
    <s v="EBOOKING"/>
    <s v="Santos Junior/Roberto"/>
    <s v="Kontrip"/>
    <s v="Kontrip"/>
    <d v="2025-08-07T12:23:00"/>
    <s v="-"/>
    <s v="-"/>
    <s v="OFF LINE"/>
    <s v="Cartão de crédito"/>
    <s v="Cartão de crédito"/>
    <x v="2"/>
    <s v="N"/>
    <x v="12"/>
    <s v="Memora"/>
    <s v="-"/>
    <s v="Latam Airlines Brasil"/>
    <n v="2244411354"/>
    <x v="5"/>
    <s v="-"/>
    <x v="29"/>
    <n v="80.69"/>
    <n v="0"/>
    <n v="0"/>
    <n v="0"/>
    <n v="0"/>
    <n v="88.19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700624"/>
    <n v="23502845"/>
    <s v="ACC01"/>
    <x v="32"/>
    <d v="2025-08-07T12:37:01"/>
    <x v="0"/>
    <x v="1"/>
    <s v="UHQOPY"/>
    <s v="EBOOKING"/>
    <s v="Powell/Alexandre"/>
    <s v="Kontrip"/>
    <s v="Kontrip"/>
    <d v="2025-08-07T12:31:00"/>
    <s v="-"/>
    <s v="-"/>
    <s v="OFF LINE"/>
    <s v="Cartão de crédito"/>
    <s v="Cartão de crédito"/>
    <x v="2"/>
    <s v="N"/>
    <x v="12"/>
    <s v="Powell Consultoria"/>
    <s v="-"/>
    <s v="Latam Airlines Brasil"/>
    <n v="2244375759"/>
    <x v="5"/>
    <s v="-"/>
    <x v="30"/>
    <n v="450"/>
    <n v="0"/>
    <n v="0"/>
    <n v="0"/>
    <n v="0"/>
    <n v="40"/>
    <s v="obs"/>
    <s v="Verificação de bilhetes: Bilhete 2244375759 já sendo utilizado para este fornecedor."/>
    <x v="5"/>
    <x v="3"/>
    <s v="Bilhete Já Contabilizado"/>
    <x v="1"/>
    <s v="Qualidade dos dados"/>
    <s v="KONTRIP VIAGENS"/>
    <x v="5"/>
  </r>
  <r>
    <n v="22700741"/>
    <n v="23502957"/>
    <s v="ACC01"/>
    <x v="33"/>
    <d v="2025-08-07T12:42:54"/>
    <x v="0"/>
    <x v="1"/>
    <s v="LA9579303WVLK"/>
    <s v="EBOOKING"/>
    <s v="KERTZMAN/IVAN"/>
    <s v="Kontrip"/>
    <s v="Kontrip"/>
    <d v="2025-08-06T07:23:00"/>
    <s v="-"/>
    <s v="-"/>
    <s v="OFF LINE"/>
    <s v="Cartão de crédito"/>
    <s v="Cartão de crédito"/>
    <x v="2"/>
    <s v="N"/>
    <x v="12"/>
    <s v="Imadec"/>
    <s v="-"/>
    <s v="Latam Airlines Brasil"/>
    <n v="2244684148"/>
    <x v="5"/>
    <s v="-"/>
    <x v="31"/>
    <n v="43.65"/>
    <n v="0"/>
    <n v="60.07"/>
    <n v="0"/>
    <n v="0"/>
    <n v="39.65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696940"/>
    <n v="23499770"/>
    <s v="ACC01"/>
    <x v="34"/>
    <d v="2025-08-06T21:01:21"/>
    <x v="0"/>
    <x v="1"/>
    <s v="LA9578941SQLG"/>
    <s v="EBOOKING"/>
    <s v="Elizabeth Guilarte/Dayana"/>
    <s v="Kontrip"/>
    <s v="Kontrip"/>
    <d v="2025-08-06T05:46:00"/>
    <s v="-"/>
    <s v="-"/>
    <s v="OFF LINE"/>
    <s v="Cartão de crédito"/>
    <s v="Cartão de crédito"/>
    <x v="2"/>
    <s v="N"/>
    <x v="12"/>
    <s v="Zubale Brasil Tecnologia Ltda."/>
    <s v="-"/>
    <s v="Latam Airlines Brasil"/>
    <n v="2244613800"/>
    <x v="5"/>
    <s v="-"/>
    <x v="32"/>
    <n v="60.62"/>
    <n v="0"/>
    <n v="180.55"/>
    <n v="0"/>
    <n v="0"/>
    <n v="119.16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696941"/>
    <n v="23499771"/>
    <s v="ACC01"/>
    <x v="35"/>
    <d v="2025-08-06T21:03:09"/>
    <x v="0"/>
    <x v="1"/>
    <s v="LA9578787ETLE"/>
    <s v="EBOOKING"/>
    <s v="Elizabeth Guilarte/Dayana"/>
    <s v="Kontrip"/>
    <s v="Kontrip"/>
    <d v="2025-08-06T05:46:00"/>
    <s v="-"/>
    <s v="-"/>
    <s v="OFF LINE"/>
    <s v="Cartão de crédito"/>
    <s v="Cartão de crédito"/>
    <x v="2"/>
    <s v="N"/>
    <x v="12"/>
    <s v="Zubale Brasil Tecnologia Ltda."/>
    <s v="-"/>
    <s v="Latam Airlines Brasil"/>
    <n v="2244613732"/>
    <x v="5"/>
    <s v="-"/>
    <x v="33"/>
    <n v="52.56"/>
    <n v="0"/>
    <n v="208.31"/>
    <n v="0"/>
    <n v="0"/>
    <n v="137.49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699617"/>
    <n v="23501892"/>
    <s v="ACC01"/>
    <x v="36"/>
    <d v="2025-08-07T10:34:10"/>
    <x v="0"/>
    <x v="1"/>
    <s v="XNK8WT"/>
    <s v="EBOOKING"/>
    <s v="SILVA/ABEL"/>
    <s v="Kontrip"/>
    <s v="Kontrip"/>
    <d v="2025-08-07T10:30:00"/>
    <s v="-"/>
    <s v="-"/>
    <s v="OFF LINE"/>
    <s v="Cartão de crédito"/>
    <s v="Cartão de crédito"/>
    <x v="2"/>
    <s v="N"/>
    <x v="12"/>
    <s v="Topocart Topografia Engenharia e Aerolevantamentos"/>
    <s v="-"/>
    <s v="Azul Linhas Aereas"/>
    <n v="778248674"/>
    <x v="5"/>
    <s v="-"/>
    <x v="34"/>
    <n v="0"/>
    <n v="0"/>
    <n v="0"/>
    <n v="0"/>
    <n v="0"/>
    <n v="4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700023"/>
    <n v="23502265"/>
    <s v="ACC01"/>
    <x v="37"/>
    <d v="2025-08-07T11:43:19"/>
    <x v="0"/>
    <x v="1"/>
    <s v="RQYD9H"/>
    <s v="EBOOKING"/>
    <s v="Leguizamón/Iolanda"/>
    <s v="Kontrip"/>
    <s v="Kontrip"/>
    <d v="2025-08-07T11:26:00"/>
    <s v="-"/>
    <s v="-"/>
    <s v="OFF LINE"/>
    <s v="Cartão de crédito"/>
    <s v="Cartão de crédito"/>
    <x v="2"/>
    <s v="N"/>
    <x v="12"/>
    <s v="Iolanda de Almeida Leguizamon Ltda"/>
    <s v="-"/>
    <s v="Azul Linhas Aereas"/>
    <n v="545138544"/>
    <x v="5"/>
    <s v="-"/>
    <x v="35"/>
    <n v="93.59"/>
    <n v="0"/>
    <n v="0"/>
    <n v="0"/>
    <n v="0"/>
    <n v="81.88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0023"/>
    <n v="23502266"/>
    <s v="ACC02"/>
    <x v="37"/>
    <d v="2025-08-07T11:43:19"/>
    <x v="0"/>
    <x v="1"/>
    <s v="RQYD9H"/>
    <s v="EBOOKING"/>
    <s v="Leguizamón/Jorge"/>
    <s v="Kontrip"/>
    <s v="Kontrip"/>
    <d v="2025-08-07T11:26:00"/>
    <s v="-"/>
    <s v="-"/>
    <s v="OFF LINE"/>
    <s v="Cartão de crédito"/>
    <s v="Cartão de crédito"/>
    <x v="2"/>
    <s v="N"/>
    <x v="12"/>
    <s v="Iolanda de Almeida Leguizamon Ltda"/>
    <s v="-"/>
    <s v="Azul Linhas Aereas"/>
    <n v="380351125"/>
    <x v="5"/>
    <s v="-"/>
    <x v="35"/>
    <n v="93.59"/>
    <n v="0"/>
    <n v="0"/>
    <n v="0"/>
    <n v="0"/>
    <n v="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0070"/>
    <n v="23502309"/>
    <s v="ACC01"/>
    <x v="38"/>
    <d v="2025-08-07T11:56:50"/>
    <x v="0"/>
    <x v="1"/>
    <s v="YM1U2G"/>
    <s v="EBOOKING"/>
    <s v="ESTEVAO PERDIGAO DE MIRANDA/LUIZ"/>
    <s v="Kontrip"/>
    <s v="Kontrip"/>
    <d v="2025-08-07T11:48:00"/>
    <s v="-"/>
    <s v="-"/>
    <s v="OFF LINE"/>
    <s v="Cartão de crédito"/>
    <s v="Cartão de crédito"/>
    <x v="2"/>
    <s v="N"/>
    <x v="12"/>
    <s v="Kontrip - Vendas Cartao de Credito"/>
    <s v="-"/>
    <s v="Azul Linhas Aereas"/>
    <n v="743416547"/>
    <x v="5"/>
    <s v="-"/>
    <x v="36"/>
    <n v="87.96"/>
    <n v="0"/>
    <n v="0"/>
    <n v="0"/>
    <n v="0"/>
    <n v="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695090"/>
    <n v="23497957"/>
    <s v="ACC01"/>
    <x v="39"/>
    <d v="2025-08-06T17:42:50"/>
    <x v="0"/>
    <x v="1"/>
    <s v="QIGHPS"/>
    <s v="EBOOKING"/>
    <s v="FERREIRA/ISABELLE"/>
    <s v="Kontrip"/>
    <s v="Kontrip"/>
    <d v="2025-08-06T05:41:00"/>
    <s v="-"/>
    <s v="-"/>
    <s v="OFF LINE"/>
    <s v="Cartão de crédito"/>
    <s v="Cartão de crédito"/>
    <x v="2"/>
    <s v="N"/>
    <x v="12"/>
    <s v="Tailler"/>
    <s v="-"/>
    <s v="Azul Linhas Aereas"/>
    <n v="408236868"/>
    <x v="5"/>
    <s v="-"/>
    <x v="37"/>
    <n v="93.46"/>
    <n v="0"/>
    <n v="0"/>
    <n v="0"/>
    <n v="0"/>
    <n v="40.92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695192"/>
    <n v="23498043"/>
    <s v="ACC01"/>
    <x v="40"/>
    <d v="2025-08-06T18:01:59"/>
    <x v="0"/>
    <x v="1"/>
    <s v="YJD2PC"/>
    <s v="EBOOKING"/>
    <s v="FERREIRA/ISABELLE"/>
    <s v="Kontrip"/>
    <s v="Kontrip"/>
    <d v="2025-08-06T05:56:00"/>
    <s v="-"/>
    <s v="-"/>
    <s v="OFF LINE"/>
    <s v="Cartão de crédito"/>
    <s v="Cartão de crédito"/>
    <x v="2"/>
    <s v="N"/>
    <x v="12"/>
    <s v="Tailler"/>
    <s v="-"/>
    <s v="Azul Linhas Aereas"/>
    <n v="267448399"/>
    <x v="5"/>
    <s v="-"/>
    <x v="38"/>
    <n v="96.57"/>
    <n v="0"/>
    <n v="0"/>
    <n v="0"/>
    <n v="0"/>
    <n v="40.92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694293"/>
    <n v="23497154"/>
    <s v="ACC"/>
    <x v="41"/>
    <d v="2025-08-06T15:35:51"/>
    <x v="0"/>
    <x v="1"/>
    <s v="PLKSQW"/>
    <s v="MANUAL"/>
    <s v="ELIZABETH SILVA"/>
    <s v="Kontrip"/>
    <s v="Kontrip"/>
    <d v="2025-08-01T15:31:00"/>
    <s v="-"/>
    <s v="-"/>
    <s v="OFF LINE"/>
    <s v="Invoice"/>
    <s v="Cartão convênio"/>
    <x v="2"/>
    <s v="N"/>
    <x v="12"/>
    <s v="Kontrip - Vendas Cartao de Credito"/>
    <s v="-"/>
    <s v="Azul Linhas Aereas"/>
    <n v="3023497153"/>
    <x v="5"/>
    <s v="-"/>
    <x v="39"/>
    <n v="86.14"/>
    <n v="0"/>
    <n v="0"/>
    <n v="0"/>
    <n v="0"/>
    <n v="107.03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693812"/>
    <n v="23496718"/>
    <s v="ACC01"/>
    <x v="42"/>
    <d v="2025-08-06T13:50:13"/>
    <x v="0"/>
    <x v="1"/>
    <s v="II9WRC"/>
    <s v="EBOOKING"/>
    <s v="EMILIO BRANDAO DE ARAUJO/CARLOS"/>
    <s v="Kontrip"/>
    <s v="Kontrip"/>
    <d v="2025-08-06T01:45:00"/>
    <s v="-"/>
    <s v="-"/>
    <s v="OFF LINE"/>
    <s v="Cartão de crédito"/>
    <s v="Cartão de crédito"/>
    <x v="2"/>
    <s v="N"/>
    <x v="12"/>
    <s v="Conorte Servicos Industriais Ltda"/>
    <s v="-"/>
    <s v="Azul Linhas Aereas"/>
    <n v="863078581"/>
    <x v="5"/>
    <s v="-"/>
    <x v="40"/>
    <n v="0"/>
    <n v="0"/>
    <n v="0"/>
    <n v="0"/>
    <n v="0"/>
    <n v="40"/>
    <s v="obs"/>
    <s v="Pnr já existente. A duplicidade de rloc é permitida apenas 6 meses após o último pnr emitido"/>
    <x v="5"/>
    <x v="6"/>
    <s v="Campo RLOC"/>
    <x v="1"/>
    <s v="Qualidade dos dados"/>
    <s v="KONTRIP VIAGENS"/>
    <x v="5"/>
  </r>
  <r>
    <n v="22651101"/>
    <n v="23460675"/>
    <s v="ACC01"/>
    <x v="43"/>
    <d v="2025-07-31T09:54:58"/>
    <x v="3"/>
    <x v="2"/>
    <s v="MQU7YH01"/>
    <s v="EBOOKING"/>
    <s v="GONÇALVES/GUSTAVO"/>
    <s v="Kontrip"/>
    <s v="Kontrip"/>
    <d v="2025-07-29T06:27:00"/>
    <s v="-"/>
    <s v="-"/>
    <s v="OFF LINE"/>
    <s v="?"/>
    <s v="?"/>
    <x v="2"/>
    <s v="S"/>
    <x v="12"/>
    <s v="Associacao Colo de Deus e Santissima Virgem (a.c.d.s.v)"/>
    <s v="-"/>
    <s v="Azul Linhas Aereas"/>
    <n v="980419988"/>
    <x v="5"/>
    <s v="-"/>
    <x v="41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761"/>
    <n v="23503924"/>
    <s v="ACC"/>
    <x v="44"/>
    <d v="2025-08-07T16:10:02"/>
    <x v="0"/>
    <x v="1"/>
    <s v="OMQC5Q"/>
    <s v="MANUAL"/>
    <s v="ANA PAULA NERI"/>
    <s v="Kontrip"/>
    <s v="Kontrip"/>
    <d v="2025-08-06T15:53:00"/>
    <s v="-"/>
    <s v="-"/>
    <s v="OFF LINE"/>
    <s v="Cartão de crédito"/>
    <s v="Cartão de crédito"/>
    <x v="2"/>
    <s v="N"/>
    <x v="12"/>
    <s v="Tivita Tecnologia E Servicos Ltda"/>
    <s v="-"/>
    <s v="Azul Linhas Aereas"/>
    <n v="3023503923"/>
    <x v="5"/>
    <s v="-"/>
    <x v="42"/>
    <n v="33.56"/>
    <n v="0"/>
    <n v="0"/>
    <n v="0"/>
    <n v="0"/>
    <n v="47.39"/>
    <s v="-"/>
    <s v="35Ocorreu a seguinte exceção ao gerar a ordem de venda: Ocorreu a seguinte exceção ao inserir o item da ordem de venda:  Faltou informar rateio de "/>
    <x v="5"/>
    <x v="4"/>
    <s v="Rateio de centro de custo/projeto"/>
    <x v="2"/>
    <s v="Qualidade dos dados"/>
    <s v="KONTRIP VIAGENS"/>
    <x v="5"/>
  </r>
  <r>
    <n v="22702509"/>
    <n v="23504650"/>
    <s v="ACC01"/>
    <x v="45"/>
    <d v="2025-08-07T17:54:45"/>
    <x v="0"/>
    <x v="1"/>
    <s v="IMMTNW"/>
    <s v="EBOOKING"/>
    <s v="Ribeiro Gomes Amorim/Fernanda"/>
    <s v="Kontrip"/>
    <s v="Kontrip"/>
    <d v="2025-08-06T02:58:00"/>
    <s v="-"/>
    <s v="-"/>
    <s v="OFF LINE"/>
    <s v="Cartão de crédito"/>
    <s v="Cartão de crédito"/>
    <x v="2"/>
    <s v="N"/>
    <x v="12"/>
    <s v="Vpr Consultoria, Eventos, Servicos e Treinamentos Ltda"/>
    <s v="-"/>
    <s v="Gol Linhas Aereas"/>
    <n v="2142913055"/>
    <x v="5"/>
    <s v="-"/>
    <x v="43"/>
    <n v="59.95"/>
    <n v="0"/>
    <n v="0"/>
    <n v="0"/>
    <n v="0"/>
    <n v="15.2"/>
    <s v="obs"/>
    <s v="Não foi possível encontrar configuração válida para Administradora de código 1 e Data Emissão 06/08/2025"/>
    <x v="5"/>
    <x v="5"/>
    <s v="Análise Benner"/>
    <x v="3"/>
    <s v="Qualidade dos dados"/>
    <s v="KONTRIP VIAGENS"/>
    <x v="5"/>
  </r>
  <r>
    <n v="22702557"/>
    <n v="23504693"/>
    <s v="ACC01"/>
    <x v="46"/>
    <d v="2025-08-07T18:03:49"/>
    <x v="0"/>
    <x v="1"/>
    <s v="LN5PJQ"/>
    <s v="EBOOKING"/>
    <s v="PROENÇA/JOSE"/>
    <s v="Kontrip"/>
    <s v="Kontrip"/>
    <d v="2025-08-07T05:46:00"/>
    <s v="-"/>
    <s v="-"/>
    <s v="OFF LINE"/>
    <s v="Cartão de crédito"/>
    <s v="Cartão de crédito"/>
    <x v="2"/>
    <s v="N"/>
    <x v="12"/>
    <s v="Associacao Colo de Deus e Santissima Virgem (a.c.d.s.v)"/>
    <s v="-"/>
    <s v="Azul Linhas Aereas"/>
    <n v="771850144"/>
    <x v="5"/>
    <s v="-"/>
    <x v="44"/>
    <n v="48.16"/>
    <n v="0"/>
    <n v="0"/>
    <n v="0"/>
    <n v="0"/>
    <n v="78.38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2290"/>
    <n v="23504426"/>
    <s v="ACC01"/>
    <x v="47"/>
    <d v="2025-08-07T17:23:04"/>
    <x v="0"/>
    <x v="1"/>
    <s v="TE2DPR"/>
    <s v="EBOOKING"/>
    <s v="Ferrari/Vinicius"/>
    <s v="Kontrip"/>
    <s v="Kontrip"/>
    <d v="2025-08-07T01:02:00"/>
    <s v="-"/>
    <s v="-"/>
    <s v="OFF LINE"/>
    <s v="Cartão de crédito"/>
    <s v="Cartão de crédito"/>
    <x v="2"/>
    <s v="N"/>
    <x v="12"/>
    <s v="Neurox"/>
    <s v="-"/>
    <s v="Azul Linhas Aereas"/>
    <n v="793480309"/>
    <x v="5"/>
    <s v="-"/>
    <x v="45"/>
    <n v="60.62"/>
    <n v="0"/>
    <n v="0"/>
    <n v="0"/>
    <n v="0"/>
    <n v="255.05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2180"/>
    <n v="23504319"/>
    <s v="ACC01"/>
    <x v="48"/>
    <d v="2025-08-07T17:01:08"/>
    <x v="0"/>
    <x v="1"/>
    <s v="NQUL5E"/>
    <s v="EBOOKING"/>
    <s v="de Aguiar Ribeiro/Gustavo"/>
    <s v="Kontrip"/>
    <s v="Kontrip"/>
    <d v="2025-08-07T02:11:00"/>
    <s v="-"/>
    <s v="-"/>
    <s v="OFF LINE"/>
    <s v="Cartão de crédito"/>
    <s v="Cartão de crédito"/>
    <x v="2"/>
    <s v="N"/>
    <x v="12"/>
    <s v="Tributo Devido Contabilidade e Assessoria Tributaria Ltda"/>
    <s v="-"/>
    <s v="Azul Linhas Aereas"/>
    <n v="663202476"/>
    <x v="5"/>
    <s v="-"/>
    <x v="46"/>
    <n v="82.86"/>
    <n v="0"/>
    <n v="0"/>
    <n v="0"/>
    <n v="0"/>
    <n v="489.88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2180"/>
    <n v="23504320"/>
    <s v="ACC02"/>
    <x v="48"/>
    <d v="2025-08-07T17:01:08"/>
    <x v="0"/>
    <x v="1"/>
    <s v="NQUL5E"/>
    <s v="EBOOKING"/>
    <s v="BRANDÃO MAURICIO/Renata"/>
    <s v="Kontrip"/>
    <s v="Kontrip"/>
    <d v="2025-08-07T02:11:00"/>
    <s v="-"/>
    <s v="-"/>
    <s v="OFF LINE"/>
    <s v="Cartão de crédito"/>
    <s v="Cartão de crédito"/>
    <x v="2"/>
    <s v="N"/>
    <x v="12"/>
    <s v="Tributo Devido Contabilidade e Assessoria Tributaria Ltda"/>
    <s v="-"/>
    <s v="Azul Linhas Aereas"/>
    <n v="392102362"/>
    <x v="5"/>
    <s v="-"/>
    <x v="46"/>
    <n v="82.86"/>
    <n v="0"/>
    <n v="0"/>
    <n v="0"/>
    <n v="0"/>
    <n v="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2180"/>
    <n v="23504321"/>
    <s v="ACC03"/>
    <x v="48"/>
    <d v="2025-08-07T17:01:08"/>
    <x v="0"/>
    <x v="1"/>
    <s v="NQUL5E"/>
    <s v="EBOOKING"/>
    <s v="Gustavo Mauricio Ribeiro/Luiz"/>
    <s v="Kontrip"/>
    <s v="Kontrip"/>
    <d v="2025-08-07T02:11:00"/>
    <s v="-"/>
    <s v="-"/>
    <s v="OFF LINE"/>
    <s v="Cartão de crédito"/>
    <s v="Cartão de crédito"/>
    <x v="2"/>
    <s v="N"/>
    <x v="12"/>
    <s v="Tributo Devido Contabilidade e Assessoria Tributaria Ltda"/>
    <s v="-"/>
    <s v="Azul Linhas Aereas"/>
    <n v="877397275"/>
    <x v="5"/>
    <s v="-"/>
    <x v="46"/>
    <n v="82.86"/>
    <n v="0"/>
    <n v="0"/>
    <n v="0"/>
    <n v="0"/>
    <n v="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858"/>
    <n v="23504017"/>
    <s v="ACC01"/>
    <x v="49"/>
    <d v="2025-08-07T16:12:25"/>
    <x v="0"/>
    <x v="1"/>
    <s v="LA9579834VCKM"/>
    <s v="EBOOKING"/>
    <s v="TAIRA/PAULA"/>
    <s v="Kontrip"/>
    <s v="Kontrip"/>
    <d v="2025-08-07T03:08:00"/>
    <s v="-"/>
    <s v="-"/>
    <s v="OFF LINE"/>
    <s v="Cartão de crédito"/>
    <s v="Cartão de crédito"/>
    <x v="2"/>
    <s v="N"/>
    <x v="12"/>
    <s v="Pailon Comunicacao Visual Ltda"/>
    <s v="-"/>
    <s v="Latam Airlines Brasil"/>
    <n v="2244717121"/>
    <x v="5"/>
    <s v="-"/>
    <x v="47"/>
    <n v="108.78"/>
    <n v="0"/>
    <n v="115.02"/>
    <n v="0"/>
    <n v="0"/>
    <n v="227.75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858"/>
    <n v="23504018"/>
    <s v="ACC02"/>
    <x v="49"/>
    <d v="2025-08-07T16:12:25"/>
    <x v="0"/>
    <x v="1"/>
    <s v="LA9579834VCKM"/>
    <s v="EBOOKING"/>
    <s v="LI PUMA JUNIOR/MICHELE"/>
    <s v="Kontrip"/>
    <s v="Kontrip"/>
    <d v="2025-08-07T03:08:00"/>
    <s v="-"/>
    <s v="-"/>
    <s v="OFF LINE"/>
    <s v="Cartão de crédito"/>
    <s v="Cartão de crédito"/>
    <x v="2"/>
    <s v="N"/>
    <x v="12"/>
    <s v="Pailon Comunicacao Visual Ltda"/>
    <s v="-"/>
    <s v="Latam Airlines Brasil"/>
    <n v="2244717122"/>
    <x v="5"/>
    <s v="-"/>
    <x v="47"/>
    <n v="108.78"/>
    <n v="0"/>
    <n v="115.02"/>
    <n v="0"/>
    <n v="0"/>
    <n v="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858"/>
    <n v="23504019"/>
    <s v="ACC03"/>
    <x v="49"/>
    <d v="2025-08-07T16:12:25"/>
    <x v="0"/>
    <x v="1"/>
    <s v="LA9579834VCKM"/>
    <s v="EBOOKING"/>
    <s v="SANTOS/MARIANA"/>
    <s v="Kontrip"/>
    <s v="Kontrip"/>
    <d v="2025-08-07T03:08:00"/>
    <s v="-"/>
    <s v="-"/>
    <s v="OFF LINE"/>
    <s v="Cartão de crédito"/>
    <s v="Cartão de crédito"/>
    <x v="2"/>
    <s v="N"/>
    <x v="12"/>
    <s v="Pailon Comunicacao Visual Ltda"/>
    <s v="-"/>
    <s v="Latam Airlines Brasil"/>
    <n v="2244717123"/>
    <x v="5"/>
    <s v="-"/>
    <x v="47"/>
    <n v="108.78"/>
    <n v="0"/>
    <n v="115.02"/>
    <n v="0"/>
    <n v="0"/>
    <n v="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923"/>
    <n v="23504074"/>
    <s v="ACC01"/>
    <x v="50"/>
    <d v="2025-08-07T16:19:01"/>
    <x v="0"/>
    <x v="1"/>
    <s v="ZIUBHS"/>
    <s v="EBOOKING"/>
    <s v="NOGUEIRA MARINI/FABRIZIO"/>
    <s v="Kontrip"/>
    <s v="Kontrip"/>
    <d v="2025-08-07T10:08:00"/>
    <s v="-"/>
    <s v="-"/>
    <s v="OFF LINE"/>
    <s v="Cartão de crédito"/>
    <s v="Cartão de crédito"/>
    <x v="2"/>
    <s v="N"/>
    <x v="12"/>
    <s v="Fundamentos Sistemas"/>
    <s v="-"/>
    <s v="Azul Linhas Aereas"/>
    <n v="625487084"/>
    <x v="5"/>
    <s v="-"/>
    <x v="48"/>
    <n v="91.57"/>
    <n v="0"/>
    <n v="0"/>
    <n v="0"/>
    <n v="0"/>
    <n v="163.47999999999999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963"/>
    <n v="23504109"/>
    <s v="ACC01"/>
    <x v="51"/>
    <d v="2025-08-07T16:25:04"/>
    <x v="0"/>
    <x v="1"/>
    <s v="ONT1UQ"/>
    <s v="EBOOKING"/>
    <s v="SILVEIRA/VINICIUS"/>
    <s v="Kontrip"/>
    <s v="Kontrip"/>
    <d v="2025-08-06T05:57:00"/>
    <s v="-"/>
    <s v="-"/>
    <s v="OFF LINE"/>
    <s v="?"/>
    <s v="?"/>
    <x v="2"/>
    <s v="N"/>
    <x v="12"/>
    <s v="Associacao Colo de Deus e Santissima Virgem (a.c.d.s.v)"/>
    <s v="-"/>
    <s v="Azul Linhas Aereas"/>
    <n v="433154923"/>
    <x v="5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963"/>
    <n v="23504110"/>
    <s v="ACC02"/>
    <x v="51"/>
    <d v="2025-08-07T16:25:04"/>
    <x v="0"/>
    <x v="1"/>
    <s v="ONT1UQ"/>
    <s v="EBOOKING"/>
    <s v="MARQUES/JONNATA"/>
    <s v="Kontrip"/>
    <s v="Kontrip"/>
    <d v="2025-08-06T05:57:00"/>
    <s v="-"/>
    <s v="-"/>
    <s v="OFF LINE"/>
    <s v="?"/>
    <s v="?"/>
    <x v="2"/>
    <s v="N"/>
    <x v="12"/>
    <s v="Associacao Colo de Deus e Santissima Virgem (a.c.d.s.v)"/>
    <s v="-"/>
    <s v="Azul Linhas Aereas"/>
    <n v="530336503"/>
    <x v="5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963"/>
    <n v="23504111"/>
    <s v="ACC03"/>
    <x v="51"/>
    <d v="2025-08-07T16:25:04"/>
    <x v="0"/>
    <x v="1"/>
    <s v="ONT1UQ"/>
    <s v="EBOOKING"/>
    <s v="SILVA/SUELLEN"/>
    <s v="Kontrip"/>
    <s v="Kontrip"/>
    <d v="2025-08-06T05:57:00"/>
    <s v="-"/>
    <s v="-"/>
    <s v="OFF LINE"/>
    <s v="?"/>
    <s v="?"/>
    <x v="2"/>
    <s v="N"/>
    <x v="12"/>
    <s v="Associacao Colo de Deus e Santissima Virgem (a.c.d.s.v)"/>
    <s v="-"/>
    <s v="Azul Linhas Aereas"/>
    <n v="881669034"/>
    <x v="5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963"/>
    <n v="23504112"/>
    <s v="ACC04"/>
    <x v="51"/>
    <d v="2025-08-07T16:25:04"/>
    <x v="0"/>
    <x v="1"/>
    <s v="ONT1UQ"/>
    <s v="EBOOKING"/>
    <s v="SANTOS/MARIA"/>
    <s v="Kontrip"/>
    <s v="Kontrip"/>
    <d v="2025-08-06T05:57:00"/>
    <s v="-"/>
    <s v="-"/>
    <s v="OFF LINE"/>
    <s v="?"/>
    <s v="?"/>
    <x v="2"/>
    <s v="N"/>
    <x v="12"/>
    <s v="Associacao Colo de Deus e Santissima Virgem (a.c.d.s.v)"/>
    <s v="-"/>
    <s v="Azul Linhas Aereas"/>
    <n v="655926091"/>
    <x v="5"/>
    <s v="-"/>
    <x v="1"/>
    <n v="0"/>
    <n v="0"/>
    <n v="0"/>
    <n v="0"/>
    <n v="0"/>
    <n v="0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964"/>
    <n v="23504113"/>
    <s v="ACC01"/>
    <x v="52"/>
    <d v="2025-08-07T16:28:05"/>
    <x v="0"/>
    <x v="1"/>
    <s v="WRYNTH"/>
    <s v="EBOOKING"/>
    <s v="Barros da Costa/Marília"/>
    <s v="Kontrip"/>
    <s v="Kontrip"/>
    <d v="2025-08-07T01:47:00"/>
    <s v="-"/>
    <s v="-"/>
    <s v="OFF LINE"/>
    <s v="?"/>
    <s v="?"/>
    <x v="2"/>
    <s v="N"/>
    <x v="12"/>
    <s v="Associacao Colo de Deus e Santissima Virgem (a.c.d.s.v)"/>
    <s v="-"/>
    <s v="Azul Linhas Aereas"/>
    <n v="125955518"/>
    <x v="5"/>
    <s v="-"/>
    <x v="49"/>
    <n v="92.53"/>
    <n v="0"/>
    <n v="0"/>
    <n v="0"/>
    <n v="0"/>
    <n v="123.12"/>
    <s v="obs"/>
    <s v=" Módulo Operações    -&gt; Configurações      -&gt; Configurações do sistema turismo        -&gt; Importação das vendas          -&gt; Entradas/Saídas  Para o "/>
    <x v="5"/>
    <x v="10"/>
    <s v="Forma PG. e REC."/>
    <x v="0"/>
    <s v="Qualidade dos dados"/>
    <s v="KONTRIP VIAGENS"/>
    <x v="5"/>
  </r>
  <r>
    <n v="22701979"/>
    <n v="23504123"/>
    <s v="ACC01"/>
    <x v="53"/>
    <d v="2025-08-07T16:28:05"/>
    <x v="0"/>
    <x v="1"/>
    <s v="JIYUSM"/>
    <s v="EBOOKING"/>
    <s v="VICENTE DA SILVA/ELIZABETE"/>
    <s v="Kontrip"/>
    <s v="Kontrip"/>
    <d v="2025-08-07T04:25:00"/>
    <s v="-"/>
    <s v="-"/>
    <s v="OFF LINE"/>
    <s v="Cartão de crédito"/>
    <s v="Cartão de crédito"/>
    <x v="2"/>
    <s v="N"/>
    <x v="12"/>
    <s v="Nayane"/>
    <s v="-"/>
    <s v="Latam Airlines Brasil"/>
    <n v="2244704749"/>
    <x v="5"/>
    <s v="-"/>
    <x v="50"/>
    <n v="450"/>
    <n v="0"/>
    <n v="0"/>
    <n v="0"/>
    <n v="0"/>
    <n v="40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594"/>
    <n v="23503746"/>
    <s v="ACC01"/>
    <x v="54"/>
    <d v="2025-08-07T15:27:46"/>
    <x v="0"/>
    <x v="1"/>
    <s v="LA9574257CKOF"/>
    <s v="EBOOKING"/>
    <s v="Guerreiro Mason/Ricardo"/>
    <s v="Kontrip"/>
    <s v="Kontrip"/>
    <d v="2025-08-07T01:22:00"/>
    <s v="-"/>
    <s v="-"/>
    <s v="OFF LINE"/>
    <s v="Cartão de crédito"/>
    <s v="Cartão de crédito"/>
    <x v="2"/>
    <s v="N"/>
    <x v="12"/>
    <s v="Fortymil Industria de Plasticos Ltda"/>
    <s v="-"/>
    <s v="Latam Airlines Brasil"/>
    <n v="2244707942"/>
    <x v="5"/>
    <s v="-"/>
    <x v="51"/>
    <n v="116.64"/>
    <n v="0"/>
    <n v="57.74"/>
    <n v="0"/>
    <n v="0"/>
    <n v="38.11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1432"/>
    <n v="23503600"/>
    <s v="ACC01"/>
    <x v="55"/>
    <d v="2025-08-07T14:40:01"/>
    <x v="0"/>
    <x v="1"/>
    <s v="LA9578799IXZM"/>
    <s v="EBOOKING"/>
    <s v="Castelo Branco Mesquita/Ilanna"/>
    <s v="Kontrip"/>
    <s v="Kontrip"/>
    <d v="2025-08-07T12:07:00"/>
    <s v="-"/>
    <s v="-"/>
    <s v="OFF LINE"/>
    <s v="Cartão de crédito"/>
    <s v="Cartão de crédito"/>
    <x v="2"/>
    <s v="N"/>
    <x v="12"/>
    <s v="Certare Engenharia e Consultoria"/>
    <s v="-"/>
    <s v="Latam Airlines Brasil"/>
    <n v="2244701000"/>
    <x v="5"/>
    <s v="-"/>
    <x v="52"/>
    <n v="101.01"/>
    <n v="0"/>
    <n v="82.38"/>
    <n v="0"/>
    <n v="0"/>
    <n v="54.37"/>
    <s v="obs"/>
    <s v="Não foi possível encontrar configuração válida para Administradora de código 1 e Data Emissão 07/08/2025"/>
    <x v="5"/>
    <x v="5"/>
    <s v="Análise Benner"/>
    <x v="3"/>
    <s v="Qualidade dos dados"/>
    <s v="KONTRIP VIAGENS"/>
    <x v="5"/>
  </r>
  <r>
    <n v="22702374"/>
    <n v="23504524"/>
    <s v="ACC01"/>
    <x v="56"/>
    <d v="2025-08-07T17:32:02"/>
    <x v="0"/>
    <x v="1"/>
    <s v="AEQMHY"/>
    <s v="MANUAL"/>
    <s v="FERNANDO LEITE"/>
    <s v="Juliana Cardoso"/>
    <s v="Juliana Cardoso"/>
    <d v="2025-08-06T17:23:00"/>
    <s v="-"/>
    <s v="-"/>
    <s v="OFF LINE"/>
    <s v="Invoice"/>
    <s v="Cartão convênio"/>
    <x v="2"/>
    <s v="N"/>
    <x v="12"/>
    <s v="Kontrip - Vendas Cartao de Credito"/>
    <s v="-"/>
    <s v="Azul Linhas Aereas"/>
    <n v="3023504523"/>
    <x v="5"/>
    <s v="-"/>
    <x v="53"/>
    <n v="91.57"/>
    <n v="0"/>
    <n v="0"/>
    <n v="0"/>
    <n v="0"/>
    <n v="332.92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702374"/>
    <n v="23504547"/>
    <s v="ACC02"/>
    <x v="56"/>
    <d v="2025-08-07T17:32:02"/>
    <x v="0"/>
    <x v="1"/>
    <s v="AEQMHY"/>
    <s v="MANUAL"/>
    <s v="GILSON SILVA"/>
    <s v="Juliana Cardoso"/>
    <s v="Juliana Cardoso"/>
    <d v="2025-08-06T17:23:00"/>
    <s v="-"/>
    <s v="-"/>
    <s v="OFF LINE"/>
    <s v="Invoice"/>
    <s v="Cartão convênio"/>
    <x v="2"/>
    <s v="N"/>
    <x v="12"/>
    <s v="Kontrip - Vendas Cartao de Credito"/>
    <s v="-"/>
    <s v="Azul Linhas Aereas"/>
    <n v="3023504548"/>
    <x v="5"/>
    <s v="-"/>
    <x v="53"/>
    <n v="91.57"/>
    <n v="0"/>
    <n v="0"/>
    <n v="0"/>
    <n v="0"/>
    <n v="0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702374"/>
    <n v="23504550"/>
    <s v="ACC03"/>
    <x v="56"/>
    <d v="2025-08-07T17:32:02"/>
    <x v="0"/>
    <x v="1"/>
    <s v="AEQMHY"/>
    <s v="MANUAL"/>
    <s v="FLAVIO SANTIAGO RAMOS"/>
    <s v="Juliana Cardoso"/>
    <s v="Juliana Cardoso"/>
    <d v="2025-08-06T17:23:00"/>
    <s v="-"/>
    <s v="-"/>
    <s v="OFF LINE"/>
    <s v="Invoice"/>
    <s v="Cartão convênio"/>
    <x v="2"/>
    <s v="N"/>
    <x v="12"/>
    <s v="Kontrip - Vendas Cartao de Credito"/>
    <s v="-"/>
    <s v="Azul Linhas Aereas"/>
    <n v="3023504555"/>
    <x v="5"/>
    <s v="-"/>
    <x v="53"/>
    <n v="91.57"/>
    <n v="0"/>
    <n v="0"/>
    <n v="0"/>
    <n v="0"/>
    <n v="0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702374"/>
    <n v="23504552"/>
    <s v="ACC04"/>
    <x v="56"/>
    <d v="2025-08-07T17:32:02"/>
    <x v="0"/>
    <x v="1"/>
    <s v="AEQMHY"/>
    <s v="MANUAL"/>
    <s v="GABRIEL ARMOND DE OLIVEIRA"/>
    <s v="Juliana Cardoso"/>
    <s v="Juliana Cardoso"/>
    <d v="2025-08-06T17:23:00"/>
    <s v="-"/>
    <s v="-"/>
    <s v="OFF LINE"/>
    <s v="Invoice"/>
    <s v="Cartão convênio"/>
    <x v="2"/>
    <s v="N"/>
    <x v="12"/>
    <s v="Kontrip - Vendas Cartao de Credito"/>
    <s v="-"/>
    <s v="Azul Linhas Aereas"/>
    <n v="3023504557"/>
    <x v="5"/>
    <s v="-"/>
    <x v="53"/>
    <n v="91.57"/>
    <n v="0"/>
    <n v="0"/>
    <n v="0"/>
    <n v="0"/>
    <n v="0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702374"/>
    <n v="23504554"/>
    <s v="ACC05"/>
    <x v="56"/>
    <d v="2025-08-07T17:32:02"/>
    <x v="0"/>
    <x v="1"/>
    <s v="AEQMHY"/>
    <s v="MANUAL"/>
    <s v="JOSE LUIS BRITO DE OLIVEIRA"/>
    <s v="Juliana Cardoso"/>
    <s v="Juliana Cardoso"/>
    <d v="2025-08-06T17:23:00"/>
    <s v="-"/>
    <s v="-"/>
    <s v="OFF LINE"/>
    <s v="Invoice"/>
    <s v="Cartão convênio"/>
    <x v="2"/>
    <s v="N"/>
    <x v="12"/>
    <s v="Kontrip - Vendas Cartao de Credito"/>
    <s v="-"/>
    <s v="Azul Linhas Aereas"/>
    <n v="3023504558"/>
    <x v="5"/>
    <s v="-"/>
    <x v="53"/>
    <n v="91.57"/>
    <n v="0"/>
    <n v="0"/>
    <n v="0"/>
    <n v="0"/>
    <n v="0"/>
    <s v="-"/>
    <s v="36Faltou informar rateio de centro de custo/projeto abaixo da accounting"/>
    <x v="5"/>
    <x v="4"/>
    <s v="Rateio de centro de custo/projeto"/>
    <x v="2"/>
    <s v="Qualidade dos dados"/>
    <s v="KONTRIP VIAGENS"/>
    <x v="5"/>
  </r>
  <r>
    <n v="22660650"/>
    <n v="23469373"/>
    <s v="ACC01"/>
    <x v="57"/>
    <d v="2025-08-01T05:26:09"/>
    <x v="3"/>
    <x v="4"/>
    <s v="KTWYDMT"/>
    <s v="SABRE"/>
    <s v="GUALBINO/DANILO EDSON MR"/>
    <s v="Karen Aparecida Ferreira"/>
    <s v="Karen Aparecida Ferreira"/>
    <d v="2025-07-31T07:29:00"/>
    <s v="KTWYDM"/>
    <s v="-"/>
    <s v="OFF LINE"/>
    <s v="Cartão de crédito"/>
    <s v="Cartão de crédito"/>
    <x v="1"/>
    <s v="N"/>
    <x v="13"/>
    <s v="Honeywell"/>
    <s v="Cliente FEE no POS"/>
    <s v="-"/>
    <s v="-"/>
    <x v="6"/>
    <s v="-"/>
    <x v="54"/>
    <n v="60.36"/>
    <n v="0"/>
    <n v="0"/>
    <n v="0"/>
    <n v="0"/>
    <n v="55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991"/>
    <n v="23505110"/>
    <s v="ACC01"/>
    <x v="58"/>
    <d v="2025-08-07T18:28:30"/>
    <x v="0"/>
    <x v="1"/>
    <s v="QHUXOS"/>
    <s v="SABRE"/>
    <s v="GOMEZ JORDAN/MATEO"/>
    <s v="Itamar de Souza"/>
    <s v="Karen Aparecida Ferreira"/>
    <d v="2025-08-07T00:00:00"/>
    <s v="QHUXOS"/>
    <s v="-"/>
    <s v="ON LINE"/>
    <s v="?"/>
    <s v="TKT"/>
    <x v="2"/>
    <s v="N"/>
    <x v="13"/>
    <s v="Honeywell"/>
    <s v="Cliente FEE no POS"/>
    <s v="Latam Airlines Brasil"/>
    <n v="2971622841"/>
    <x v="6"/>
    <s v="-"/>
    <x v="1"/>
    <n v="0"/>
    <n v="450"/>
    <n v="0"/>
    <n v="17.88"/>
    <n v="0"/>
    <n v="0"/>
    <s v="Reserva importada por HubTravel"/>
    <s v="Este cliente não possui permissão para usar este tipo de pagamento e recebimento para este produto."/>
    <x v="4"/>
    <x v="11"/>
    <s v="Forma PG. e REC."/>
    <x v="0"/>
    <s v="Qualidade dos dados"/>
    <s v="KONTIK BUSINESS TRAVEL"/>
    <x v="6"/>
  </r>
  <r>
    <n v="22703075"/>
    <n v="23505184"/>
    <s v="ACC01"/>
    <x v="59"/>
    <d v="2025-08-07T18:36:48"/>
    <x v="0"/>
    <x v="1"/>
    <s v="IVMQBNC"/>
    <s v="SABRE"/>
    <s v="GOMES SR/FABRICIO CAVALCANTI MR"/>
    <s v="Eliane da Silva Souza Paula"/>
    <s v="Eliane da Silva Souza Paula"/>
    <d v="2025-08-07T15:56:00"/>
    <s v="IVMQBN"/>
    <s v="POA"/>
    <s v="ON LINE"/>
    <s v="Invoice"/>
    <s v="Faturado"/>
    <x v="3"/>
    <s v="N"/>
    <x v="13"/>
    <s v="Honeywell"/>
    <s v="Cliente FEE no POS"/>
    <s v="Localiza - Br - Rs - Porto Alegre - Sao Joao"/>
    <s v="-"/>
    <x v="6"/>
    <s v="-"/>
    <x v="55"/>
    <n v="68.489999999999995"/>
    <n v="0"/>
    <n v="0"/>
    <n v="0"/>
    <n v="0"/>
    <n v="0"/>
    <s v="Reserva importada por HubTravel"/>
    <s v="Centro de custo não preenchido! (ACC01)"/>
    <x v="4"/>
    <x v="12"/>
    <s v="Falta de informação Gerencial"/>
    <x v="0"/>
    <s v="Qualidade dos dados"/>
    <s v="KONTIK BUSINESS TRAVEL"/>
    <x v="6"/>
  </r>
  <r>
    <n v="22686110"/>
    <n v="23489886"/>
    <s v="ACC01"/>
    <x v="60"/>
    <d v="2025-08-05T16:06:19"/>
    <x v="1"/>
    <x v="0"/>
    <s v="ISLQTUC"/>
    <s v="SABRE"/>
    <s v="ROCHA/CLEBER DOS SANTOS SIR"/>
    <s v="WS"/>
    <s v="WS"/>
    <d v="2025-08-05T07:34:00"/>
    <s v="ISLQTU"/>
    <s v="FOR"/>
    <s v="ON LINE"/>
    <s v="Invoice"/>
    <s v="Faturado"/>
    <x v="3"/>
    <s v="N"/>
    <x v="13"/>
    <s v="Honeywell Industria de Tecnologia - Itajuba - Mg"/>
    <s v="Cliente FEE no POS"/>
    <s v="-"/>
    <s v="-"/>
    <x v="6"/>
    <s v="-"/>
    <x v="56"/>
    <n v="100.8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67753"/>
    <n v="23475551"/>
    <s v="ACC01"/>
    <x v="61"/>
    <d v="2025-08-01T19:30:17"/>
    <x v="3"/>
    <x v="4"/>
    <s v="IRMFBJC"/>
    <s v="SABRE"/>
    <s v="ROCHA/CLEBER DOS SANTOS SIR"/>
    <s v="WS"/>
    <s v="WS"/>
    <d v="2025-08-01T16:47:00"/>
    <s v="IRMFBJ"/>
    <s v="FLN"/>
    <s v="ON LINE"/>
    <s v="Invoice"/>
    <s v="Faturado"/>
    <x v="3"/>
    <s v="N"/>
    <x v="13"/>
    <s v="Honeywell Industria de Tecnologia - Itajuba - Mg"/>
    <s v="Cliente FEE no POS"/>
    <s v="-"/>
    <s v="-"/>
    <x v="6"/>
    <s v="-"/>
    <x v="57"/>
    <n v="92.4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66098"/>
    <n v="23473958"/>
    <s v="ACC01"/>
    <x v="62"/>
    <d v="2025-08-01T17:16:01"/>
    <x v="3"/>
    <x v="4"/>
    <s v="YIHDQEC"/>
    <s v="SABRE"/>
    <s v="SANTOS/AILTON RIBEIRO DOS MR"/>
    <s v="WS"/>
    <s v="WS"/>
    <d v="2025-08-01T11:07:00"/>
    <s v="YIHDQE"/>
    <s v="CWB"/>
    <s v="ON LINE"/>
    <s v="Invoice"/>
    <s v="Faturado"/>
    <x v="3"/>
    <s v="N"/>
    <x v="13"/>
    <s v="Honeywell"/>
    <s v="Cliente FEE no POS"/>
    <s v="-"/>
    <s v="-"/>
    <x v="6"/>
    <s v="-"/>
    <x v="58"/>
    <n v="50.4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63510"/>
    <n v="23471555"/>
    <s v="ACC01"/>
    <x v="63"/>
    <d v="2025-08-01T10:21:12"/>
    <x v="3"/>
    <x v="4"/>
    <s v="CKJQDBC"/>
    <s v="SABRE"/>
    <s v="FALASQUI/LUIS EDUARDO MR"/>
    <s v="WS"/>
    <s v="WS"/>
    <d v="2025-07-31T14:56:00"/>
    <s v="CKJQDB"/>
    <s v="MAO"/>
    <s v="ON LINE"/>
    <s v="Invoice"/>
    <s v="Faturado"/>
    <x v="3"/>
    <s v="N"/>
    <x v="13"/>
    <s v="Honeywell"/>
    <s v="Cliente FEE no POS"/>
    <s v="-"/>
    <s v="-"/>
    <x v="6"/>
    <s v="-"/>
    <x v="59"/>
    <n v="82.8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1544"/>
    <n v="23503697"/>
    <s v="ACC01"/>
    <x v="64"/>
    <d v="2025-08-07T15:18:17"/>
    <x v="0"/>
    <x v="1"/>
    <s v="KYNHEFC"/>
    <s v="SABRE"/>
    <s v="SANTOS I/PATRICIA MS"/>
    <s v="WS"/>
    <s v="WS"/>
    <d v="2025-08-07T11:57:00"/>
    <s v="KYNHEF"/>
    <s v="GRU"/>
    <s v="ON LINE"/>
    <s v="Invoice"/>
    <s v="Faturado"/>
    <x v="3"/>
    <s v="N"/>
    <x v="13"/>
    <s v="Honeywell"/>
    <s v="Cliente FEE no POS"/>
    <s v="-"/>
    <s v="-"/>
    <x v="6"/>
    <s v="-"/>
    <x v="58"/>
    <n v="50.4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63266"/>
    <n v="23471354"/>
    <s v="ACC01"/>
    <x v="65"/>
    <d v="2025-08-02T04:18:35"/>
    <x v="3"/>
    <x v="4"/>
    <s v="YQFUMC"/>
    <s v="GOVER"/>
    <s v="GRACE CHINEN HIGA"/>
    <s v="Gover"/>
    <s v="Gover"/>
    <d v="2025-08-01T08:54:00"/>
    <n v="4575595"/>
    <s v="-"/>
    <s v="ON LINE"/>
    <s v="Invoice"/>
    <s v="Cartão convênio"/>
    <x v="2"/>
    <s v="N"/>
    <x v="14"/>
    <s v="Rps"/>
    <s v="Cliente FEE no POS"/>
    <s v="Latam Airlines Brasil"/>
    <n v="2243830150"/>
    <x v="7"/>
    <s v="-"/>
    <x v="60"/>
    <n v="80.37"/>
    <n v="0"/>
    <n v="0"/>
    <n v="0"/>
    <n v="0"/>
    <n v="0"/>
    <s v="Reserva importada do sistema Gover. Id: 4575595"/>
    <s v="8914890/6016184&quot; possui uma transação de cartão efetivada"/>
    <x v="6"/>
    <x v="13"/>
    <s v="Financeiro Conciliado"/>
    <x v="4"/>
    <s v="Processo Operacional"/>
    <s v="GRUPO KONTIK"/>
    <x v="7"/>
  </r>
  <r>
    <n v="22130785"/>
    <n v="23011274"/>
    <s v="ACC01"/>
    <x v="66"/>
    <d v="2025-08-06T11:55:28"/>
    <x v="0"/>
    <x v="3"/>
    <n v="1545065602"/>
    <s v="MANUAL"/>
    <s v="ADRIANA BRENTANO"/>
    <s v="Gover"/>
    <s v="Gover"/>
    <d v="2025-05-02T18:32:00"/>
    <n v="4401013"/>
    <s v="-"/>
    <s v="OFF LINE"/>
    <s v="Invoice"/>
    <s v="Faturado"/>
    <x v="1"/>
    <s v="S"/>
    <x v="14"/>
    <s v="Pra"/>
    <s v="Cliente FEE no POS"/>
    <s v="Cozzy Suites Paraiso Hotel"/>
    <s v="-"/>
    <x v="7"/>
    <s v="-"/>
    <x v="61"/>
    <n v="0"/>
    <n v="0"/>
    <n v="0"/>
    <n v="0"/>
    <n v="0"/>
    <n v="57"/>
    <s v="Reserva importada do sistema Gover. Id: 4401013"/>
    <s v="Este cliente não possui permissão para usar este tipo de pagamento e recebimento para este produto."/>
    <x v="0"/>
    <x v="11"/>
    <s v="Forma PG. e REC."/>
    <x v="0"/>
    <s v="Qualidade dos dados"/>
    <s v="KONTIK BUSINESS TRAVEL"/>
    <x v="6"/>
  </r>
  <r>
    <n v="22644463"/>
    <n v="23454658"/>
    <s v="ACC01"/>
    <x v="67"/>
    <d v="2025-07-29T12:20:45"/>
    <x v="2"/>
    <x v="2"/>
    <n v="19348843"/>
    <s v="GOVER"/>
    <s v="FLÁVIA VAZ DE SOUZA"/>
    <s v="Gover"/>
    <s v="Gover"/>
    <d v="2025-07-29T11:49:00"/>
    <n v="4573812"/>
    <s v="-"/>
    <s v="ON LINE"/>
    <s v="Pagamento direto"/>
    <s v="Pagamento direto"/>
    <x v="1"/>
    <s v="N"/>
    <x v="14"/>
    <s v="Rps"/>
    <s v="Cliente FEE no POS"/>
    <s v="Travel Inn Wise Indaiatuba"/>
    <s v="-"/>
    <x v="7"/>
    <s v="-"/>
    <x v="62"/>
    <n v="25.5"/>
    <n v="0"/>
    <n v="0"/>
    <n v="0"/>
    <n v="0"/>
    <n v="0"/>
    <s v="Reserva importada do sistema Gover. Id: 4573812"/>
    <s v="Este cliente não possui permissão para usar este tipo de pagamento e recebimento para este produto."/>
    <x v="6"/>
    <x v="11"/>
    <s v="Forma PG. e REC."/>
    <x v="0"/>
    <s v="Sistêmico"/>
    <s v="GRUPO KONTIK"/>
    <x v="8"/>
  </r>
  <r>
    <n v="22703341"/>
    <n v="23505449"/>
    <s v="ACC01"/>
    <x v="68"/>
    <d v="2025-08-07T19:21:34"/>
    <x v="0"/>
    <x v="1"/>
    <s v="5GK2HE"/>
    <s v="TMS"/>
    <s v="FREDERICO GALINDO"/>
    <s v="Tms"/>
    <s v="Tms"/>
    <d v="2025-08-07T14:54:00"/>
    <n v="7985"/>
    <s v="Fortaleza / FOR"/>
    <s v="ON LINE"/>
    <s v="Invoice"/>
    <s v="Faturado"/>
    <x v="3"/>
    <s v="N"/>
    <x v="15"/>
    <s v="Mars Brasil - Guararema"/>
    <s v="-"/>
    <s v="-"/>
    <s v="-"/>
    <x v="8"/>
    <s v="-"/>
    <x v="63"/>
    <n v="0"/>
    <n v="0"/>
    <n v="0"/>
    <n v="0"/>
    <n v="0"/>
    <n v="0"/>
    <s v="Reserva importada do Sistema TMS. OS: 7985"/>
    <s v="Fornecedor não preenchido! (ACC01)"/>
    <x v="1"/>
    <x v="1"/>
    <s v="Campo Fornecedor"/>
    <x v="0"/>
    <s v="Qualidade dos dados"/>
    <s v="KONTIK BUSINESS TRAVEL"/>
    <x v="1"/>
  </r>
  <r>
    <n v="22701000"/>
    <n v="23503202"/>
    <s v="ACC01"/>
    <x v="69"/>
    <d v="2025-08-07T13:07:08"/>
    <x v="0"/>
    <x v="1"/>
    <s v="5GMPME"/>
    <s v="LEMONTECH"/>
    <s v="LUÍSA MARIA GOMEZ SUAREZ"/>
    <s v="Ana Cristina Neto de Almeida"/>
    <s v="Ana Cristina Neto de Almeida"/>
    <d v="2025-08-07T10:39:00"/>
    <n v="17232644"/>
    <s v="-"/>
    <s v="OFF LINE"/>
    <s v="Invoice"/>
    <s v="Faturado"/>
    <x v="0"/>
    <s v="N"/>
    <x v="16"/>
    <s v="Lojas Renner"/>
    <s v="-"/>
    <s v="-"/>
    <s v="-"/>
    <x v="9"/>
    <s v="-"/>
    <x v="64"/>
    <n v="21.98"/>
    <n v="9.9499999999999993"/>
    <n v="0"/>
    <n v="0"/>
    <n v="0"/>
    <n v="0"/>
    <s v="Reserva importada do Sistema Lemontech. Solicitação: 17232644"/>
    <s v="Fornecedor não preenchido! (ACC01)"/>
    <x v="7"/>
    <x v="1"/>
    <s v="Campo Fornecedor"/>
    <x v="0"/>
    <s v="Qualidade dos dados"/>
    <s v="KONTIK BUSINESS TRAVEL"/>
    <x v="1"/>
  </r>
  <r>
    <n v="22677964"/>
    <n v="23482555"/>
    <s v="ACC01"/>
    <x v="70"/>
    <d v="2025-08-04T12:00:46"/>
    <x v="1"/>
    <x v="0"/>
    <s v="5F11EU"/>
    <s v="LEMONTECH"/>
    <s v="PEDOT/RENAN"/>
    <s v="Hiran Ricardo da Silva Ramos"/>
    <s v="Hiran Ricardo da Silva Ramos"/>
    <d v="2025-07-24T00:00:00"/>
    <n v="17072029"/>
    <s v="-"/>
    <s v="ON LINE"/>
    <s v="Invoice"/>
    <s v="Faturado"/>
    <x v="1"/>
    <s v="N"/>
    <x v="16"/>
    <s v="Lojas Renner"/>
    <s v="-"/>
    <s v="-"/>
    <s v="-"/>
    <x v="9"/>
    <s v="-"/>
    <x v="65"/>
    <n v="0"/>
    <n v="0"/>
    <n v="0"/>
    <n v="0"/>
    <n v="0"/>
    <n v="0"/>
    <s v="Reserva importada do Sistema Lemontech. Solicitação: 17072029"/>
    <s v="Fornecedor não preenchido! (ACC01)"/>
    <x v="7"/>
    <x v="1"/>
    <s v="Campo Fornecedor"/>
    <x v="0"/>
    <s v="Qualidade dos dados"/>
    <s v="KONTIK BUSINESS TRAVEL"/>
    <x v="1"/>
  </r>
  <r>
    <n v="22677965"/>
    <n v="23482556"/>
    <s v="ACC01"/>
    <x v="71"/>
    <d v="2025-08-04T12:00:46"/>
    <x v="1"/>
    <x v="0"/>
    <s v="5FXADU"/>
    <s v="LEMONTECH"/>
    <s v="MELLO DAMBROS/KAREN"/>
    <s v="Hiran Ricardo da Silva Ramos"/>
    <s v="Hiran Ricardo da Silva Ramos"/>
    <d v="2025-07-24T00:00:00"/>
    <n v="17072037"/>
    <s v="-"/>
    <s v="ON LINE"/>
    <s v="Invoice"/>
    <s v="Faturado"/>
    <x v="1"/>
    <s v="N"/>
    <x v="16"/>
    <s v="Lojas Renner"/>
    <s v="-"/>
    <s v="-"/>
    <s v="-"/>
    <x v="9"/>
    <s v="-"/>
    <x v="66"/>
    <n v="0"/>
    <n v="0"/>
    <n v="0"/>
    <n v="0"/>
    <n v="0"/>
    <n v="0"/>
    <s v="Reserva importada do Sistema Lemontech. Solicitação: 17072037"/>
    <s v="Fornecedor não preenchido! (ACC01)"/>
    <x v="7"/>
    <x v="1"/>
    <s v="Campo Fornecedor"/>
    <x v="0"/>
    <s v="Qualidade dos dados"/>
    <s v="KONTIK BUSINESS TRAVEL"/>
    <x v="1"/>
  </r>
  <r>
    <n v="22653035"/>
    <n v="23462600"/>
    <s v="ACC01"/>
    <x v="72"/>
    <d v="2025-07-30T18:00:44"/>
    <x v="2"/>
    <x v="2"/>
    <s v="5FNFJX"/>
    <s v="LEMONTECH"/>
    <s v="MORASTONI/SHARI"/>
    <s v="Hiran Ricardo da Silva Ramos"/>
    <s v="Hiran Ricardo da Silva Ramos"/>
    <d v="2025-07-30T00:00:00"/>
    <n v="17088272"/>
    <s v="-"/>
    <s v="ON LINE"/>
    <s v="Invoice"/>
    <s v="Faturado"/>
    <x v="1"/>
    <s v="N"/>
    <x v="16"/>
    <s v="Lojas Renner"/>
    <s v="-"/>
    <s v="-"/>
    <s v="-"/>
    <x v="9"/>
    <s v="-"/>
    <x v="65"/>
    <n v="0"/>
    <n v="0"/>
    <n v="0"/>
    <n v="0"/>
    <n v="0"/>
    <n v="0"/>
    <s v="Reserva importada do Sistema Lemontech. Solicitação: 17088272"/>
    <s v="Fornecedor não preenchido! (ACC01)"/>
    <x v="7"/>
    <x v="1"/>
    <s v="Campo Fornecedor"/>
    <x v="0"/>
    <s v="Qualidade dos dados"/>
    <s v="KONTIK BUSINESS TRAVEL"/>
    <x v="1"/>
  </r>
  <r>
    <n v="22699802"/>
    <n v="23502063"/>
    <s v="ACC01"/>
    <x v="73"/>
    <d v="2025-08-07T11:08:01"/>
    <x v="0"/>
    <x v="1"/>
    <s v="5GDH52"/>
    <s v="LEMONTECH"/>
    <s v="AMANDA BATISTA"/>
    <s v="Ana Cristina Neto de Almeida"/>
    <s v="Ana Cristina Neto de Almeida"/>
    <d v="2025-08-06T09:47:00"/>
    <n v="17218825"/>
    <s v="-"/>
    <s v="OFF LINE"/>
    <s v="Invoice"/>
    <s v="Faturado"/>
    <x v="0"/>
    <s v="N"/>
    <x v="16"/>
    <s v="Lojas Renner"/>
    <s v="-"/>
    <s v="-"/>
    <s v="-"/>
    <x v="9"/>
    <s v="-"/>
    <x v="67"/>
    <n v="0"/>
    <n v="0"/>
    <n v="0"/>
    <n v="0"/>
    <n v="0"/>
    <n v="0"/>
    <s v="Reserva importada do Sistema Lemontech. Solicitação: 17218825"/>
    <s v="Fornecedor não preenchido! (ACC01)"/>
    <x v="7"/>
    <x v="1"/>
    <s v="Campo Fornecedor"/>
    <x v="0"/>
    <s v="Qualidade dos dados"/>
    <s v="KONTIK BUSINESS TRAVEL"/>
    <x v="1"/>
  </r>
  <r>
    <n v="22699804"/>
    <n v="23502064"/>
    <s v="ACC01"/>
    <x v="74"/>
    <d v="2025-08-07T11:08:02"/>
    <x v="0"/>
    <x v="1"/>
    <s v="5GFH5W"/>
    <s v="LEMONTECH"/>
    <s v="AMANDA BATISTA"/>
    <s v="Ana Cristina Neto de Almeida"/>
    <s v="Ana Cristina Neto de Almeida"/>
    <d v="2025-08-05T18:01:00"/>
    <n v="17218825"/>
    <s v="-"/>
    <s v="OFF LINE"/>
    <s v="Invoice"/>
    <s v="Faturado"/>
    <x v="0"/>
    <s v="N"/>
    <x v="16"/>
    <s v="Lojas Renner"/>
    <s v="-"/>
    <s v="-"/>
    <s v="-"/>
    <x v="9"/>
    <s v="-"/>
    <x v="68"/>
    <n v="21.36"/>
    <n v="9.9499999999999993"/>
    <n v="0"/>
    <n v="0"/>
    <n v="0"/>
    <n v="0"/>
    <s v="Reserva importada do Sistema Lemontech. Solicitação: 17218825"/>
    <s v="Fornecedor não preenchido! (ACC01)"/>
    <x v="7"/>
    <x v="1"/>
    <s v="Campo Fornecedor"/>
    <x v="0"/>
    <s v="Qualidade dos dados"/>
    <s v="KONTIK BUSINESS TRAVEL"/>
    <x v="1"/>
  </r>
  <r>
    <n v="22704133"/>
    <n v="23506183"/>
    <s v="ACC01"/>
    <x v="75"/>
    <d v="2025-08-07T20:06:28"/>
    <x v="0"/>
    <x v="1"/>
    <s v="5GCE9D"/>
    <s v="LEMONTECH"/>
    <s v="DA SILVA/MARCIA"/>
    <s v="Ana Cristina Neto de Almeida"/>
    <s v="Ana Cristina Neto de Almeida"/>
    <d v="2025-08-07T15:46:00"/>
    <n v="17236939"/>
    <s v="-"/>
    <s v="OFF LINE"/>
    <s v="Invoice"/>
    <s v="Faturado"/>
    <x v="0"/>
    <s v="N"/>
    <x v="16"/>
    <s v="Lojas Renner"/>
    <s v="-"/>
    <s v="-"/>
    <s v="-"/>
    <x v="9"/>
    <s v="-"/>
    <x v="69"/>
    <n v="79.86"/>
    <n v="10.95"/>
    <n v="0"/>
    <n v="0"/>
    <n v="0"/>
    <n v="0"/>
    <s v="Reserva importada do Sistema Lemontech. Solicitação: 17236939"/>
    <s v="Fornecedor não preenchido! (ACC01)"/>
    <x v="7"/>
    <x v="1"/>
    <s v="Campo Fornecedor"/>
    <x v="0"/>
    <s v="Qualidade dos dados"/>
    <s v="KONTIK BUSINESS TRAVEL"/>
    <x v="1"/>
  </r>
  <r>
    <n v="22704134"/>
    <n v="23506184"/>
    <s v="ACC01"/>
    <x v="76"/>
    <d v="2025-08-07T20:06:28"/>
    <x v="0"/>
    <x v="1"/>
    <s v="5G4DNC"/>
    <s v="LEMONTECH"/>
    <s v="DA SILVA/MARCIA"/>
    <s v="Ana Cristina Neto de Almeida"/>
    <s v="Ana Cristina Neto de Almeida"/>
    <d v="2025-08-07T16:04:00"/>
    <n v="17236939"/>
    <s v="-"/>
    <s v="OFF LINE"/>
    <s v="Invoice"/>
    <s v="Faturado"/>
    <x v="0"/>
    <s v="N"/>
    <x v="16"/>
    <s v="Lojas Renner"/>
    <s v="-"/>
    <s v="-"/>
    <s v="-"/>
    <x v="9"/>
    <s v="-"/>
    <x v="70"/>
    <n v="0"/>
    <n v="0"/>
    <n v="0"/>
    <n v="0"/>
    <n v="0"/>
    <n v="0"/>
    <s v="Reserva importada do Sistema Lemontech. Solicitação: 17236939"/>
    <s v="Fornecedor não preenchido! (ACC01)"/>
    <x v="7"/>
    <x v="1"/>
    <s v="Campo Fornecedor"/>
    <x v="0"/>
    <s v="Qualidade dos dados"/>
    <s v="KONTIK BUSINESS TRAVEL"/>
    <x v="1"/>
  </r>
  <r>
    <n v="22700163"/>
    <n v="23502403"/>
    <s v="ACC01"/>
    <x v="77"/>
    <d v="2025-08-07T12:07:19"/>
    <x v="0"/>
    <x v="1"/>
    <s v="5G82H2"/>
    <s v="LEMONTECH"/>
    <s v="MARIA JULIA MATIAS"/>
    <s v="Ana Cristina Neto de Almeida"/>
    <s v="Ana Cristina Neto de Almeida"/>
    <d v="2025-08-07T11:18:00"/>
    <n v="17226747"/>
    <s v="-"/>
    <s v="OFF LINE"/>
    <s v="Invoice"/>
    <s v="Faturado"/>
    <x v="0"/>
    <s v="N"/>
    <x v="16"/>
    <s v="Youcom"/>
    <s v="-"/>
    <s v="-"/>
    <s v="-"/>
    <x v="9"/>
    <s v="-"/>
    <x v="71"/>
    <n v="52.19"/>
    <n v="10.95"/>
    <n v="0"/>
    <n v="0"/>
    <n v="0"/>
    <n v="0"/>
    <s v="Reserva importada do Sistema Lemontech. Solicitação: 17226747"/>
    <s v="Fornecedor não preenchido! (ACC01)"/>
    <x v="7"/>
    <x v="1"/>
    <s v="Campo Fornecedor"/>
    <x v="0"/>
    <s v="Qualidade dos dados"/>
    <s v="KONTIK BUSINESS TRAVEL"/>
    <x v="1"/>
  </r>
  <r>
    <n v="22700165"/>
    <n v="23502404"/>
    <s v="ACC01"/>
    <x v="78"/>
    <d v="2025-08-07T12:07:20"/>
    <x v="0"/>
    <x v="1"/>
    <s v="5GOWHX"/>
    <s v="LEMONTECH"/>
    <s v="MARIA JULIA MATIAS"/>
    <s v="Ana Cristina Neto de Almeida"/>
    <s v="Ana Cristina Neto de Almeida"/>
    <d v="2025-08-06T16:03:00"/>
    <n v="17226747"/>
    <s v="-"/>
    <s v="OFF LINE"/>
    <s v="Invoice"/>
    <s v="Faturado"/>
    <x v="0"/>
    <s v="N"/>
    <x v="16"/>
    <s v="Youcom"/>
    <s v="-"/>
    <s v="-"/>
    <s v="-"/>
    <x v="9"/>
    <s v="-"/>
    <x v="72"/>
    <n v="52.18"/>
    <n v="10.95"/>
    <n v="0"/>
    <n v="0"/>
    <n v="0"/>
    <n v="0"/>
    <s v="Reserva importada do Sistema Lemontech. Solicitação: 17226747"/>
    <s v="Fornecedor não preenchido! (ACC01)"/>
    <x v="7"/>
    <x v="1"/>
    <s v="Campo Fornecedor"/>
    <x v="0"/>
    <s v="Qualidade dos dados"/>
    <s v="KONTIK BUSINESS TRAVEL"/>
    <x v="1"/>
  </r>
  <r>
    <n v="22699794"/>
    <n v="23502055"/>
    <s v="ACC01"/>
    <x v="79"/>
    <d v="2025-08-07T11:07:29"/>
    <x v="0"/>
    <x v="1"/>
    <s v="5G5TGS"/>
    <s v="LEMONTECH"/>
    <s v="BRIETZIG/STEFANI"/>
    <s v="Ana Cristina Neto de Almeida"/>
    <s v="Ana Cristina Neto de Almeida"/>
    <d v="2025-08-04T17:31:00"/>
    <n v="17205320"/>
    <s v="-"/>
    <s v="OFF LINE"/>
    <s v="Invoice"/>
    <s v="Faturado"/>
    <x v="0"/>
    <s v="N"/>
    <x v="16"/>
    <s v="Youcom"/>
    <s v="-"/>
    <s v="-"/>
    <s v="-"/>
    <x v="9"/>
    <s v="-"/>
    <x v="73"/>
    <n v="23.23"/>
    <n v="9.9499999999999993"/>
    <n v="0"/>
    <n v="0"/>
    <n v="0"/>
    <n v="0"/>
    <s v="Reserva importada do Sistema Lemontech. Solicitação: 17205320"/>
    <s v="Fornecedor não preenchido! (ACC01)"/>
    <x v="7"/>
    <x v="1"/>
    <s v="Campo Fornecedor"/>
    <x v="0"/>
    <s v="Qualidade dos dados"/>
    <s v="KONTIK BUSINESS TRAVEL"/>
    <x v="1"/>
  </r>
  <r>
    <n v="22705301"/>
    <n v="23507217"/>
    <s v="ACC01"/>
    <x v="80"/>
    <d v="2025-08-08T01:06:04"/>
    <x v="0"/>
    <x v="1"/>
    <s v="5GETBV"/>
    <s v="LEMONTECH"/>
    <s v="VIEIRA FERNANDES/LILIAM"/>
    <s v="Ronaldo Pereira Muzel"/>
    <s v="Ronaldo Pereira Muzel"/>
    <d v="2025-07-16T00:00:00"/>
    <n v="17240154"/>
    <s v="-"/>
    <s v="ON LINE"/>
    <s v="Cartão de crédito"/>
    <s v="Cartão de crédito"/>
    <x v="1"/>
    <s v="N"/>
    <x v="16"/>
    <s v="Lojas Renner"/>
    <s v="-"/>
    <s v="-"/>
    <s v="-"/>
    <x v="9"/>
    <s v="-"/>
    <x v="74"/>
    <n v="0"/>
    <n v="0"/>
    <n v="0"/>
    <n v="0"/>
    <n v="24.4"/>
    <n v="0"/>
    <s v="Reserva importada do Sistema Lemontech. Solicitação: 17240154"/>
    <s v="Fornecedor não preenchido! (ACC01)"/>
    <x v="7"/>
    <x v="1"/>
    <s v="Campo Fornecedor"/>
    <x v="0"/>
    <s v="Qualidade dos dados"/>
    <s v="KONTIK BUSINESS TRAVEL"/>
    <x v="1"/>
  </r>
  <r>
    <n v="22696209"/>
    <n v="23499064"/>
    <s v="ACC01"/>
    <x v="81"/>
    <d v="2025-08-06T19:55:51"/>
    <x v="0"/>
    <x v="1"/>
    <s v="5GTHM2"/>
    <s v="TMS"/>
    <s v="AMANDA SANTOS COELHO"/>
    <s v="Tms"/>
    <s v="Tms"/>
    <d v="2025-08-06T17:43:00"/>
    <n v="76208"/>
    <s v="-"/>
    <s v="ON LINE"/>
    <s v="Cartão de crédito"/>
    <s v="Cartão de crédito"/>
    <x v="1"/>
    <s v="N"/>
    <x v="17"/>
    <s v="Ultragaz-matriz"/>
    <s v="-"/>
    <s v="-"/>
    <s v="-"/>
    <x v="10"/>
    <s v="-"/>
    <x v="75"/>
    <n v="0"/>
    <n v="0"/>
    <n v="0"/>
    <n v="0"/>
    <n v="10.95"/>
    <n v="0"/>
    <s v="Reserva importada do Sistema TMS. OS: 76208"/>
    <s v="Fornecedor não preenchido! (ACC01)"/>
    <x v="1"/>
    <x v="1"/>
    <s v="Campo Fornecedor"/>
    <x v="0"/>
    <s v="Sistêmico"/>
    <s v="GRUPO KONTIK"/>
    <x v="8"/>
  </r>
  <r>
    <n v="22696295"/>
    <n v="23499141"/>
    <s v="ACC01"/>
    <x v="82"/>
    <d v="2025-08-06T20:05:24"/>
    <x v="0"/>
    <x v="1"/>
    <s v="5GRBZS"/>
    <s v="TMS"/>
    <s v="MAYARA SKRABA"/>
    <s v="Tms"/>
    <s v="Tms"/>
    <d v="2025-08-06T13:31:00"/>
    <n v="76118"/>
    <s v="-"/>
    <s v="ON LINE"/>
    <s v="Cartão de crédito"/>
    <s v="Cartão de crédito"/>
    <x v="1"/>
    <s v="N"/>
    <x v="17"/>
    <s v="Ultragaz-matriz"/>
    <s v="-"/>
    <s v="-"/>
    <s v="-"/>
    <x v="10"/>
    <s v="-"/>
    <x v="76"/>
    <n v="0"/>
    <n v="0"/>
    <n v="0"/>
    <n v="0"/>
    <n v="0"/>
    <n v="0"/>
    <s v="Reserva importada do Sistema TMS. OS: 76118"/>
    <s v="Fornecedor não preenchido! (ACC01)"/>
    <x v="1"/>
    <x v="1"/>
    <s v="Campo Fornecedor"/>
    <x v="0"/>
    <s v="Sistêmico"/>
    <s v="GRUPO KONTIK"/>
    <x v="8"/>
  </r>
  <r>
    <n v="22703814"/>
    <n v="23505905"/>
    <s v="ACC01"/>
    <x v="83"/>
    <d v="2025-08-07T20:06:37"/>
    <x v="0"/>
    <x v="1"/>
    <s v="5GS5K3"/>
    <s v="TMS"/>
    <s v="NILSON CESAR MONTEIRO NOGUEIRA"/>
    <s v="Tamara Michels Behn"/>
    <s v="Tamara Michels Behn"/>
    <d v="2025-08-07T12:14:00"/>
    <n v="76308"/>
    <s v="-"/>
    <s v="OFF LINE"/>
    <s v="Cartão de crédito"/>
    <s v="Cartão de crédito"/>
    <x v="1"/>
    <s v="N"/>
    <x v="17"/>
    <s v="Ultragaz-matriz"/>
    <s v="-"/>
    <s v="-"/>
    <s v="-"/>
    <x v="10"/>
    <s v="-"/>
    <x v="77"/>
    <n v="0"/>
    <n v="0"/>
    <n v="0"/>
    <n v="0"/>
    <n v="20"/>
    <n v="0"/>
    <s v="Reserva importada do Sistema TMS. OS: 76308"/>
    <s v="Fornecedor não preenchido! (ACC01)"/>
    <x v="1"/>
    <x v="1"/>
    <s v="Campo Fornecedor"/>
    <x v="0"/>
    <s v="Qualidade dos dados"/>
    <s v="KONTIK BUSINESS TRAVEL"/>
    <x v="1"/>
  </r>
  <r>
    <n v="22703815"/>
    <n v="23505906"/>
    <s v="ACC01"/>
    <x v="84"/>
    <d v="2025-08-07T20:06:37"/>
    <x v="0"/>
    <x v="1"/>
    <s v="5GEG8D"/>
    <s v="TMS"/>
    <s v="MAURICIO CESAR LADEIRA"/>
    <s v="Tamara Michels Behn"/>
    <s v="Tamara Michels Behn"/>
    <d v="2025-08-07T14:45:00"/>
    <n v="76307"/>
    <s v="-"/>
    <s v="OFF LINE"/>
    <s v="Cartão de crédito"/>
    <s v="Cartão de crédito"/>
    <x v="1"/>
    <s v="N"/>
    <x v="17"/>
    <s v="Ultragaz-matriz"/>
    <s v="-"/>
    <s v="-"/>
    <s v="-"/>
    <x v="10"/>
    <s v="-"/>
    <x v="78"/>
    <n v="0"/>
    <n v="0"/>
    <n v="0"/>
    <n v="0"/>
    <n v="0"/>
    <n v="0"/>
    <s v="Reserva importada do Sistema TMS. OS: 76307"/>
    <s v="Fornecedor não preenchido! (ACC01)"/>
    <x v="1"/>
    <x v="1"/>
    <s v="Campo Fornecedor"/>
    <x v="0"/>
    <s v="Qualidade dos dados"/>
    <s v="KONTIK BUSINESS TRAVEL"/>
    <x v="1"/>
  </r>
  <r>
    <n v="22651362"/>
    <n v="23460927"/>
    <s v="ACC01"/>
    <x v="85"/>
    <d v="2025-07-30T13:37:41"/>
    <x v="2"/>
    <x v="2"/>
    <s v="5FQTV2"/>
    <s v="TMS"/>
    <s v="FERNANDO OLIVEIRA CORREA"/>
    <s v="Tamara Michels Behn"/>
    <s v="Tamara Michels Behn"/>
    <d v="2025-07-30T11:39:00"/>
    <n v="75371"/>
    <s v="-"/>
    <s v="OFF LINE"/>
    <s v="Cartão de crédito"/>
    <s v="Cartão de crédito"/>
    <x v="1"/>
    <s v="N"/>
    <x v="17"/>
    <s v="Ultragaz-matriz"/>
    <s v="-"/>
    <s v="-"/>
    <s v="-"/>
    <x v="10"/>
    <s v="-"/>
    <x v="79"/>
    <n v="0"/>
    <n v="0"/>
    <n v="0"/>
    <n v="0"/>
    <n v="0"/>
    <n v="0"/>
    <s v="Reserva importada do Sistema TMS. OS: 75371"/>
    <s v="Fornecedor não preenchido! (ACC01)"/>
    <x v="1"/>
    <x v="1"/>
    <s v="Campo Fornecedor"/>
    <x v="0"/>
    <s v="Qualidade dos dados"/>
    <s v="KONTIK BUSINESS TRAVEL"/>
    <x v="1"/>
  </r>
  <r>
    <n v="22685870"/>
    <n v="23489673"/>
    <s v="ACC01"/>
    <x v="86"/>
    <d v="2025-08-05T13:15:33"/>
    <x v="1"/>
    <x v="0"/>
    <s v="5F8FVO"/>
    <s v="TMS"/>
    <s v="AELIO GOMES REGO"/>
    <s v="Tamara Michels Behn"/>
    <s v="Tamara Michels Behn"/>
    <d v="2025-08-05T11:21:00"/>
    <n v="75571"/>
    <s v="-"/>
    <s v="OFF LINE"/>
    <s v="Cartão de crédito"/>
    <s v="Cartão de crédito"/>
    <x v="1"/>
    <s v="N"/>
    <x v="17"/>
    <s v="Ultragaz-matriz"/>
    <s v="-"/>
    <s v="-"/>
    <s v="-"/>
    <x v="10"/>
    <s v="-"/>
    <x v="80"/>
    <n v="0"/>
    <n v="0"/>
    <n v="0"/>
    <n v="0"/>
    <n v="0"/>
    <n v="0"/>
    <s v="Reserva importada do Sistema TMS. OS: 75571"/>
    <s v="Fornecedor não preenchido! (ACC01)"/>
    <x v="1"/>
    <x v="1"/>
    <s v="Campo Fornecedor"/>
    <x v="0"/>
    <s v="Qualidade dos dados"/>
    <s v="KONTIK BUSINESS TRAVEL"/>
    <x v="1"/>
  </r>
  <r>
    <n v="22697828"/>
    <n v="23500590"/>
    <s v="ACC01"/>
    <x v="87"/>
    <d v="2025-08-07T00:30:50"/>
    <x v="0"/>
    <x v="1"/>
    <s v="5GVQEX"/>
    <s v="TMS"/>
    <s v="NEIMAR DOS SANTOS"/>
    <s v="Tamara Michels Behn"/>
    <s v="Tamara Michels Behn"/>
    <d v="2025-08-06T18:39:00"/>
    <n v="76179"/>
    <s v="-"/>
    <s v="OFF LINE"/>
    <s v="Cartão de crédito"/>
    <s v="Cartão de crédito"/>
    <x v="1"/>
    <s v="N"/>
    <x v="17"/>
    <s v="Ultragaz-matriz"/>
    <s v="-"/>
    <s v="-"/>
    <s v="-"/>
    <x v="10"/>
    <s v="-"/>
    <x v="81"/>
    <n v="0"/>
    <n v="0"/>
    <n v="0"/>
    <n v="0"/>
    <n v="0"/>
    <n v="0"/>
    <s v="Reserva importada do Sistema TMS. OS: 76179"/>
    <s v="Fornecedor não preenchido! (ACC01)"/>
    <x v="1"/>
    <x v="1"/>
    <s v="Campo Fornecedor"/>
    <x v="0"/>
    <s v="Qualidade dos dados"/>
    <s v="KONTIK BUSINESS TRAVEL"/>
    <x v="1"/>
  </r>
  <r>
    <n v="22679969"/>
    <n v="23484417"/>
    <s v="ACC01"/>
    <x v="88"/>
    <d v="2025-08-04T17:05:15"/>
    <x v="1"/>
    <x v="0"/>
    <s v="5FTDL7"/>
    <s v="MANUAL"/>
    <s v="RAFAEL YANES SOARES"/>
    <s v="Tms"/>
    <s v="Tms"/>
    <d v="2025-02-17T14:51:00"/>
    <n v="296"/>
    <s v="-"/>
    <s v="OFF LINE"/>
    <s v="Invoice"/>
    <s v="Faturado"/>
    <x v="1"/>
    <s v="N"/>
    <x v="18"/>
    <s v="Tfsports Eventos Esportivos Ltda"/>
    <s v="-"/>
    <s v="Hf Fenix Lisboa"/>
    <s v="-"/>
    <x v="10"/>
    <s v="-"/>
    <x v="82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0"/>
    <s v="Análise Cadastro"/>
    <x v="0"/>
    <s v="Qualidade dos dados"/>
    <s v="KONTIK BUSINESS TRAVEL"/>
    <x v="0"/>
  </r>
  <r>
    <n v="22679983"/>
    <n v="23484427"/>
    <s v="ACC01"/>
    <x v="89"/>
    <d v="2025-08-04T17:06:27"/>
    <x v="1"/>
    <x v="0"/>
    <s v="4U61T7.F"/>
    <s v="MANUAL"/>
    <s v="RAFAEL YANES SOARES"/>
    <s v="Tms"/>
    <s v="Tms"/>
    <d v="2025-02-17T14:51:00"/>
    <n v="296"/>
    <s v="-"/>
    <s v="OFF LINE"/>
    <s v="Invoice"/>
    <s v="Faturado"/>
    <x v="1"/>
    <s v="N"/>
    <x v="18"/>
    <s v="Tfsports Eventos Esportivos Ltda"/>
    <s v="-"/>
    <s v="Hf Fenix Lisboa"/>
    <s v="-"/>
    <x v="10"/>
    <s v="-"/>
    <x v="82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0"/>
    <s v="Análise Cadastro"/>
    <x v="0"/>
    <s v="Qualidade dos dados"/>
    <s v="KONTIK BUSINESS TRAVEL"/>
    <x v="0"/>
  </r>
  <r>
    <n v="22700782"/>
    <n v="23502996"/>
    <s v="ACC01"/>
    <x v="90"/>
    <d v="2025-08-07T13:06:56"/>
    <x v="0"/>
    <x v="1"/>
    <s v="5GYQLX"/>
    <s v="TMS"/>
    <s v="VINICIUS SILVA"/>
    <s v="Diogo Dantas Gomes"/>
    <s v="Diogo Dantas Gomes"/>
    <d v="2025-08-07T09:32:00"/>
    <n v="4979"/>
    <s v="-"/>
    <s v="OFF LINE"/>
    <s v="Invoice"/>
    <s v="Faturado"/>
    <x v="1"/>
    <s v="N"/>
    <x v="18"/>
    <s v="Track e Field Co Sa Matriz"/>
    <s v="-"/>
    <s v="-"/>
    <s v="-"/>
    <x v="10"/>
    <s v="-"/>
    <x v="83"/>
    <n v="0"/>
    <n v="0"/>
    <n v="0"/>
    <n v="0"/>
    <n v="0"/>
    <n v="0"/>
    <s v="Reserva importada do Sistema TMS. OS: 4979"/>
    <s v="Fornecedor não preenchido! (ACC01)"/>
    <x v="1"/>
    <x v="1"/>
    <s v="Campo Fornecedor"/>
    <x v="0"/>
    <s v="Qualidade dos dados"/>
    <s v="KONTIK BUSINESS TRAVEL"/>
    <x v="1"/>
  </r>
  <r>
    <n v="22696206"/>
    <n v="23499061"/>
    <s v="ACC01"/>
    <x v="91"/>
    <d v="2025-08-06T19:55:42"/>
    <x v="0"/>
    <x v="1"/>
    <s v="5G2YMX"/>
    <s v="TMS"/>
    <s v="BIANCA RICHETTO ZEBER"/>
    <s v="Tms"/>
    <s v="Tms"/>
    <d v="2025-08-06T16:06:00"/>
    <n v="574"/>
    <s v="-"/>
    <s v="ON LINE"/>
    <s v="Invoice"/>
    <s v="Faturado"/>
    <x v="1"/>
    <s v="N"/>
    <x v="18"/>
    <s v="Tfsports Eventos Esportivos Ltda"/>
    <s v="-"/>
    <s v="-"/>
    <s v="-"/>
    <x v="10"/>
    <s v="-"/>
    <x v="84"/>
    <n v="0"/>
    <n v="0"/>
    <n v="0"/>
    <n v="0"/>
    <n v="12.16"/>
    <n v="0"/>
    <s v="Reserva importada do Sistema TMS. OS: 574"/>
    <s v="Fornecedor não preenchido! (ACC01)"/>
    <x v="1"/>
    <x v="1"/>
    <s v="Campo Fornecedor"/>
    <x v="0"/>
    <s v="Sistêmico"/>
    <s v="GRUPO KONTIK"/>
    <x v="8"/>
  </r>
  <r>
    <n v="22703819"/>
    <n v="23505909"/>
    <s v="ACC01"/>
    <x v="92"/>
    <d v="2025-08-07T20:10:22"/>
    <x v="0"/>
    <x v="1"/>
    <s v="5G6GID"/>
    <s v="TMS"/>
    <s v="ED CARLOS FRANCISCO"/>
    <s v="Raissa Iorio Cestari"/>
    <s v="Raissa Iorio Cestari"/>
    <d v="2025-08-07T14:14:00"/>
    <n v="76303"/>
    <s v="-"/>
    <s v="OFF LINE"/>
    <s v="Cartão de crédito"/>
    <s v="Cartão de crédito"/>
    <x v="1"/>
    <s v="N"/>
    <x v="17"/>
    <s v="Ultragaz-matriz"/>
    <s v="-"/>
    <s v="-"/>
    <s v="-"/>
    <x v="10"/>
    <s v="-"/>
    <x v="85"/>
    <n v="0"/>
    <n v="0"/>
    <n v="0"/>
    <n v="0"/>
    <n v="0"/>
    <n v="0"/>
    <s v="Reserva importada do Sistema TMS. OS: 76303"/>
    <s v="Fornecedor não preenchido! (ACC01)"/>
    <x v="1"/>
    <x v="1"/>
    <s v="Campo Fornecedor"/>
    <x v="0"/>
    <s v="Qualidade dos dados"/>
    <s v="KONTIK BUSINESS TRAVEL"/>
    <x v="1"/>
  </r>
  <r>
    <n v="22703820"/>
    <n v="23505910"/>
    <s v="ACC01"/>
    <x v="93"/>
    <d v="2025-08-07T20:10:22"/>
    <x v="0"/>
    <x v="1"/>
    <s v="5G75I3"/>
    <s v="TMS"/>
    <s v="RAFAEL DE SOUSA COSTA"/>
    <s v="Raissa Iorio Cestari"/>
    <s v="Raissa Iorio Cestari"/>
    <d v="2025-08-07T14:00:00"/>
    <n v="76302"/>
    <s v="-"/>
    <s v="OFF LINE"/>
    <s v="Cartão de crédito"/>
    <s v="Cartão de crédito"/>
    <x v="1"/>
    <s v="N"/>
    <x v="17"/>
    <s v="Ultragaz-matriz"/>
    <s v="-"/>
    <s v="-"/>
    <s v="-"/>
    <x v="10"/>
    <s v="-"/>
    <x v="86"/>
    <n v="0"/>
    <n v="0"/>
    <n v="0"/>
    <n v="0"/>
    <n v="0"/>
    <n v="0"/>
    <s v="Reserva importada do Sistema TMS. OS: 76302"/>
    <s v="Fornecedor não preenchido! (ACC01)"/>
    <x v="1"/>
    <x v="1"/>
    <s v="Campo Fornecedor"/>
    <x v="0"/>
    <s v="Qualidade dos dados"/>
    <s v="KONTIK BUSINESS TRAVEL"/>
    <x v="1"/>
  </r>
  <r>
    <n v="22703761"/>
    <n v="23505850"/>
    <s v="ACC01"/>
    <x v="94"/>
    <d v="2025-08-07T20:01:43"/>
    <x v="0"/>
    <x v="1"/>
    <s v="5G5XKC"/>
    <s v="TMS"/>
    <s v="ROBSON DE CARVALHO"/>
    <s v="Tms"/>
    <s v="Tms"/>
    <d v="2025-08-07T16:48:00"/>
    <n v="76371"/>
    <s v="Porto Alegre / POA"/>
    <s v="ON LINE"/>
    <s v="Invoice"/>
    <s v="Faturado"/>
    <x v="3"/>
    <s v="N"/>
    <x v="17"/>
    <s v="Neogas do Brasil Gas Natural Comprimido S.a."/>
    <s v="-"/>
    <s v="-"/>
    <s v="-"/>
    <x v="10"/>
    <s v="-"/>
    <x v="87"/>
    <n v="0"/>
    <n v="0"/>
    <n v="0"/>
    <n v="0"/>
    <n v="0"/>
    <n v="0"/>
    <s v="Reserva importada do Sistema TMS. OS: 76371"/>
    <s v="Fornecedor não preenchido! (ACC01)"/>
    <x v="1"/>
    <x v="1"/>
    <s v="Campo Fornecedor"/>
    <x v="0"/>
    <s v="Qualidade dos dados"/>
    <s v="KONTIK BUSINESS TRAVEL"/>
    <x v="1"/>
  </r>
  <r>
    <n v="22703772"/>
    <n v="23505862"/>
    <s v="ACC01"/>
    <x v="95"/>
    <d v="2025-08-07T20:02:05"/>
    <x v="0"/>
    <x v="1"/>
    <s v="5GQD83"/>
    <s v="TMS"/>
    <s v="CLEBER PESSANHA GOMES"/>
    <s v="Tms"/>
    <s v="Tms"/>
    <d v="2025-08-07T14:57:00"/>
    <n v="76347"/>
    <s v="Campos dos Goytacazes / CAW"/>
    <s v="ON LINE"/>
    <s v="Invoice"/>
    <s v="Faturado"/>
    <x v="3"/>
    <s v="N"/>
    <x v="17"/>
    <s v="Neogas do Brasil Gas Natural Comprimido S.a."/>
    <s v="-"/>
    <s v="-"/>
    <s v="-"/>
    <x v="10"/>
    <s v="-"/>
    <x v="88"/>
    <n v="0"/>
    <n v="0"/>
    <n v="0"/>
    <n v="0"/>
    <n v="0"/>
    <n v="0"/>
    <s v="Reserva importada do Sistema TMS. OS: 76347"/>
    <s v="Fornecedor não preenchido! (ACC01)"/>
    <x v="1"/>
    <x v="1"/>
    <s v="Campo Fornecedor"/>
    <x v="0"/>
    <s v="Qualidade dos dados"/>
    <s v="KONTIK BUSINESS TRAVEL"/>
    <x v="1"/>
  </r>
  <r>
    <n v="22667347"/>
    <n v="23475160"/>
    <s v="ACC01"/>
    <x v="96"/>
    <d v="2025-08-01T19:46:22"/>
    <x v="3"/>
    <x v="4"/>
    <s v="5FSVRY"/>
    <s v="TMS"/>
    <s v="KAMILA OSOWSKI TOMAZI"/>
    <s v="Tms"/>
    <s v="Tms"/>
    <d v="2025-08-01T17:32:00"/>
    <n v="75692"/>
    <s v="Palhoca / FLN"/>
    <s v="ON LINE"/>
    <s v="Invoice"/>
    <s v="Faturado"/>
    <x v="3"/>
    <s v="N"/>
    <x v="17"/>
    <s v="Ultragaz-matriz"/>
    <s v="-"/>
    <s v="-"/>
    <s v="-"/>
    <x v="10"/>
    <s v="-"/>
    <x v="89"/>
    <n v="0"/>
    <n v="0"/>
    <n v="0"/>
    <n v="0"/>
    <n v="0"/>
    <n v="0"/>
    <s v="Reserva importada do Sistema TMS. OS: 75692"/>
    <s v="Fornecedor não preenchido! (ACC01)"/>
    <x v="1"/>
    <x v="1"/>
    <s v="Campo Fornecedor"/>
    <x v="0"/>
    <s v="Qualidade dos dados"/>
    <s v="KONTIK BUSINESS TRAVEL"/>
    <x v="1"/>
  </r>
  <r>
    <n v="22615074"/>
    <n v="23431403"/>
    <s v="ACC01"/>
    <x v="97"/>
    <d v="2025-07-23T19:35:40"/>
    <x v="4"/>
    <x v="5"/>
    <s v="5EYH75"/>
    <s v="TMS"/>
    <s v="CARLOS VINICIUS SALLES COSTA"/>
    <s v="Tms"/>
    <s v="Tms"/>
    <d v="2025-07-23T14:28:00"/>
    <n v="74580"/>
    <s v="-"/>
    <s v="ON LINE"/>
    <s v="Cartão de crédito"/>
    <s v="Cartão de crédito"/>
    <x v="1"/>
    <s v="N"/>
    <x v="17"/>
    <s v="Ultragaz-matriz"/>
    <s v="-"/>
    <s v="-"/>
    <s v="-"/>
    <x v="10"/>
    <s v="-"/>
    <x v="90"/>
    <n v="0"/>
    <n v="0"/>
    <n v="0"/>
    <n v="0"/>
    <n v="14.4"/>
    <n v="0"/>
    <s v="Reserva importada do Sistema TMS. OS: 74580"/>
    <s v="Fornecedor não preenchido! (ACC01)"/>
    <x v="1"/>
    <x v="1"/>
    <s v="Campo Fornecedor"/>
    <x v="0"/>
    <s v="Sistêmico"/>
    <s v="GRUPO KONTIK"/>
    <x v="8"/>
  </r>
  <r>
    <n v="22690391"/>
    <n v="23493899"/>
    <s v="ACC01"/>
    <x v="98"/>
    <d v="2025-08-06T00:26:25"/>
    <x v="0"/>
    <x v="1"/>
    <s v="5G105M"/>
    <s v="TMS"/>
    <s v="KAMILA OSOWSKI TOMAZI"/>
    <s v="Tms"/>
    <s v="Tms"/>
    <d v="2025-08-05T18:53:00"/>
    <n v="76097"/>
    <s v="-"/>
    <s v="ON LINE"/>
    <s v="Cartão de crédito"/>
    <s v="Cartão de crédito"/>
    <x v="1"/>
    <s v="N"/>
    <x v="17"/>
    <s v="Ultragaz-matriz"/>
    <s v="-"/>
    <s v="-"/>
    <s v="-"/>
    <x v="10"/>
    <s v="-"/>
    <x v="91"/>
    <n v="0"/>
    <n v="0"/>
    <n v="0"/>
    <n v="0"/>
    <n v="14.75"/>
    <n v="0"/>
    <s v="Reserva importada do Sistema TMS. OS: 76097"/>
    <s v="Fornecedor não preenchido! (ACC01)"/>
    <x v="1"/>
    <x v="1"/>
    <s v="Campo Fornecedor"/>
    <x v="0"/>
    <s v="Sistêmico"/>
    <s v="GRUPO KONTIK"/>
    <x v="8"/>
  </r>
  <r>
    <n v="22690400"/>
    <n v="23493908"/>
    <s v="ACC01"/>
    <x v="99"/>
    <d v="2025-08-06T00:30:57"/>
    <x v="0"/>
    <x v="1"/>
    <s v="5G7MTB"/>
    <s v="TMS"/>
    <s v="JOAO CARLOS GOMES"/>
    <s v="Tms"/>
    <s v="Tms"/>
    <d v="2025-08-05T18:54:00"/>
    <n v="76076"/>
    <s v="-"/>
    <s v="ON LINE"/>
    <s v="Cartão de crédito"/>
    <s v="Cartão de crédito"/>
    <x v="1"/>
    <s v="N"/>
    <x v="17"/>
    <s v="Ultragaz-matriz"/>
    <s v="-"/>
    <s v="-"/>
    <s v="-"/>
    <x v="10"/>
    <s v="-"/>
    <x v="92"/>
    <n v="0"/>
    <n v="0"/>
    <n v="0"/>
    <n v="0"/>
    <n v="8.64"/>
    <n v="0"/>
    <s v="Reserva importada do Sistema TMS. OS: 76076"/>
    <s v="Fornecedor não preenchido! (ACC01)"/>
    <x v="1"/>
    <x v="1"/>
    <s v="Campo Fornecedor"/>
    <x v="0"/>
    <s v="Sistêmico"/>
    <s v="GRUPO KONTIK"/>
    <x v="8"/>
  </r>
  <r>
    <n v="22690425"/>
    <n v="23493933"/>
    <s v="ACC01"/>
    <x v="100"/>
    <d v="2025-08-06T00:35:47"/>
    <x v="0"/>
    <x v="1"/>
    <s v="5G7WGM"/>
    <s v="TMS"/>
    <s v="VICTOR DE OLIVEIRA"/>
    <s v="Tms"/>
    <s v="Tms"/>
    <d v="2025-08-05T18:02:00"/>
    <n v="75930"/>
    <s v="-"/>
    <s v="ON LINE"/>
    <s v="Cartão de crédito"/>
    <s v="Cartão de crédito"/>
    <x v="1"/>
    <s v="N"/>
    <x v="17"/>
    <s v="Ultragaz-matriz"/>
    <s v="-"/>
    <s v="-"/>
    <s v="-"/>
    <x v="10"/>
    <s v="-"/>
    <x v="93"/>
    <n v="0"/>
    <n v="0"/>
    <n v="0"/>
    <n v="0"/>
    <n v="29.5"/>
    <n v="0"/>
    <s v="Reserva importada do Sistema TMS. OS: 75930"/>
    <s v="Fornecedor não preenchido! (ACC01)"/>
    <x v="1"/>
    <x v="1"/>
    <s v="Campo Fornecedor"/>
    <x v="0"/>
    <s v="Sistêmico"/>
    <s v="GRUPO KONTIK"/>
    <x v="8"/>
  </r>
  <r>
    <n v="22690422"/>
    <n v="23493930"/>
    <s v="ACC01"/>
    <x v="101"/>
    <d v="2025-08-06T00:31:45"/>
    <x v="0"/>
    <x v="1"/>
    <s v="5GF25B"/>
    <s v="TMS"/>
    <s v="SARYANE PALLADINO ABREU"/>
    <s v="Maria Gabriela Stella Azevedo Neves"/>
    <s v="Maria Gabriela Stella Azevedo Neves"/>
    <d v="2025-08-05T18:54:00"/>
    <n v="75959"/>
    <s v="-"/>
    <s v="OFF LINE"/>
    <s v="Cartão de crédito"/>
    <s v="Cartão de crédito"/>
    <x v="1"/>
    <s v="N"/>
    <x v="17"/>
    <s v="Bahiana Distribuidora de Gas"/>
    <s v="-"/>
    <s v="-"/>
    <s v="-"/>
    <x v="10"/>
    <s v="-"/>
    <x v="94"/>
    <n v="0"/>
    <n v="0"/>
    <n v="0"/>
    <n v="0"/>
    <n v="0"/>
    <n v="0"/>
    <s v="Reserva importada do Sistema TMS. OS: 75959"/>
    <s v="Fornecedor não preenchido! (ACC01)"/>
    <x v="1"/>
    <x v="1"/>
    <s v="Campo Fornecedor"/>
    <x v="0"/>
    <s v="Qualidade dos dados"/>
    <s v="KONTIK BUSINESS TRAVEL"/>
    <x v="1"/>
  </r>
  <r>
    <n v="22696304"/>
    <n v="23499151"/>
    <s v="ACC01"/>
    <x v="102"/>
    <d v="2025-08-06T20:05:37"/>
    <x v="0"/>
    <x v="1"/>
    <s v="5GBQZW"/>
    <s v="TMS"/>
    <s v="WAGNER DA CONCEICAO"/>
    <s v="Maria Gabriela Stella Azevedo Neves"/>
    <s v="Maria Gabriela Stella Azevedo Neves"/>
    <d v="2025-08-06T14:04:00"/>
    <n v="76060"/>
    <s v="-"/>
    <s v="OFF LINE"/>
    <s v="Cartão de crédito"/>
    <s v="Cartão de crédito"/>
    <x v="1"/>
    <s v="N"/>
    <x v="17"/>
    <s v="Ultragaz-matriz"/>
    <s v="-"/>
    <s v="-"/>
    <s v="-"/>
    <x v="10"/>
    <s v="-"/>
    <x v="95"/>
    <n v="0"/>
    <n v="0"/>
    <n v="0"/>
    <n v="0"/>
    <n v="0"/>
    <n v="0"/>
    <s v="Reserva importada do Sistema TMS. OS: 76060"/>
    <s v="Fornecedor não preenchido! (ACC01)"/>
    <x v="1"/>
    <x v="1"/>
    <s v="Campo Fornecedor"/>
    <x v="0"/>
    <s v="Qualidade dos dados"/>
    <s v="KONTIK BUSINESS TRAVEL"/>
    <x v="1"/>
  </r>
  <r>
    <n v="22681299"/>
    <n v="23485774"/>
    <s v="ACC01"/>
    <x v="103"/>
    <d v="2025-08-04T19:41:00"/>
    <x v="1"/>
    <x v="0"/>
    <s v="5FHG4I"/>
    <s v="TMS"/>
    <s v="LUCIANO LAGE DE SOUZA"/>
    <s v="Tms"/>
    <s v="Tms"/>
    <d v="2025-08-04T14:38:00"/>
    <n v="75858"/>
    <s v="Maua / SAO"/>
    <s v="ON LINE"/>
    <s v="Invoice"/>
    <s v="Faturado"/>
    <x v="3"/>
    <s v="N"/>
    <x v="17"/>
    <s v="Neogas do Brasil Gas Natural Comprimido S.a."/>
    <s v="-"/>
    <s v="-"/>
    <s v="-"/>
    <x v="10"/>
    <s v="-"/>
    <x v="96"/>
    <n v="0"/>
    <n v="0"/>
    <n v="0"/>
    <n v="0"/>
    <n v="0"/>
    <n v="0"/>
    <s v="Reserva importada do Sistema TMS. OS: 75858"/>
    <s v="Fornecedor não preenchido! (ACC01)"/>
    <x v="1"/>
    <x v="1"/>
    <s v="Campo Fornecedor"/>
    <x v="0"/>
    <s v="Qualidade dos dados"/>
    <s v="KONTIK BUSINESS TRAVEL"/>
    <x v="1"/>
  </r>
  <r>
    <n v="22703292"/>
    <n v="23505400"/>
    <s v="ACC01"/>
    <x v="104"/>
    <d v="2025-08-07T19:16:43"/>
    <x v="0"/>
    <x v="1"/>
    <s v="5GPAYD"/>
    <s v="TMS"/>
    <s v="JOSÉ HAROLDO SCIPIAO"/>
    <s v="Tms"/>
    <s v="Tms"/>
    <d v="2025-08-07T14:47:00"/>
    <n v="5306"/>
    <s v="Salvador / SSA"/>
    <s v="ON LINE"/>
    <s v="Invoice"/>
    <s v="Faturado"/>
    <x v="3"/>
    <s v="N"/>
    <x v="19"/>
    <s v="Hpe Automotores - Sao Paulo"/>
    <s v="-"/>
    <s v="-"/>
    <s v="-"/>
    <x v="10"/>
    <s v="-"/>
    <x v="97"/>
    <n v="0"/>
    <n v="0"/>
    <n v="0"/>
    <n v="0"/>
    <n v="0"/>
    <n v="0"/>
    <s v="Reserva importada do Sistema TMS. OS: 5306"/>
    <s v="Fornecedor não preenchido! (ACC01)"/>
    <x v="1"/>
    <x v="1"/>
    <s v="Campo Fornecedor"/>
    <x v="0"/>
    <s v="Qualidade dos dados"/>
    <s v="KONTIK BUSINESS TRAVEL"/>
    <x v="1"/>
  </r>
  <r>
    <n v="22680829"/>
    <n v="23485310"/>
    <s v="ACC01"/>
    <x v="105"/>
    <d v="2025-08-04T18:52:25"/>
    <x v="1"/>
    <x v="0"/>
    <s v="5FBVWK"/>
    <s v="TMS"/>
    <s v="CATIA BAZARIN"/>
    <s v="Claudia Lucia Stella"/>
    <s v="Claudia Lucia Stella"/>
    <d v="2025-08-04T17:32:00"/>
    <n v="3457"/>
    <s v="-"/>
    <s v="OFF LINE"/>
    <s v="Cartão de crédito"/>
    <s v="Cartão de crédito"/>
    <x v="1"/>
    <s v="N"/>
    <x v="20"/>
    <s v="Epson"/>
    <s v="-"/>
    <s v="-"/>
    <s v="-"/>
    <x v="10"/>
    <s v="-"/>
    <x v="98"/>
    <n v="0"/>
    <n v="0"/>
    <n v="0"/>
    <n v="0"/>
    <n v="9.7799999999999994"/>
    <n v="0"/>
    <s v="Reserva importada do Sistema TMS. OS: 3457"/>
    <s v="Fornecedor não preenchido! (ACC01)"/>
    <x v="1"/>
    <x v="1"/>
    <s v="Campo Fornecedor"/>
    <x v="0"/>
    <s v="Qualidade dos dados"/>
    <s v="KONTIK BUSINESS TRAVEL"/>
    <x v="1"/>
  </r>
  <r>
    <n v="22703262"/>
    <n v="23505368"/>
    <s v="ACC01"/>
    <x v="106"/>
    <d v="2025-08-07T19:15:42"/>
    <x v="0"/>
    <x v="1"/>
    <s v="5GK95D"/>
    <s v="TMS"/>
    <s v="GIOVANI RAMOS"/>
    <s v="Tms"/>
    <s v="Tms"/>
    <d v="2025-08-07T17:24:00"/>
    <n v="3498"/>
    <s v="Recife / REC"/>
    <s v="ON LINE"/>
    <s v="Invoice"/>
    <s v="Faturado"/>
    <x v="3"/>
    <s v="N"/>
    <x v="20"/>
    <s v="Epson"/>
    <s v="-"/>
    <s v="-"/>
    <s v="-"/>
    <x v="10"/>
    <s v="-"/>
    <x v="99"/>
    <n v="0"/>
    <n v="0"/>
    <n v="0"/>
    <n v="0"/>
    <n v="0"/>
    <n v="0"/>
    <s v="Reserva importada do Sistema TMS. OS: 3498"/>
    <s v="Fornecedor não preenchido! (ACC01)"/>
    <x v="1"/>
    <x v="1"/>
    <s v="Campo Fornecedor"/>
    <x v="0"/>
    <s v="Qualidade dos dados"/>
    <s v="KONTIK BUSINESS TRAVEL"/>
    <x v="1"/>
  </r>
  <r>
    <n v="22703284"/>
    <n v="23505390"/>
    <s v="ACC01"/>
    <x v="107"/>
    <d v="2025-08-07T19:07:30"/>
    <x v="0"/>
    <x v="1"/>
    <s v="FLCSHT1"/>
    <s v="TMS"/>
    <s v="TARCISIO SOARES"/>
    <s v="Karen Aparecida Ferreira"/>
    <s v="Karen Aparecida Ferreira"/>
    <d v="2025-08-07T16:20:00"/>
    <n v="3468"/>
    <s v="-"/>
    <s v="OFF LINE"/>
    <s v="Cartão de crédito"/>
    <s v="Cartão de crédito"/>
    <x v="2"/>
    <s v="N"/>
    <x v="21"/>
    <s v="Airbus"/>
    <s v="-"/>
    <s v="Latam Airlines Brasil"/>
    <n v="2971489133"/>
    <x v="10"/>
    <s v="-"/>
    <x v="100"/>
    <n v="0"/>
    <n v="0"/>
    <n v="0"/>
    <n v="0"/>
    <n v="0"/>
    <n v="0"/>
    <s v="Reserva importada do Sistema TMS. OS: 3468"/>
    <s v="Tarifa mínima não preenchida! (ACC02)"/>
    <x v="1"/>
    <x v="14"/>
    <s v="Falta de informação Gerencial"/>
    <x v="0"/>
    <s v="Qualidade dos dados"/>
    <s v="KONTIK BUSINESS TRAVEL"/>
    <x v="0"/>
  </r>
  <r>
    <n v="22703284"/>
    <n v="23505391"/>
    <s v="ACC02"/>
    <x v="107"/>
    <d v="2025-08-07T19:07:30"/>
    <x v="0"/>
    <x v="1"/>
    <s v="FLCSHT1"/>
    <s v="TMS"/>
    <s v="TARCISIO SOARES"/>
    <s v="Karen Aparecida Ferreira"/>
    <s v="Karen Aparecida Ferreira"/>
    <d v="2025-08-07T16:20:00"/>
    <n v="3468"/>
    <s v="-"/>
    <s v="OFF LINE"/>
    <s v="Cartão de crédito"/>
    <s v="Cartão de crédito"/>
    <x v="2"/>
    <s v="N"/>
    <x v="21"/>
    <s v="Airbus"/>
    <s v="-"/>
    <s v="Latam Airlines Brasil"/>
    <n v="2971489108"/>
    <x v="10"/>
    <s v="-"/>
    <x v="1"/>
    <n v="0"/>
    <n v="0"/>
    <n v="0"/>
    <n v="0"/>
    <n v="0"/>
    <n v="0"/>
    <s v="Reserva importada do Sistema TMS. OS: 3468"/>
    <s v="Tarifa mínima não preenchida! (ACC02)"/>
    <x v="1"/>
    <x v="14"/>
    <s v="Falta de informação Gerencial"/>
    <x v="0"/>
    <s v="Qualidade dos dados"/>
    <s v="KONTIK BUSINESS TRAVEL"/>
    <x v="0"/>
  </r>
  <r>
    <n v="22688330"/>
    <n v="23491973"/>
    <s v="ACC01"/>
    <x v="108"/>
    <d v="2025-08-05T19:15:33"/>
    <x v="1"/>
    <x v="0"/>
    <s v="5GPZPM"/>
    <s v="TMS"/>
    <s v="FILIPE LEMOS"/>
    <s v="Mariane Goncalves dos Santos"/>
    <s v="Mariane Goncalves dos Santos"/>
    <d v="2025-08-05T13:02:00"/>
    <n v="3425"/>
    <s v="-"/>
    <s v="OFF LINE"/>
    <s v="Invoice"/>
    <s v="Faturado"/>
    <x v="1"/>
    <s v="N"/>
    <x v="21"/>
    <s v="Airbus"/>
    <s v="-"/>
    <s v="-"/>
    <s v="-"/>
    <x v="10"/>
    <s v="-"/>
    <x v="101"/>
    <n v="0"/>
    <n v="0"/>
    <n v="0"/>
    <n v="0"/>
    <n v="0"/>
    <n v="0"/>
    <s v="Reserva importada do Sistema TMS. OS: 3425"/>
    <s v="Fornecedor não preenchido! (ACC01)"/>
    <x v="1"/>
    <x v="1"/>
    <s v="Campo Fornecedor"/>
    <x v="0"/>
    <s v="Qualidade dos dados"/>
    <s v="KONTIK BUSINESS TRAVEL"/>
    <x v="1"/>
  </r>
  <r>
    <n v="22680752"/>
    <n v="23485233"/>
    <s v="ACC01"/>
    <x v="109"/>
    <d v="2025-08-05T07:10:41"/>
    <x v="1"/>
    <x v="0"/>
    <s v="5FH818"/>
    <s v="TMS"/>
    <s v="RAISSA COSTA"/>
    <s v="Tms"/>
    <s v="Tms"/>
    <d v="2025-08-04T14:32:00"/>
    <n v="110580"/>
    <s v="-"/>
    <s v="ON LINE"/>
    <s v="Cartão de crédito"/>
    <s v="Cartão de crédito"/>
    <x v="1"/>
    <s v="N"/>
    <x v="22"/>
    <s v="Deloitte Consultores - Recife"/>
    <s v="-"/>
    <s v="Charlie Nyc Berrini Residence - Inativo"/>
    <s v="-"/>
    <x v="11"/>
    <s v="-"/>
    <x v="102"/>
    <n v="0"/>
    <n v="0"/>
    <n v="0"/>
    <n v="0"/>
    <n v="0"/>
    <n v="0"/>
    <s v="Reserva importada do Sistema TMS. OS: 110580"/>
    <s v="Não foi possível encontrar um contrato válido para o fornecedor 52307 (Código fornecedor) "/>
    <x v="1"/>
    <x v="0"/>
    <s v="Análise Cadastro"/>
    <x v="0"/>
    <s v="Qualidade dos dados"/>
    <s v="KONTIK BUSINESS TRAVEL"/>
    <x v="1"/>
  </r>
  <r>
    <n v="22640232"/>
    <n v="23451217"/>
    <s v="ACC01"/>
    <x v="110"/>
    <d v="2025-08-04T13:10:20"/>
    <x v="1"/>
    <x v="2"/>
    <s v="5ENU9L"/>
    <s v="TMS"/>
    <s v="DANIEL RODRIGUES"/>
    <s v="Tms"/>
    <s v="Tms"/>
    <d v="2025-07-28T13:52:00"/>
    <n v="110165"/>
    <s v="-"/>
    <s v="ON LINE"/>
    <s v="Cartão de crédito"/>
    <s v="Cartão de crédito"/>
    <x v="1"/>
    <s v="N"/>
    <x v="22"/>
    <s v="Deloitte Consultores - Sao Paulo"/>
    <s v="-"/>
    <s v="Charlie Nyc Berrini Residence - Inativo"/>
    <s v="-"/>
    <x v="11"/>
    <s v="-"/>
    <x v="103"/>
    <n v="0"/>
    <n v="0"/>
    <n v="0"/>
    <n v="0"/>
    <n v="0"/>
    <n v="0"/>
    <s v="Reserva importada do Sistema TMS. OS: 110165"/>
    <s v="Não foi possível encontrar um contrato válido para o fornecedor 52307 (Código fornecedor) "/>
    <x v="1"/>
    <x v="0"/>
    <s v="Análise Cadastro"/>
    <x v="0"/>
    <s v="Qualidade dos dados"/>
    <s v="KONTIK BUSINESS TRAVEL"/>
    <x v="1"/>
  </r>
  <r>
    <n v="22620713"/>
    <n v="23436166"/>
    <s v="ACC01"/>
    <x v="111"/>
    <d v="2025-07-30T08:09:17"/>
    <x v="2"/>
    <x v="2"/>
    <s v="5EQI8Y"/>
    <s v="TMS"/>
    <s v="ROGERIO PANESSA"/>
    <s v="Catia Leite Oliveira"/>
    <s v="Catia Leite Oliveira"/>
    <d v="2025-07-24T17:41:00"/>
    <n v="109945"/>
    <s v="-"/>
    <s v="OFF LINE"/>
    <s v="Pagamento direto"/>
    <s v="Pagamento direto"/>
    <x v="1"/>
    <s v="N"/>
    <x v="22"/>
    <s v="Deloitte Outsourcing - Sao Paulo"/>
    <s v="-"/>
    <s v="Hyatt Place San Jose Downtown"/>
    <s v="-"/>
    <x v="11"/>
    <s v="-"/>
    <x v="104"/>
    <n v="0"/>
    <n v="0"/>
    <n v="0"/>
    <n v="0"/>
    <n v="0"/>
    <n v="0"/>
    <s v="Reserva importada do Sistema TMS. OS: 109945"/>
    <s v="Não foi possível encontrar um contrato válido para o fornecedor 52355 (Código fornecedor) "/>
    <x v="1"/>
    <x v="0"/>
    <s v="Análise Cadastro"/>
    <x v="0"/>
    <s v="Qualidade dos dados"/>
    <s v="KONTIK BUSINESS TRAVEL"/>
    <x v="1"/>
  </r>
  <r>
    <n v="22620719"/>
    <n v="23436172"/>
    <s v="ACC01"/>
    <x v="112"/>
    <d v="2025-07-30T08:09:19"/>
    <x v="2"/>
    <x v="2"/>
    <s v="5EVKI6"/>
    <s v="TMS"/>
    <s v="ROGERIO PANESSA"/>
    <s v="Catia Leite Oliveira"/>
    <s v="Catia Leite Oliveira"/>
    <d v="2025-07-24T17:45:00"/>
    <n v="109907"/>
    <s v="-"/>
    <s v="OFF LINE"/>
    <s v="Pagamento direto"/>
    <s v="Pagamento direto"/>
    <x v="1"/>
    <s v="N"/>
    <x v="22"/>
    <s v="Deloitte Outsourcing - Sao Paulo"/>
    <s v="-"/>
    <s v="Hyatt Place San Jose Downtown"/>
    <s v="-"/>
    <x v="11"/>
    <s v="-"/>
    <x v="105"/>
    <n v="0"/>
    <n v="0"/>
    <n v="0"/>
    <n v="0"/>
    <n v="0"/>
    <n v="0"/>
    <s v="Reserva importada do Sistema TMS. OS: 109907"/>
    <s v="Não foi possível encontrar um contrato válido para o fornecedor 52355 (Código fornecedor) "/>
    <x v="1"/>
    <x v="0"/>
    <s v="Análise Cadastro"/>
    <x v="0"/>
    <s v="Qualidade dos dados"/>
    <s v="KONTIK BUSINESS TRAVEL"/>
    <x v="1"/>
  </r>
  <r>
    <n v="22703221"/>
    <n v="23505325"/>
    <s v="ACC01"/>
    <x v="113"/>
    <d v="2025-08-07T19:09:17"/>
    <x v="0"/>
    <x v="1"/>
    <s v="5GBUGC"/>
    <s v="TMS"/>
    <s v="MARCELO ARAUJO"/>
    <s v="Catia Leite Oliveira"/>
    <s v="Catia Leite Oliveira"/>
    <d v="2025-08-07T16:05:00"/>
    <n v="110884"/>
    <s v="Belém / PA, Brasil (BEL)"/>
    <s v="OFF LINE"/>
    <s v="Pagamento direto"/>
    <s v="Pagamento direto"/>
    <x v="3"/>
    <s v="N"/>
    <x v="22"/>
    <s v="Deloitte Assessoria - Sao Paulo"/>
    <s v="-"/>
    <s v="-"/>
    <s v="-"/>
    <x v="11"/>
    <s v="-"/>
    <x v="106"/>
    <n v="0"/>
    <n v="1582.31"/>
    <n v="0"/>
    <n v="0"/>
    <n v="0"/>
    <n v="0"/>
    <s v="Reserva importada do Sistema TMS. OS: 110884"/>
    <s v="Fornecedor não preenchido! (ACC01)"/>
    <x v="1"/>
    <x v="1"/>
    <s v="Campo Fornecedor"/>
    <x v="0"/>
    <s v="Qualidade dos dados"/>
    <s v="KONTIK BUSINESS TRAVEL"/>
    <x v="1"/>
  </r>
  <r>
    <n v="22657813"/>
    <n v="23466661"/>
    <s v="ACC01"/>
    <x v="114"/>
    <d v="2025-08-01T06:10:21"/>
    <x v="3"/>
    <x v="4"/>
    <s v="5F5RKE"/>
    <s v="TMS"/>
    <s v="NATALIA ALICE BASSO CANDIDO"/>
    <s v="Claudia Lucia Stella"/>
    <s v="Claudia Lucia Stella"/>
    <d v="2025-07-31T11:06:00"/>
    <n v="45950"/>
    <s v="-"/>
    <s v="OFF LINE"/>
    <s v="Invoice"/>
    <s v="Faturado"/>
    <x v="0"/>
    <s v="N"/>
    <x v="23"/>
    <s v="Htb Engenharia e Construcao"/>
    <s v="-"/>
    <s v="Itamarati Hotel"/>
    <s v="-"/>
    <x v="12"/>
    <s v="-"/>
    <x v="107"/>
    <n v="0"/>
    <n v="0"/>
    <n v="0"/>
    <n v="0"/>
    <n v="0"/>
    <n v="0"/>
    <s v="Reserva importada do Sistema TMS. OS: 45950"/>
    <s v="Não foi possível encontrar um contrato válido para o fornecedor 67595 (Código fornecedor) "/>
    <x v="1"/>
    <x v="0"/>
    <s v="Análise Cadastro"/>
    <x v="0"/>
    <s v="Qualidade dos dados"/>
    <s v="KONTIK BUSINESS TRAVEL"/>
    <x v="1"/>
  </r>
  <r>
    <n v="22694619"/>
    <n v="23497465"/>
    <s v="ACC01"/>
    <x v="115"/>
    <d v="2025-08-06T16:44:28"/>
    <x v="0"/>
    <x v="1"/>
    <s v="5GV6FZ"/>
    <s v="TMS"/>
    <s v="MARIA SILVA"/>
    <s v="Robson Amaro Santos da Silva"/>
    <s v="Robson Amaro Santos da Silva"/>
    <d v="2025-08-06T14:48:00"/>
    <n v="224772"/>
    <s v="-"/>
    <s v="OFF LINE"/>
    <s v="Cartão de crédito"/>
    <s v="Cartão de crédito"/>
    <x v="1"/>
    <s v="N"/>
    <x v="24"/>
    <s v="Kpmg Assessores"/>
    <s v="-"/>
    <s v="-"/>
    <s v="-"/>
    <x v="13"/>
    <s v="-"/>
    <x v="108"/>
    <n v="0"/>
    <n v="0"/>
    <n v="0"/>
    <n v="0"/>
    <n v="0"/>
    <n v="0"/>
    <s v="Reserva importada do Sistema TMS. OS: 224772"/>
    <s v="Fornecedor não preenchido! (ACC01)"/>
    <x v="1"/>
    <x v="1"/>
    <s v="Campo Fornecedor"/>
    <x v="0"/>
    <s v="Qualidade dos dados"/>
    <s v="KONTIK BUSINESS TRAVEL"/>
    <x v="1"/>
  </r>
  <r>
    <n v="22694620"/>
    <n v="23497467"/>
    <s v="ACC01"/>
    <x v="116"/>
    <d v="2025-08-06T16:44:28"/>
    <x v="0"/>
    <x v="1"/>
    <s v="5G56FZ"/>
    <s v="TMS"/>
    <s v="FERNANDA FARIA"/>
    <s v="Robson Amaro Santos da Silva"/>
    <s v="Robson Amaro Santos da Silva"/>
    <d v="2025-08-06T14:44:00"/>
    <n v="224770"/>
    <s v="-"/>
    <s v="OFF LINE"/>
    <s v="Cartão de crédito"/>
    <s v="Cartão de crédito"/>
    <x v="1"/>
    <s v="N"/>
    <x v="24"/>
    <s v="Kpmg Assessores"/>
    <s v="-"/>
    <s v="-"/>
    <s v="-"/>
    <x v="13"/>
    <s v="-"/>
    <x v="108"/>
    <n v="0"/>
    <n v="0"/>
    <n v="0"/>
    <n v="0"/>
    <n v="0"/>
    <n v="0"/>
    <s v="Reserva importada do Sistema TMS. OS: 224770"/>
    <s v="Fornecedor não preenchido! (ACC01)"/>
    <x v="1"/>
    <x v="1"/>
    <s v="Campo Fornecedor"/>
    <x v="0"/>
    <s v="Qualidade dos dados"/>
    <s v="KONTIK BUSINESS TRAVEL"/>
    <x v="1"/>
  </r>
  <r>
    <n v="22693497"/>
    <n v="23496423"/>
    <s v="ACC01"/>
    <x v="117"/>
    <d v="2025-08-06T13:49:12"/>
    <x v="0"/>
    <x v="1"/>
    <s v="5GQ721"/>
    <s v="TMS"/>
    <s v="RICARDO ANTUNES"/>
    <s v="Robson Amaro Santos da Silva"/>
    <s v="Robson Amaro Santos da Silva"/>
    <d v="2025-08-06T12:26:00"/>
    <n v="224777"/>
    <s v="-"/>
    <s v="OFF LINE"/>
    <s v="Cartão de crédito"/>
    <s v="Cartão de crédito"/>
    <x v="1"/>
    <s v="N"/>
    <x v="24"/>
    <s v="Kpmg Assessores"/>
    <s v="-"/>
    <s v="-"/>
    <s v="-"/>
    <x v="13"/>
    <s v="-"/>
    <x v="109"/>
    <n v="0"/>
    <n v="0"/>
    <n v="0"/>
    <n v="0"/>
    <n v="0"/>
    <n v="0"/>
    <s v="Reserva importada do Sistema TMS. OS: 224777"/>
    <s v="Fornecedor não preenchido! (ACC01)"/>
    <x v="1"/>
    <x v="1"/>
    <s v="Campo Fornecedor"/>
    <x v="0"/>
    <s v="Qualidade dos dados"/>
    <s v="KONTIK BUSINESS TRAVEL"/>
    <x v="1"/>
  </r>
  <r>
    <n v="22703932"/>
    <n v="23506015"/>
    <s v="ACC01"/>
    <x v="118"/>
    <d v="2025-08-07T20:25:26"/>
    <x v="0"/>
    <x v="1"/>
    <s v="5GU1L3"/>
    <s v="TMS"/>
    <s v="LUIZ JUNIOR"/>
    <s v="Eduardo Vinicius Souto Longo"/>
    <s v="Eduardo Vinicius Souto Longo"/>
    <d v="2025-08-07T18:33:00"/>
    <n v="225137"/>
    <s v="Maringá / PR, Brasil (MGF)"/>
    <s v="OFF LINE"/>
    <s v="Invoice"/>
    <s v="Faturado"/>
    <x v="3"/>
    <s v="N"/>
    <x v="24"/>
    <s v="Kpmg Consultoria"/>
    <s v="-"/>
    <s v="-"/>
    <s v="-"/>
    <x v="13"/>
    <s v="-"/>
    <x v="110"/>
    <n v="0"/>
    <n v="0"/>
    <n v="0"/>
    <n v="0"/>
    <n v="0"/>
    <n v="0"/>
    <s v="Reserva importada do Sistema TMS. OS: 225137"/>
    <s v="Fornecedor não preenchido! (ACC01)"/>
    <x v="1"/>
    <x v="1"/>
    <s v="Campo Fornecedor"/>
    <x v="0"/>
    <s v="Qualidade dos dados"/>
    <s v="KONTIK BUSINESS TRAVEL"/>
    <x v="0"/>
  </r>
  <r>
    <n v="22687220"/>
    <n v="23490909"/>
    <s v="ACC01"/>
    <x v="119"/>
    <d v="2025-08-05T16:17:17"/>
    <x v="1"/>
    <x v="0"/>
    <s v="5FAIHL"/>
    <s v="TMS"/>
    <s v="FABIO GOULARTE"/>
    <s v="Valeria Bottino da Silva"/>
    <s v="Valeria Bottino da Silva"/>
    <d v="2025-08-05T16:10:00"/>
    <n v="224403"/>
    <s v="-"/>
    <s v="OFF LINE"/>
    <s v="Cartão de crédito"/>
    <s v="Cartão de crédito"/>
    <x v="1"/>
    <s v="N"/>
    <x v="24"/>
    <s v="Kpmg"/>
    <s v="-"/>
    <s v="Mirante Hotel"/>
    <s v="-"/>
    <x v="13"/>
    <s v="-"/>
    <x v="111"/>
    <n v="0"/>
    <n v="0"/>
    <n v="0"/>
    <n v="0"/>
    <n v="0"/>
    <n v="0"/>
    <s v="Reserva importada do Sistema TMS. OS: 224403"/>
    <s v="Matrícula não preenchida! (ACC01)"/>
    <x v="1"/>
    <x v="8"/>
    <s v="Falta de informação Gerencial"/>
    <x v="0"/>
    <s v="Qualidade dos dados"/>
    <s v="KONTIK BUSINESS TRAVEL"/>
    <x v="0"/>
  </r>
  <r>
    <n v="22702112"/>
    <n v="23504253"/>
    <s v="ACC01"/>
    <x v="120"/>
    <d v="2025-08-07T16:52:22"/>
    <x v="0"/>
    <x v="1"/>
    <s v="5GZU1D"/>
    <s v="TMS"/>
    <s v="ELIANE ALMEIDA"/>
    <s v="Donizete Alves de Souza"/>
    <s v="Donizete Alves de Souza"/>
    <d v="2025-08-07T16:04:00"/>
    <n v="225008"/>
    <s v="-"/>
    <s v="OFF LINE"/>
    <s v="Invoice"/>
    <s v="Faturado"/>
    <x v="0"/>
    <s v="N"/>
    <x v="24"/>
    <s v="Kpmg"/>
    <s v="-"/>
    <s v="-"/>
    <s v="-"/>
    <x v="13"/>
    <s v="-"/>
    <x v="112"/>
    <n v="0"/>
    <n v="0"/>
    <n v="0"/>
    <n v="0"/>
    <n v="0"/>
    <n v="0"/>
    <s v="Reserva importada do Sistema TMS. OS: 225008"/>
    <s v="Fornecedor não preenchido! (ACC01)"/>
    <x v="1"/>
    <x v="1"/>
    <s v="Campo Fornecedor"/>
    <x v="0"/>
    <s v="Qualidade dos dados"/>
    <s v="KONTIK BUSINESS TRAVEL"/>
    <x v="1"/>
  </r>
  <r>
    <n v="22703935"/>
    <n v="23506018"/>
    <s v="ACC01"/>
    <x v="121"/>
    <d v="2025-08-07T19:35:35"/>
    <x v="0"/>
    <x v="1"/>
    <s v="OCGMIA1"/>
    <s v="TMS"/>
    <s v="DANIEL CIFU"/>
    <s v="Donizete Alves de Souza"/>
    <s v="Donizete Alves de Souza"/>
    <d v="2025-08-07T17:04:00"/>
    <n v="224799"/>
    <s v="-"/>
    <s v="OFF LINE"/>
    <s v="Cartão de crédito"/>
    <s v="Cartão de crédito"/>
    <x v="2"/>
    <s v="N"/>
    <x v="24"/>
    <s v="Kpmg Structured"/>
    <s v="-"/>
    <s v="Latam Airlines Brasil"/>
    <n v="2971569341"/>
    <x v="13"/>
    <s v="-"/>
    <x v="113"/>
    <n v="5.49"/>
    <n v="0"/>
    <n v="0"/>
    <n v="0"/>
    <n v="0"/>
    <n v="0"/>
    <s v="Reserva importada do Sistema TMS. OS: 224799"/>
    <s v="Verificação de bilhetes: Bilhete 2971569341 já sendo utilizado para este fornecedor."/>
    <x v="1"/>
    <x v="3"/>
    <s v="Bilhete Já Contabilizado"/>
    <x v="1"/>
    <s v="Qualidade dos dados"/>
    <s v="GRUPO KONTIK"/>
    <x v="4"/>
  </r>
  <r>
    <n v="22664778"/>
    <n v="23472774"/>
    <s v="ACC01"/>
    <x v="122"/>
    <d v="2025-08-01T13:21:49"/>
    <x v="3"/>
    <x v="4"/>
    <s v="5FKQ75"/>
    <s v="TMS"/>
    <s v="PIYALI CHAUDHURY"/>
    <s v="Donizete Alves de Souza"/>
    <s v="Donizete Alves de Souza"/>
    <d v="2025-08-01T10:39:00"/>
    <n v="223634"/>
    <s v="-"/>
    <s v="OFF LINE"/>
    <s v="Invoice"/>
    <s v="Faturado"/>
    <x v="0"/>
    <s v="N"/>
    <x v="24"/>
    <s v="Kpmg Consultoria"/>
    <s v="-"/>
    <s v="-"/>
    <s v="-"/>
    <x v="13"/>
    <s v="-"/>
    <x v="114"/>
    <n v="0"/>
    <n v="0"/>
    <n v="0"/>
    <n v="0"/>
    <n v="0"/>
    <n v="0"/>
    <s v="Reserva importada do Sistema TMS. OS: 223634"/>
    <s v="Fornecedor não preenchido! (ACC01)"/>
    <x v="1"/>
    <x v="1"/>
    <s v="Campo Fornecedor"/>
    <x v="0"/>
    <s v="Qualidade dos dados"/>
    <s v="KONTIK BUSINESS TRAVEL"/>
    <x v="1"/>
  </r>
  <r>
    <n v="22693765"/>
    <n v="23496669"/>
    <s v="ACC01"/>
    <x v="123"/>
    <d v="2025-08-06T13:56:30"/>
    <x v="0"/>
    <x v="1"/>
    <s v="DJLL5J"/>
    <s v="GOVER"/>
    <s v="GAMALIEL DOS SANTOS LOPES"/>
    <s v="Emilia Alejandra Pacheco Maraboli"/>
    <s v="Emilia Alejandra Pacheco Maraboli"/>
    <d v="2025-08-06T13:08:00"/>
    <n v="4577469"/>
    <s v="-"/>
    <s v="OFF LINE"/>
    <s v="Cartão de crédito"/>
    <s v="Cartão AMEX"/>
    <x v="2"/>
    <s v="N"/>
    <x v="25"/>
    <s v="Quantiq"/>
    <s v="-"/>
    <s v="Azul Linhas Aereas"/>
    <n v="3023496660"/>
    <x v="14"/>
    <s v="-"/>
    <x v="115"/>
    <n v="0"/>
    <n v="0"/>
    <n v="0"/>
    <n v="0"/>
    <n v="0"/>
    <n v="0"/>
    <s v="Reserva importada do sistema Gover. Id: 4577469"/>
    <s v="Pnr já existente. A duplicidade de rloc é permitida apenas 6 meses após o último pnr emitido"/>
    <x v="6"/>
    <x v="6"/>
    <s v="Campo RLOC"/>
    <x v="1"/>
    <s v="Qualidade dos dados"/>
    <s v="GRUPO KONTIK"/>
    <x v="4"/>
  </r>
  <r>
    <n v="22694909"/>
    <n v="23497758"/>
    <s v="ACC01"/>
    <x v="124"/>
    <d v="2025-08-06T17:10:32"/>
    <x v="0"/>
    <x v="1"/>
    <n v="19467607"/>
    <s v="GOVER"/>
    <s v="Juliano César Lima Corradi"/>
    <s v="Gover"/>
    <s v="Gover"/>
    <d v="2025-08-06T15:41:00"/>
    <n v="4578096"/>
    <s v="-"/>
    <s v="ON LINE"/>
    <s v="Cartão de crédito"/>
    <s v="Cartão de crédito"/>
    <x v="1"/>
    <s v="N"/>
    <x v="26"/>
    <s v="Atlas Copco Brasil Ltda"/>
    <s v="-"/>
    <s v="-"/>
    <s v="-"/>
    <x v="14"/>
    <s v="-"/>
    <x v="116"/>
    <n v="0"/>
    <n v="0"/>
    <n v="0"/>
    <n v="0"/>
    <n v="0"/>
    <n v="0"/>
    <s v="Reserva importada do sistema Gover. Id: 4578096"/>
    <s v="Fornecedor não preenchido! (ACC01)"/>
    <x v="6"/>
    <x v="1"/>
    <s v="Campo Fornecedor"/>
    <x v="0"/>
    <s v="Sistêmico"/>
    <s v="GRUPO KONTIK"/>
    <x v="8"/>
  </r>
  <r>
    <n v="22681821"/>
    <n v="23486261"/>
    <s v="ACC01"/>
    <x v="125"/>
    <d v="2025-08-05T22:13:32"/>
    <x v="1"/>
    <x v="0"/>
    <s v="MGJKWB"/>
    <s v="GOVER"/>
    <s v="Fernando Guilhem Silva"/>
    <s v="Juliana dos Santos Pinto"/>
    <s v="Juliana dos Santos Pinto"/>
    <d v="2025-08-04T19:31:00"/>
    <n v="4575654"/>
    <s v="-"/>
    <s v="OFF LINE"/>
    <s v="Cartão de crédito"/>
    <s v="Cartão AMEX"/>
    <x v="2"/>
    <s v="N"/>
    <x v="27"/>
    <s v="Atos Brasil Ltda"/>
    <s v="-"/>
    <s v="Gol Linhas Aereas"/>
    <n v="2142700013"/>
    <x v="15"/>
    <s v="-"/>
    <x v="117"/>
    <n v="773.91"/>
    <n v="0"/>
    <n v="0"/>
    <n v="0"/>
    <n v="0"/>
    <n v="0"/>
    <s v="Reserva importada do sistema Gover. Id: 4575654"/>
    <s v="Pnr já existente. A duplicidade de rloc é permitida apenas 6 meses após o último pnr emitido"/>
    <x v="6"/>
    <x v="6"/>
    <s v="Campo RLOC"/>
    <x v="1"/>
    <s v="Qualidade dos dados"/>
    <s v="GRUPO KONTIK"/>
    <x v="4"/>
  </r>
  <r>
    <n v="22702981"/>
    <n v="23505100"/>
    <s v="ACC01"/>
    <x v="126"/>
    <d v="2025-08-07T18:21:59"/>
    <x v="0"/>
    <x v="1"/>
    <s v="AMPGGF"/>
    <s v="SABRE"/>
    <s v="PEREIRA/JOSE LUIZ CARDOSO"/>
    <s v="Flavia Constanzi do Nascimento"/>
    <s v="Flavia Constanzi do Nascimento"/>
    <d v="2025-08-07T14:20:00"/>
    <s v="AMPGGF"/>
    <s v="-"/>
    <s v="ON LINE"/>
    <s v="?"/>
    <s v="TKT"/>
    <x v="2"/>
    <s v="N"/>
    <x v="28"/>
    <s v="Bosch - Campinas"/>
    <s v="-"/>
    <s v="Lufthansa"/>
    <n v="2971604109"/>
    <x v="16"/>
    <s v="-"/>
    <x v="1"/>
    <n v="0"/>
    <n v="0"/>
    <n v="0"/>
    <n v="0"/>
    <n v="0"/>
    <n v="0"/>
    <s v="Reserva importada por HubTravel"/>
    <s v="Centro de custo não preenchido! (ACC01) Matrícula não preenchida! (ACC01)"/>
    <x v="4"/>
    <x v="7"/>
    <s v="Falta de informação Gerencial"/>
    <x v="0"/>
    <s v="Qualidade dos dados"/>
    <s v="KONTIK BUSINESS TRAVEL"/>
    <x v="6"/>
  </r>
  <r>
    <n v="22699633"/>
    <n v="23501906"/>
    <s v="ACC01"/>
    <x v="127"/>
    <d v="2025-08-08T05:18:34"/>
    <x v="0"/>
    <x v="1"/>
    <s v="MWUGLA"/>
    <s v="SABRE"/>
    <s v="NORONHA/TIAGO RODRIGUES"/>
    <s v="CT"/>
    <s v="CT"/>
    <d v="2025-08-07T08:00:00"/>
    <s v="NMHTKL"/>
    <s v="-"/>
    <s v="ON LINE"/>
    <s v="Cartão de crédito"/>
    <s v="Cartão AMEX"/>
    <x v="2"/>
    <s v="N"/>
    <x v="28"/>
    <s v="Robert Bosch Limitada - 9085"/>
    <s v="Cliente FEE no POS"/>
    <s v="Gol Linhas Aereas"/>
    <n v="7700075060"/>
    <x v="16"/>
    <s v="-"/>
    <x v="1"/>
    <n v="0"/>
    <n v="0"/>
    <n v="0"/>
    <n v="0"/>
    <n v="0"/>
    <n v="19.18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694499"/>
    <n v="23497347"/>
    <s v="ACC01"/>
    <x v="128"/>
    <d v="2025-08-07T05:26:30"/>
    <x v="0"/>
    <x v="1"/>
    <s v="HCPHKQ"/>
    <s v="SABRE"/>
    <s v="VALERIO/MARCELO FIGUEIREDO"/>
    <s v="CT"/>
    <s v="CT"/>
    <d v="2025-08-06T12:57:00"/>
    <s v="AVXEAQ"/>
    <s v="-"/>
    <s v="ON LINE"/>
    <s v="Cartão de crédito"/>
    <s v="Cartão AMEX"/>
    <x v="2"/>
    <s v="N"/>
    <x v="28"/>
    <s v="Robert Bosch Limitada - 9085"/>
    <s v="Cliente FEE no POS"/>
    <s v="Gol Linhas Aereas"/>
    <n v="7700074992"/>
    <x v="16"/>
    <s v="-"/>
    <x v="1"/>
    <n v="0"/>
    <n v="0"/>
    <n v="0"/>
    <n v="0"/>
    <n v="0"/>
    <n v="19.29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680532"/>
    <n v="23485002"/>
    <s v="ACC01"/>
    <x v="129"/>
    <d v="2025-08-05T07:34:10"/>
    <x v="1"/>
    <x v="0"/>
    <s v="MPHMWD"/>
    <s v="SABRE"/>
    <s v="OLIVEIRA/THIAGO MENEZES DE"/>
    <s v="CT"/>
    <s v="CT"/>
    <d v="2025-08-04T10:00:00"/>
    <s v="MPHMWD"/>
    <s v="-"/>
    <s v="ON LINE"/>
    <s v="Cartão de crédito"/>
    <s v="Cartão AMEX"/>
    <x v="2"/>
    <s v="N"/>
    <x v="28"/>
    <s v="Cap1 - Planta Campinas Bosch - 9080"/>
    <s v="Cliente FEE no POS"/>
    <s v="Gol Linhas Aereas"/>
    <n v="7700074850"/>
    <x v="16"/>
    <s v="-"/>
    <x v="1"/>
    <n v="0"/>
    <n v="0"/>
    <n v="0"/>
    <n v="0"/>
    <n v="0"/>
    <n v="19.399999999999999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701545"/>
    <n v="23503699"/>
    <s v="ACC01"/>
    <x v="130"/>
    <d v="2025-08-08T05:28:04"/>
    <x v="0"/>
    <x v="1"/>
    <s v="DSUOAG"/>
    <s v="SABRE"/>
    <s v="GALLO JUNIOR/ADEMAR"/>
    <s v="CT"/>
    <s v="CT"/>
    <d v="2025-08-07T11:41:00"/>
    <s v="BHVRVC"/>
    <s v="-"/>
    <s v="ON LINE"/>
    <s v="Cartão de crédito"/>
    <s v="Cartão AMEX"/>
    <x v="2"/>
    <s v="N"/>
    <x v="28"/>
    <s v="Robert Bosch Limitada - 908a"/>
    <s v="Cliente FEE no POS"/>
    <s v="Azul Linhas Aereas"/>
    <n v="7700075068"/>
    <x v="16"/>
    <s v="-"/>
    <x v="1"/>
    <n v="0"/>
    <n v="0"/>
    <n v="0"/>
    <n v="0"/>
    <n v="0"/>
    <n v="19.18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701473"/>
    <n v="23503632"/>
    <s v="ACC01"/>
    <x v="131"/>
    <d v="2025-08-08T05:27:10"/>
    <x v="0"/>
    <x v="1"/>
    <s v="KKQFSJ"/>
    <s v="SABRE"/>
    <s v="SANTOS/WILLIAN MATHEUS MENGUI"/>
    <s v="Clayton Alves de Rezende"/>
    <s v="CT"/>
    <d v="2025-06-10T00:00:00"/>
    <s v="KKQFSJ"/>
    <s v="-"/>
    <s v="OFF LINE"/>
    <s v="Cartão de crédito"/>
    <s v="Cartão AMEX"/>
    <x v="2"/>
    <s v="N"/>
    <x v="28"/>
    <s v="Robert Bosch Limitada - 908a"/>
    <s v="Cliente FEE no POS"/>
    <s v="Qatar Airways"/>
    <n v="5083780000"/>
    <x v="16"/>
    <s v="-"/>
    <x v="118"/>
    <n v="55.65"/>
    <n v="2003.58"/>
    <n v="0"/>
    <n v="55.65"/>
    <n v="0"/>
    <n v="19.52"/>
    <s v="Reserva importada por HubTravel"/>
    <s v="Falta informar o status no trecho da accounting aérea (Bilhete: 5083780000)"/>
    <x v="4"/>
    <x v="16"/>
    <s v="Atualização de Trechos"/>
    <x v="0"/>
    <s v="Qualidade dos dados"/>
    <s v="KONTIK BUSINESS TRAVEL"/>
    <x v="6"/>
  </r>
  <r>
    <n v="22693732"/>
    <n v="23496643"/>
    <s v="ACC01"/>
    <x v="132"/>
    <d v="2025-08-07T05:22:54"/>
    <x v="0"/>
    <x v="1"/>
    <s v="YMJMGU"/>
    <s v="SABRE"/>
    <s v="MATTOS/LEONARDO LEITE DE"/>
    <s v="Beatrys Ferreira Rocha"/>
    <s v="CT"/>
    <d v="2025-08-05T13:22:00"/>
    <s v="IFRUUC"/>
    <s v="-"/>
    <s v="ON LINE"/>
    <s v="?"/>
    <s v="TKT"/>
    <x v="2"/>
    <s v="N"/>
    <x v="28"/>
    <s v="Ctp - Planta Curitiba"/>
    <s v="Cliente FEE no POS"/>
    <s v="Latam Airlines Brasil"/>
    <n v="2971622753"/>
    <x v="16"/>
    <s v="-"/>
    <x v="1"/>
    <n v="0"/>
    <n v="450"/>
    <n v="0"/>
    <n v="0"/>
    <n v="0"/>
    <n v="19.29"/>
    <s v="Reserva importada por HubTravel"/>
    <s v="Verificação de bilhetes: Bilhete 2971622753 já sendo utilizado para este fornecedor."/>
    <x v="4"/>
    <x v="3"/>
    <s v="Bilhete Já Contabilizado"/>
    <x v="1"/>
    <s v="Qualidade dos dados"/>
    <s v="GRUPO KONTIK"/>
    <x v="4"/>
  </r>
  <r>
    <n v="22693732"/>
    <n v="23496644"/>
    <s v="ACC02"/>
    <x v="132"/>
    <d v="2025-08-07T05:22:54"/>
    <x v="0"/>
    <x v="1"/>
    <s v="YMJMGU"/>
    <s v="SABRE"/>
    <s v="MATTOS/LEONARDO LEITE DE"/>
    <s v="Beatrys Ferreira Rocha"/>
    <s v="CT"/>
    <d v="2025-08-05T13:22:00"/>
    <s v="IFRUUC"/>
    <s v="-"/>
    <s v="ON LINE"/>
    <s v="Cartão de crédito"/>
    <s v="Cartão AMEX"/>
    <x v="2"/>
    <s v="N"/>
    <x v="28"/>
    <s v="Ctp - Planta Curitiba"/>
    <s v="Cliente FEE no POS"/>
    <s v="Latam Airlines Brasil"/>
    <n v="2971622753"/>
    <x v="16"/>
    <s v="-"/>
    <x v="119"/>
    <n v="0"/>
    <n v="0"/>
    <n v="0"/>
    <n v="0"/>
    <n v="0"/>
    <n v="19.29"/>
    <s v="Reserva importada por HubTravel"/>
    <s v="Verificação de bilhetes: Bilhete 2971622753 já sendo utilizado para este fornecedor."/>
    <x v="4"/>
    <x v="3"/>
    <s v="Bilhete Já Contabilizado"/>
    <x v="1"/>
    <s v="Qualidade dos dados"/>
    <s v="GRUPO KONTIK"/>
    <x v="4"/>
  </r>
  <r>
    <n v="22702967"/>
    <n v="23505086"/>
    <s v="ACC01"/>
    <x v="133"/>
    <d v="2025-08-08T05:42:18"/>
    <x v="0"/>
    <x v="1"/>
    <s v="KXIPTN"/>
    <s v="SABRE"/>
    <s v="MENDONCA/WESLEY DE MELO"/>
    <s v="Beatrys Ferreira Rocha"/>
    <s v="CT"/>
    <d v="2025-08-07T10:39:00"/>
    <s v="KXIPTN"/>
    <s v="-"/>
    <s v="ON LINE"/>
    <s v="?"/>
    <s v="TKT"/>
    <x v="2"/>
    <s v="N"/>
    <x v="28"/>
    <s v="Robert Bosch Limitada - 9085"/>
    <s v="Cliente FEE no POS"/>
    <s v="Latam Airlines Brasil"/>
    <n v="2971622833"/>
    <x v="16"/>
    <s v="-"/>
    <x v="1"/>
    <n v="0"/>
    <n v="49.23"/>
    <n v="0"/>
    <n v="49.23"/>
    <n v="0"/>
    <n v="19.18"/>
    <s v="Reserva importada por HubTravel"/>
    <s v="Verificação de bilhetes: Bilhete 2971622833 já sendo utilizado para este fornecedor."/>
    <x v="4"/>
    <x v="3"/>
    <s v="Bilhete Já Contabilizado"/>
    <x v="1"/>
    <s v="Qualidade dos dados"/>
    <s v="GRUPO KONTIK"/>
    <x v="4"/>
  </r>
  <r>
    <n v="22694722"/>
    <n v="23497564"/>
    <s v="ACC01"/>
    <x v="134"/>
    <d v="2025-08-06T16:45:56"/>
    <x v="0"/>
    <x v="1"/>
    <s v="JHJTHD"/>
    <s v="GOVER"/>
    <s v="Luciano FUSARO"/>
    <s v="Gover"/>
    <s v="Gover"/>
    <d v="2025-08-04T16:23:00"/>
    <n v="4576868"/>
    <s v="-"/>
    <s v="OFF LINE"/>
    <s v="Invoice"/>
    <s v="Faturado"/>
    <x v="1"/>
    <s v="N"/>
    <x v="29"/>
    <s v="Firmenich"/>
    <s v="-"/>
    <s v="-"/>
    <s v="-"/>
    <x v="17"/>
    <s v="-"/>
    <x v="120"/>
    <n v="56.88"/>
    <n v="0"/>
    <n v="0"/>
    <n v="0"/>
    <n v="0"/>
    <n v="0"/>
    <s v="Reserva importada do sistema Gover. Id: 4576868"/>
    <s v="Fornecedor não preenchido! (ACC01)"/>
    <x v="6"/>
    <x v="1"/>
    <s v="Campo Fornecedor"/>
    <x v="0"/>
    <s v="Sistêmico"/>
    <s v="GRUPO KONTIK"/>
    <x v="8"/>
  </r>
  <r>
    <n v="22690026"/>
    <n v="23493568"/>
    <s v="ACC01"/>
    <x v="135"/>
    <d v="2025-08-05T23:05:27"/>
    <x v="1"/>
    <x v="0"/>
    <n v="19455517"/>
    <s v="GOVER"/>
    <s v="Livia Kent Paiva"/>
    <s v="Gover"/>
    <s v="Gover"/>
    <d v="2025-08-05T00:00:00"/>
    <n v="4577704"/>
    <s v="-"/>
    <s v="OFF LINE"/>
    <s v="Pagamento direto"/>
    <s v="Pagamento direto"/>
    <x v="1"/>
    <s v="N"/>
    <x v="30"/>
    <s v="Fm Global - Servicos"/>
    <s v="Cliente FEE no POS"/>
    <s v="Pousada Mirante de Minas Francisca"/>
    <s v="-"/>
    <x v="18"/>
    <s v="-"/>
    <x v="121"/>
    <n v="0"/>
    <n v="0"/>
    <n v="0"/>
    <n v="0"/>
    <n v="0"/>
    <n v="0"/>
    <s v="Reserva importada do sistema Gover. Id: 4577704"/>
    <s v="Este cliente não possui permissão para usar este tipo de pagamento e recebimento para este produto."/>
    <x v="6"/>
    <x v="11"/>
    <s v="Forma PG. e REC."/>
    <x v="0"/>
    <s v="Sistêmico"/>
    <s v="GRUPO KONTIK"/>
    <x v="8"/>
  </r>
  <r>
    <n v="22702504"/>
    <n v="23504644"/>
    <s v="ACC01"/>
    <x v="136"/>
    <d v="2025-08-07T17:54:16"/>
    <x v="0"/>
    <x v="1"/>
    <s v="MYDARET"/>
    <s v="SABRE"/>
    <s v="CORDEIRO/PLICIA PINHEIRO MRS"/>
    <s v="Luciene Carvalho Santos"/>
    <s v="Luciene Carvalho Santos"/>
    <d v="2025-08-07T09:39:00"/>
    <s v="MYDARE"/>
    <s v="-"/>
    <s v="ON LINE"/>
    <s v="Invoice"/>
    <s v="Faturado"/>
    <x v="1"/>
    <s v="N"/>
    <x v="3"/>
    <s v="Diageo Brasil"/>
    <s v="Cliente FEE no POS"/>
    <s v="Citi Executivo Hotel"/>
    <s v="-"/>
    <x v="19"/>
    <s v="-"/>
    <x v="122"/>
    <n v="0"/>
    <n v="0"/>
    <n v="0"/>
    <n v="0"/>
    <n v="0"/>
    <n v="0"/>
    <s v="Reserva importada por HubTravel"/>
    <s v="Este cliente não possui permissão para usar este tipo de pagamento e recebimento para este produto."/>
    <x v="4"/>
    <x v="11"/>
    <s v="Forma PG. e REC."/>
    <x v="0"/>
    <s v="Qualidade dos dados"/>
    <s v="KONTIK BUSINESS TRAVEL"/>
    <x v="6"/>
  </r>
  <r>
    <n v="22695511"/>
    <n v="23498358"/>
    <s v="ACC01"/>
    <x v="137"/>
    <d v="2025-08-06T18:17:19"/>
    <x v="0"/>
    <x v="1"/>
    <s v="YCHYHF"/>
    <s v="GOVER"/>
    <s v="Tiago Caldas"/>
    <s v="Gover"/>
    <s v="Gover"/>
    <d v="2025-08-01T18:00:00"/>
    <n v="4575525"/>
    <s v="-"/>
    <s v="OFF LINE"/>
    <s v="Cartão de crédito"/>
    <s v="Cartão de crédito"/>
    <x v="2"/>
    <s v="N"/>
    <x v="31"/>
    <s v="Zf do Brasil - Divisao Z"/>
    <s v="-"/>
    <s v="Lufthansa"/>
    <n v="2971228101"/>
    <x v="20"/>
    <s v="-"/>
    <x v="123"/>
    <n v="1492.47"/>
    <n v="0"/>
    <n v="0"/>
    <n v="0"/>
    <n v="0"/>
    <n v="0"/>
    <s v="Reserva importada do sistema Gover. Id: 4575525"/>
    <s v="Verificação de bilhetes: Bilhete 2971228101 já sendo utilizado para este fornecedor."/>
    <x v="6"/>
    <x v="3"/>
    <s v="Bilhete Já Contabilizado"/>
    <x v="1"/>
    <s v="Qualidade dos dados"/>
    <s v="GRUPO KONTIK"/>
    <x v="4"/>
  </r>
  <r>
    <n v="22695721"/>
    <n v="23498572"/>
    <s v="ACC01"/>
    <x v="138"/>
    <d v="2025-08-06T18:28:36"/>
    <x v="0"/>
    <x v="1"/>
    <s v="ASXEDL"/>
    <s v="GOVER"/>
    <s v="Claudia Gomes"/>
    <s v="Gover"/>
    <s v="Gover"/>
    <d v="2025-08-01T18:00:00"/>
    <n v="4575483"/>
    <s v="-"/>
    <s v="OFF LINE"/>
    <s v="Cartão de crédito"/>
    <s v="Cartão de crédito"/>
    <x v="2"/>
    <s v="N"/>
    <x v="31"/>
    <s v="Zf do Brasil - Divisao Z"/>
    <s v="-"/>
    <s v="Lufthansa"/>
    <n v="2971228100"/>
    <x v="20"/>
    <s v="-"/>
    <x v="124"/>
    <n v="1352.38"/>
    <n v="0"/>
    <n v="0"/>
    <n v="0"/>
    <n v="0"/>
    <n v="0"/>
    <s v="Reserva importada do sistema Gover. Id: 4575483"/>
    <s v="Verificação de bilhetes: Bilhete 2971228100 já sendo utilizado para este fornecedor."/>
    <x v="6"/>
    <x v="3"/>
    <s v="Bilhete Já Contabilizado"/>
    <x v="1"/>
    <s v="Qualidade dos dados"/>
    <s v="GRUPO KONTIK"/>
    <x v="4"/>
  </r>
  <r>
    <n v="22565297"/>
    <n v="23389768"/>
    <s v="ACC01"/>
    <x v="139"/>
    <d v="2025-07-15T13:05:52"/>
    <x v="5"/>
    <x v="6"/>
    <s v="B2OQFL"/>
    <s v="GOVER"/>
    <s v="Kleiton Aparecido Stoco"/>
    <s v="Wilson Jose Araujo de Gusmao Junior"/>
    <s v="Wilson Jose Araujo de Gusmao Junior"/>
    <d v="2025-07-15T12:50:00"/>
    <n v="4565213"/>
    <s v="Mobility - Eua - Ex - Detroit - Aeroporto DTW Endereço: DETROIT LOJA AEROPORTO DTW"/>
    <s v="OFF LINE"/>
    <s v="Pagamento direto"/>
    <s v="Pagamento direto"/>
    <x v="3"/>
    <s v="N"/>
    <x v="31"/>
    <s v="Zf do Brasil - Limeira"/>
    <s v="-"/>
    <s v="-"/>
    <s v="-"/>
    <x v="20"/>
    <s v="-"/>
    <x v="125"/>
    <n v="0"/>
    <n v="0"/>
    <n v="0"/>
    <n v="0"/>
    <n v="0"/>
    <n v="0"/>
    <s v="Reserva importada do sistema Gover. Id: 4565213"/>
    <s v="Fornecedor não preenchido! (ACC01)"/>
    <x v="6"/>
    <x v="1"/>
    <s v="Campo Fornecedor"/>
    <x v="0"/>
    <s v="Qualidade dos dados"/>
    <s v="KONTIK BUSINESS TRAVEL"/>
    <x v="1"/>
  </r>
  <r>
    <n v="22679659"/>
    <n v="23484113"/>
    <s v="ACC01"/>
    <x v="140"/>
    <d v="2025-08-04T16:10:32"/>
    <x v="1"/>
    <x v="0"/>
    <s v="1680742306COUNT"/>
    <s v="GOVER"/>
    <s v="Tiago Caldas"/>
    <s v="Gover"/>
    <s v="Gover"/>
    <d v="2025-08-04T15:59:00"/>
    <n v="4575831"/>
    <s v="National Car Rental - Flughafen Stuttgart Endereço:  Terminal 3, Ebene 2, 70629 Stuttgart, Alemanha"/>
    <s v="OFF LINE"/>
    <s v="Pagamento direto"/>
    <s v="Pagamento direto"/>
    <x v="3"/>
    <s v="N"/>
    <x v="31"/>
    <s v="Zf do Brasil - Divisao Z"/>
    <s v="-"/>
    <s v="-"/>
    <s v="-"/>
    <x v="20"/>
    <s v="-"/>
    <x v="126"/>
    <n v="0"/>
    <n v="0"/>
    <n v="0"/>
    <n v="0"/>
    <n v="0"/>
    <n v="0"/>
    <s v="Reserva importada do sistema Gover. Id: 4575831"/>
    <s v="Fornecedor não preenchido! (ACC01)"/>
    <x v="6"/>
    <x v="1"/>
    <s v="Campo Fornecedor"/>
    <x v="0"/>
    <s v="Qualidade dos dados"/>
    <s v="KONTIK BUSINESS TRAVEL"/>
    <x v="1"/>
  </r>
  <r>
    <n v="22568247"/>
    <n v="23392640"/>
    <s v="ACC01"/>
    <x v="141"/>
    <d v="2025-07-15T19:35:32"/>
    <x v="5"/>
    <x v="6"/>
    <s v="HCHAPH"/>
    <s v="GOVER"/>
    <s v="JOSE WILSON FERREIRA"/>
    <s v="Gover"/>
    <s v="Gover"/>
    <d v="2025-07-15T11:00:00"/>
    <n v="4566694"/>
    <s v="-"/>
    <s v="ON LINE"/>
    <s v="Cartão de crédito"/>
    <s v="Cartão de crédito"/>
    <x v="1"/>
    <s v="N"/>
    <x v="32"/>
    <s v="Robinson Crusoe"/>
    <s v="-"/>
    <s v="-"/>
    <s v="-"/>
    <x v="20"/>
    <s v="-"/>
    <x v="127"/>
    <n v="28.44"/>
    <n v="0"/>
    <n v="0"/>
    <n v="0"/>
    <n v="0"/>
    <n v="0"/>
    <s v="Reserva importada do sistema Gover. Id: 4566694"/>
    <s v="Fornecedor não preenchido! (ACC01)"/>
    <x v="6"/>
    <x v="1"/>
    <s v="Campo Fornecedor"/>
    <x v="0"/>
    <s v="Sistêmico"/>
    <s v="GRUPO KONTIK"/>
    <x v="8"/>
  </r>
  <r>
    <n v="22684677"/>
    <n v="23488514"/>
    <s v="ACC01"/>
    <x v="142"/>
    <d v="2025-08-05T12:15:23"/>
    <x v="1"/>
    <x v="0"/>
    <n v="3668785"/>
    <s v="GOVER"/>
    <s v="Fabio Pires Lana"/>
    <s v="Gover"/>
    <s v="Gover"/>
    <d v="2025-08-05T11:00:00"/>
    <n v="4576453"/>
    <s v="-"/>
    <s v="OFF LINE"/>
    <s v="Cartão de crédito"/>
    <s v="Faturado"/>
    <x v="1"/>
    <s v="N"/>
    <x v="33"/>
    <s v="Biomerieux"/>
    <s v="-"/>
    <s v="-"/>
    <s v="-"/>
    <x v="21"/>
    <s v="-"/>
    <x v="74"/>
    <n v="0"/>
    <n v="0"/>
    <n v="0"/>
    <n v="0"/>
    <n v="0"/>
    <n v="0"/>
    <s v="Reserva importada do sistema Gover. Id: 4576453"/>
    <s v="Fornecedor não preenchido! (ACC01)"/>
    <x v="6"/>
    <x v="1"/>
    <s v="Campo Fornecedor"/>
    <x v="0"/>
    <s v="Sistêmico"/>
    <s v="GRUPO KONTIK"/>
    <x v="8"/>
  </r>
  <r>
    <n v="22691979"/>
    <n v="23494989"/>
    <s v="ACC01"/>
    <x v="143"/>
    <d v="2025-08-06T09:48:40"/>
    <x v="0"/>
    <x v="1"/>
    <s v="SECJQQ"/>
    <s v="GOVER"/>
    <s v="ELIZABETH DANTAS DE SOUZA"/>
    <s v="Juliana dos Santos Pinto"/>
    <s v="Juliana dos Santos Pinto"/>
    <d v="2025-08-06T09:23:00"/>
    <n v="4575477"/>
    <s v="-"/>
    <s v="OFF LINE"/>
    <s v="Cartão de crédito"/>
    <s v="Cartão AMEX"/>
    <x v="2"/>
    <s v="N"/>
    <x v="33"/>
    <s v="Biomerieux"/>
    <s v="-"/>
    <s v="Latam Airlines Brasil"/>
    <n v="2971624552"/>
    <x v="21"/>
    <s v="-"/>
    <x v="128"/>
    <n v="284.11"/>
    <n v="0"/>
    <n v="0"/>
    <n v="0"/>
    <n v="0"/>
    <n v="0"/>
    <s v="Reserva importada do sistema Gover. Id: 4575477"/>
    <s v="Pnr já existente. A duplicidade de rloc é permitida apenas 6 meses após o último pnr emitido"/>
    <x v="6"/>
    <x v="6"/>
    <s v="Campo RLOC"/>
    <x v="1"/>
    <s v="Qualidade dos dados"/>
    <s v="GRUPO KONTIK"/>
    <x v="4"/>
  </r>
  <r>
    <n v="22574376"/>
    <n v="23397987"/>
    <s v="ACC01"/>
    <x v="144"/>
    <d v="2025-07-16T18:45:36"/>
    <x v="4"/>
    <x v="5"/>
    <s v="5418-4"/>
    <s v="GOVER"/>
    <s v="CARLOS JOSE FERREIRA"/>
    <s v="Rafaela Leitao Oliveira"/>
    <s v="Rafaela Leitao Oliveira"/>
    <d v="2025-07-16T18:39:00"/>
    <n v="4564042"/>
    <s v="Movicar Aluguel de Carros - Br - Sc - Chapeco Endereço: Acesso Florenal Ribeiro, 4180"/>
    <s v="OFF LINE"/>
    <s v="Invoice"/>
    <s v="Faturado"/>
    <x v="3"/>
    <s v="N"/>
    <x v="33"/>
    <s v="Biomerieux"/>
    <s v="-"/>
    <s v="-"/>
    <s v="-"/>
    <x v="21"/>
    <s v="-"/>
    <x v="129"/>
    <n v="0"/>
    <n v="0"/>
    <n v="0"/>
    <n v="0"/>
    <n v="0"/>
    <n v="0"/>
    <s v="Reserva importada do sistema Gover. Id: 4564042"/>
    <s v="Fornecedor não preenchido! (ACC01)"/>
    <x v="6"/>
    <x v="1"/>
    <s v="Campo Fornecedor"/>
    <x v="0"/>
    <s v="Qualidade dos dados"/>
    <s v="KONTIK BUSINESS TRAVEL"/>
    <x v="1"/>
  </r>
  <r>
    <n v="22701789"/>
    <n v="23503939"/>
    <s v="ACC01"/>
    <x v="145"/>
    <d v="2025-08-07T16:01:21"/>
    <x v="0"/>
    <x v="1"/>
    <n v="19485556"/>
    <s v="GOVER"/>
    <s v="RAFAEL LAGE DA SILVA  GUNDINHO"/>
    <s v="Loizy Lima de Oliveira"/>
    <s v="Loizy Lima de Oliveira"/>
    <d v="2025-08-07T00:00:00"/>
    <n v="4578645"/>
    <s v="-"/>
    <s v="OFF LINE"/>
    <s v="Invoice"/>
    <s v="Faturado"/>
    <x v="1"/>
    <s v="N"/>
    <x v="34"/>
    <s v="Ena"/>
    <s v="-"/>
    <s v="Golden Towers Hotel"/>
    <s v="-"/>
    <x v="22"/>
    <s v="-"/>
    <x v="130"/>
    <n v="0"/>
    <n v="0"/>
    <n v="0"/>
    <n v="0"/>
    <n v="0"/>
    <n v="0"/>
    <s v="Reserva importada do sistema Gover. Id: 4578645"/>
    <s v="Este cliente não possui permissão para usar este tipo de pagamento e recebimento para este produto."/>
    <x v="6"/>
    <x v="11"/>
    <s v="Forma PG. e REC."/>
    <x v="0"/>
    <s v="Qualidade dos dados"/>
    <s v="KONTIK BUSINESS TRAVEL"/>
    <x v="0"/>
  </r>
  <r>
    <n v="22703849"/>
    <n v="23505931"/>
    <s v="ACC01"/>
    <x v="146"/>
    <d v="2025-08-08T00:05:31"/>
    <x v="0"/>
    <x v="1"/>
    <n v="4357594324581"/>
    <s v="GOVER"/>
    <s v="Ivan de Paula Rigoletto"/>
    <s v="Rafaela Leitao Oliveira"/>
    <s v="Rafaela Leitao Oliveira"/>
    <d v="2025-08-07T19:01:00"/>
    <n v="4578150"/>
    <s v="-"/>
    <s v="OFF LINE"/>
    <s v="Invoice"/>
    <s v="Faturado"/>
    <x v="1"/>
    <s v="N"/>
    <x v="35"/>
    <s v="Cmoc - Dom Domenico Rangoni"/>
    <s v="-"/>
    <s v="-"/>
    <s v="-"/>
    <x v="23"/>
    <s v="-"/>
    <x v="131"/>
    <n v="270"/>
    <n v="0"/>
    <n v="0"/>
    <n v="0"/>
    <n v="0"/>
    <n v="0"/>
    <s v="Reserva importada do sistema Gover. Id: 4578150"/>
    <s v="Fornecedor não preenchido! (ACC01)"/>
    <x v="6"/>
    <x v="1"/>
    <s v="Campo Fornecedor"/>
    <x v="0"/>
    <s v="Sistêmico"/>
    <s v="GRUPO KONTIK"/>
    <x v="8"/>
  </r>
  <r>
    <n v="22703850"/>
    <n v="23505932"/>
    <s v="ACC01"/>
    <x v="147"/>
    <d v="2025-08-08T00:05:31"/>
    <x v="0"/>
    <x v="1"/>
    <n v="8789411810486"/>
    <s v="GOVER"/>
    <s v="Gabriela Comper"/>
    <s v="Rafaela Leitao Oliveira"/>
    <s v="Rafaela Leitao Oliveira"/>
    <d v="2025-08-07T19:01:00"/>
    <n v="4578150"/>
    <s v="-"/>
    <s v="OFF LINE"/>
    <s v="Invoice"/>
    <s v="Faturado"/>
    <x v="1"/>
    <s v="N"/>
    <x v="35"/>
    <s v="Cmoc - Dom Domenico Rangoni"/>
    <s v="-"/>
    <s v="-"/>
    <s v="-"/>
    <x v="23"/>
    <s v="-"/>
    <x v="131"/>
    <n v="270"/>
    <n v="0"/>
    <n v="0"/>
    <n v="0"/>
    <n v="0"/>
    <n v="0"/>
    <s v="Reserva importada do sistema Gover. Id: 4578150"/>
    <s v="Fornecedor não preenchido! (ACC01)"/>
    <x v="6"/>
    <x v="1"/>
    <s v="Campo Fornecedor"/>
    <x v="0"/>
    <s v="Sistêmico"/>
    <s v="GRUPO KONTIK"/>
    <x v="8"/>
  </r>
  <r>
    <n v="22688189"/>
    <n v="23491831"/>
    <s v="ACC01"/>
    <x v="148"/>
    <d v="2025-08-05T19:03:05"/>
    <x v="1"/>
    <x v="0"/>
    <s v="5FYGNO"/>
    <s v="TMS"/>
    <s v="SERGIO MACHADO"/>
    <s v="Tms"/>
    <s v="Tms"/>
    <d v="2025-08-05T15:25:00"/>
    <n v="65394"/>
    <s v="-"/>
    <s v="OFF LINE"/>
    <s v="Cartão de crédito"/>
    <s v="Cartão de crédito"/>
    <x v="1"/>
    <s v="N"/>
    <x v="36"/>
    <s v="Claro Sao Paulo (santo Amaro)"/>
    <s v="-"/>
    <s v="-"/>
    <s v="-"/>
    <x v="24"/>
    <s v="-"/>
    <x v="132"/>
    <n v="0"/>
    <n v="0"/>
    <n v="0"/>
    <n v="0"/>
    <n v="0"/>
    <n v="0"/>
    <s v="Reserva importada do Sistema TMS. OS: 65394"/>
    <s v="Fornecedor não preenchido! (ACC01)"/>
    <x v="1"/>
    <x v="1"/>
    <s v="Campo Fornecedor"/>
    <x v="0"/>
    <s v="Qualidade dos dados"/>
    <s v="KONTIK BUSINESS TRAVEL"/>
    <x v="1"/>
  </r>
  <r>
    <n v="22688193"/>
    <n v="23491835"/>
    <s v="ACC01"/>
    <x v="149"/>
    <d v="2025-08-05T19:03:05"/>
    <x v="1"/>
    <x v="0"/>
    <s v="5FUG9O"/>
    <s v="TMS"/>
    <s v="RAFAEL DUARTE"/>
    <s v="Tms"/>
    <s v="Tms"/>
    <d v="2025-08-05T15:21:00"/>
    <n v="64750"/>
    <s v="-"/>
    <s v="OFF LINE"/>
    <s v="Cartão de crédito"/>
    <s v="Cartão de crédito"/>
    <x v="1"/>
    <s v="N"/>
    <x v="36"/>
    <s v="Claro Sao Paulo (santo Amaro)"/>
    <s v="-"/>
    <s v="-"/>
    <s v="-"/>
    <x v="24"/>
    <s v="-"/>
    <x v="133"/>
    <n v="0"/>
    <n v="0"/>
    <n v="0"/>
    <n v="0"/>
    <n v="0"/>
    <n v="0"/>
    <s v="Reserva importada do Sistema TMS. OS: 64750"/>
    <s v="Fornecedor não preenchido! (ACC01)"/>
    <x v="1"/>
    <x v="1"/>
    <s v="Campo Fornecedor"/>
    <x v="0"/>
    <s v="Qualidade dos dados"/>
    <s v="KONTIK BUSINESS TRAVEL"/>
    <x v="1"/>
  </r>
  <r>
    <n v="22688196"/>
    <n v="23491839"/>
    <s v="ACC01"/>
    <x v="150"/>
    <d v="2025-08-05T19:03:18"/>
    <x v="1"/>
    <x v="0"/>
    <s v="5FBHLO"/>
    <s v="TMS"/>
    <s v="MARCELO MICHEL FERRO"/>
    <s v="Tms"/>
    <s v="Tms"/>
    <d v="2025-08-05T15:09:00"/>
    <n v="60403"/>
    <s v="-"/>
    <s v="OFF LINE"/>
    <s v="Cartão de crédito"/>
    <s v="Cartão de crédito"/>
    <x v="1"/>
    <s v="N"/>
    <x v="36"/>
    <s v="Claro Nxt Telecomunicacoes"/>
    <s v="-"/>
    <s v="-"/>
    <s v="-"/>
    <x v="24"/>
    <s v="-"/>
    <x v="134"/>
    <n v="0"/>
    <n v="0"/>
    <n v="0"/>
    <n v="0"/>
    <n v="0"/>
    <n v="0"/>
    <s v="Reserva importada do Sistema TMS. OS: 60403"/>
    <s v="Fornecedor não preenchido! (ACC01)"/>
    <x v="1"/>
    <x v="1"/>
    <s v="Campo Fornecedor"/>
    <x v="0"/>
    <s v="Qualidade dos dados"/>
    <s v="KONTIK BUSINESS TRAVEL"/>
    <x v="1"/>
  </r>
  <r>
    <n v="22688197"/>
    <n v="23491840"/>
    <s v="ACC01"/>
    <x v="151"/>
    <d v="2025-08-05T19:03:19"/>
    <x v="1"/>
    <x v="0"/>
    <s v="5F1HON"/>
    <s v="TMS"/>
    <s v="MARCELO MICHEL FERRO"/>
    <s v="Tms"/>
    <s v="Tms"/>
    <d v="2025-08-05T15:04:00"/>
    <n v="58141"/>
    <s v="-"/>
    <s v="OFF LINE"/>
    <s v="Cartão de crédito"/>
    <s v="Cartão de crédito"/>
    <x v="1"/>
    <s v="N"/>
    <x v="36"/>
    <s v="Claro Nxt Telecomunicacoes"/>
    <s v="-"/>
    <s v="-"/>
    <s v="-"/>
    <x v="24"/>
    <s v="-"/>
    <x v="134"/>
    <n v="0"/>
    <n v="0"/>
    <n v="0"/>
    <n v="0"/>
    <n v="0"/>
    <n v="0"/>
    <s v="Reserva importada do Sistema TMS. OS: 58141"/>
    <s v="Fornecedor não preenchido! (ACC01)"/>
    <x v="1"/>
    <x v="1"/>
    <s v="Campo Fornecedor"/>
    <x v="0"/>
    <s v="Qualidade dos dados"/>
    <s v="KONTIK BUSINESS TRAVEL"/>
    <x v="1"/>
  </r>
  <r>
    <n v="22678703"/>
    <n v="23483265"/>
    <s v="ACC01"/>
    <x v="152"/>
    <d v="2025-08-04T13:36:22"/>
    <x v="1"/>
    <x v="0"/>
    <s v="5FYE77"/>
    <s v="TMS"/>
    <s v="FERNANDO VARELLA"/>
    <s v="Tms"/>
    <s v="Tms"/>
    <d v="2025-08-04T11:48:00"/>
    <n v="10128"/>
    <s v="-"/>
    <s v="ON LINE"/>
    <s v="Cartão de crédito"/>
    <s v="Cartão de crédito"/>
    <x v="1"/>
    <s v="N"/>
    <x v="37"/>
    <s v="Braskem - Camacari"/>
    <s v="-"/>
    <s v="-"/>
    <s v="-"/>
    <x v="25"/>
    <s v="-"/>
    <x v="135"/>
    <n v="0"/>
    <n v="0"/>
    <n v="0"/>
    <n v="0"/>
    <n v="6"/>
    <n v="0"/>
    <s v="Reserva importada do Sistema TMS. OS: 10128"/>
    <s v="Fornecedor não preenchido! (ACC01)"/>
    <x v="1"/>
    <x v="1"/>
    <s v="Campo Fornecedor"/>
    <x v="0"/>
    <s v="Sistêmico"/>
    <s v="GRUPO KONTIK"/>
    <x v="8"/>
  </r>
  <r>
    <n v="22700929"/>
    <n v="23503139"/>
    <s v="ACC01"/>
    <x v="153"/>
    <d v="2025-08-07T22:18:58"/>
    <x v="0"/>
    <x v="1"/>
    <s v="5GE8OW"/>
    <s v="TMS"/>
    <s v="MARCELO ROCHA"/>
    <s v="Tms"/>
    <s v="Tms"/>
    <d v="2025-08-07T08:58:00"/>
    <n v="10346"/>
    <s v="-"/>
    <s v="ON LINE"/>
    <s v="Cartão de crédito"/>
    <s v="Cartão de crédito"/>
    <x v="1"/>
    <s v="N"/>
    <x v="37"/>
    <s v="Braskem - Camacari"/>
    <s v="-"/>
    <s v="-"/>
    <s v="-"/>
    <x v="25"/>
    <s v="-"/>
    <x v="136"/>
    <n v="0"/>
    <n v="0"/>
    <n v="0"/>
    <n v="0"/>
    <n v="295.85000000000002"/>
    <n v="0"/>
    <s v="Reserva importada do Sistema TMS. OS: 10346"/>
    <s v="Fornecedor não preenchido! (ACC01)"/>
    <x v="1"/>
    <x v="1"/>
    <s v="Campo Fornecedor"/>
    <x v="0"/>
    <s v="Sistêmico"/>
    <s v="GRUPO KONTIK"/>
    <x v="8"/>
  </r>
  <r>
    <n v="22696422"/>
    <n v="23499261"/>
    <s v="ACC01"/>
    <x v="154"/>
    <d v="2025-08-06T20:16:33"/>
    <x v="0"/>
    <x v="1"/>
    <s v="5GLYZS"/>
    <s v="TMS"/>
    <s v="MARCELO DOMINGUEZ"/>
    <s v="Tms"/>
    <s v="Tms"/>
    <d v="2025-08-06T16:57:00"/>
    <n v="10326"/>
    <s v="-"/>
    <s v="ON LINE"/>
    <s v="Cartão de crédito"/>
    <s v="Cartão de crédito"/>
    <x v="1"/>
    <s v="N"/>
    <x v="37"/>
    <s v="Braskem - Camacari"/>
    <s v="-"/>
    <s v="-"/>
    <s v="-"/>
    <x v="25"/>
    <s v="-"/>
    <x v="137"/>
    <n v="0"/>
    <n v="0"/>
    <n v="0"/>
    <n v="0"/>
    <n v="11.85"/>
    <n v="0"/>
    <s v="Reserva importada do Sistema TMS. OS: 10326"/>
    <s v="Fornecedor não preenchido! (ACC01)"/>
    <x v="1"/>
    <x v="1"/>
    <s v="Campo Fornecedor"/>
    <x v="0"/>
    <s v="Sistêmico"/>
    <s v="GRUPO KONTIK"/>
    <x v="8"/>
  </r>
  <r>
    <n v="22681613"/>
    <n v="23486085"/>
    <s v="ACC01"/>
    <x v="155"/>
    <d v="2025-08-04T22:22:54"/>
    <x v="1"/>
    <x v="0"/>
    <s v="5F93HI"/>
    <s v="TMS"/>
    <s v="EDUARDA LUDWIG"/>
    <s v="Tms"/>
    <s v="Tms"/>
    <d v="2025-08-04T14:36:00"/>
    <n v="10081"/>
    <s v="-"/>
    <s v="ON LINE"/>
    <s v="Cartão de crédito"/>
    <s v="Cartão de crédito"/>
    <x v="1"/>
    <s v="N"/>
    <x v="37"/>
    <s v="Braskem - Camacari"/>
    <s v="-"/>
    <s v="-"/>
    <s v="-"/>
    <x v="25"/>
    <s v="-"/>
    <x v="138"/>
    <n v="0"/>
    <n v="0"/>
    <n v="0"/>
    <n v="0"/>
    <n v="30.88"/>
    <n v="0"/>
    <s v="Reserva importada do Sistema TMS. OS: 10081"/>
    <s v="Fornecedor não preenchido! (ACC01)"/>
    <x v="1"/>
    <x v="1"/>
    <s v="Campo Fornecedor"/>
    <x v="0"/>
    <s v="Sistêmico"/>
    <s v="GRUPO KONTIK"/>
    <x v="8"/>
  </r>
  <r>
    <n v="22700933"/>
    <n v="23503142"/>
    <s v="ACC01"/>
    <x v="156"/>
    <d v="2025-08-07T13:28:23"/>
    <x v="0"/>
    <x v="1"/>
    <s v="5GUK92"/>
    <s v="TMS"/>
    <s v="MARCELO NEVES"/>
    <s v="ADRIANA MIRANDA COUTINHO"/>
    <s v="ADRIANA MIRANDA COUTINHO"/>
    <d v="2025-08-07T08:37:00"/>
    <n v="10120"/>
    <s v="-"/>
    <s v="OFF LINE"/>
    <s v="Cartão de crédito"/>
    <s v="Cartão de crédito"/>
    <x v="1"/>
    <s v="N"/>
    <x v="37"/>
    <s v="Braskem - Camacari"/>
    <s v="-"/>
    <s v="-"/>
    <s v="-"/>
    <x v="25"/>
    <s v="-"/>
    <x v="139"/>
    <n v="0"/>
    <n v="0"/>
    <n v="0"/>
    <n v="0"/>
    <n v="0"/>
    <n v="0"/>
    <s v="Reserva importada do Sistema TMS. OS: 10120"/>
    <s v="Fornecedor não preenchido! (ACC01)"/>
    <x v="1"/>
    <x v="1"/>
    <s v="Campo Fornecedor"/>
    <x v="0"/>
    <s v="Qualidade dos dados"/>
    <s v="KONTIK BUSINESS TRAVEL"/>
    <x v="1"/>
  </r>
  <r>
    <n v="22700934"/>
    <n v="23503143"/>
    <s v="ACC01"/>
    <x v="157"/>
    <d v="2025-08-07T22:19:26"/>
    <x v="0"/>
    <x v="1"/>
    <s v="5GK8NW"/>
    <s v="TMS"/>
    <s v="RENATO DITOMASO"/>
    <s v="ADRIANA MIRANDA COUTINHO"/>
    <s v="ADRIANA MIRANDA COUTINHO"/>
    <d v="2025-08-07T08:33:00"/>
    <n v="10119"/>
    <s v="-"/>
    <s v="OFF LINE"/>
    <s v="Cartão de crédito"/>
    <s v="Cartão de crédito"/>
    <x v="1"/>
    <s v="N"/>
    <x v="37"/>
    <s v="Braskem - Camacari"/>
    <s v="-"/>
    <s v="-"/>
    <s v="-"/>
    <x v="25"/>
    <s v="-"/>
    <x v="139"/>
    <n v="0"/>
    <n v="0"/>
    <n v="0"/>
    <n v="0"/>
    <n v="0"/>
    <n v="0"/>
    <s v="Reserva importada do Sistema TMS. OS: 10119"/>
    <s v="Fornecedor não preenchido! (ACC01)"/>
    <x v="1"/>
    <x v="1"/>
    <s v="Campo Fornecedor"/>
    <x v="0"/>
    <s v="Qualidade dos dados"/>
    <s v="KONTIK BUSINESS TRAVEL"/>
    <x v="1"/>
  </r>
  <r>
    <n v="22696459"/>
    <n v="23499301"/>
    <s v="ACC01"/>
    <x v="158"/>
    <d v="2025-08-06T20:21:04"/>
    <x v="0"/>
    <x v="1"/>
    <s v="5G6K1W"/>
    <s v="TMS"/>
    <s v="KELVIS FIGUEIREDO"/>
    <s v="Bruna Carlos da Silva"/>
    <s v="Bruna Carlos da Silva"/>
    <d v="2025-08-06T16:21:00"/>
    <n v="10279"/>
    <s v="Duque de Caxias / RJ, Brasil (QDQ)"/>
    <s v="OFF LINE"/>
    <s v="Invoice"/>
    <s v="Faturado"/>
    <x v="3"/>
    <s v="N"/>
    <x v="37"/>
    <s v="Braskem - Camacari"/>
    <s v="-"/>
    <s v="-"/>
    <s v="-"/>
    <x v="25"/>
    <s v="-"/>
    <x v="140"/>
    <n v="0"/>
    <n v="0"/>
    <n v="0"/>
    <n v="0"/>
    <n v="0"/>
    <n v="0"/>
    <s v="Reserva importada do Sistema TMS. OS: 10279"/>
    <s v="Fornecedor não preenchido! (ACC01)"/>
    <x v="1"/>
    <x v="1"/>
    <s v="Campo Fornecedor"/>
    <x v="0"/>
    <s v="Qualidade dos dados"/>
    <s v="KONTIK BUSINESS TRAVEL"/>
    <x v="1"/>
  </r>
  <r>
    <n v="22574510"/>
    <n v="23398118"/>
    <s v="ACC01"/>
    <x v="159"/>
    <d v="2025-07-16T18:56:02"/>
    <x v="4"/>
    <x v="5"/>
    <n v="19197258"/>
    <s v="GOVER"/>
    <s v="Maira Da Conceição Moraes "/>
    <s v="Gover"/>
    <s v="Gover"/>
    <d v="2025-07-16T16:53:00"/>
    <n v="4567637"/>
    <s v="-"/>
    <s v="ON LINE"/>
    <s v="Cartão de crédito"/>
    <s v="Cartão de crédito"/>
    <x v="1"/>
    <s v="N"/>
    <x v="38"/>
    <s v="Hypera S.a."/>
    <s v="-"/>
    <s v="-"/>
    <s v="-"/>
    <x v="26"/>
    <s v="-"/>
    <x v="141"/>
    <n v="0"/>
    <n v="0"/>
    <n v="0"/>
    <n v="0"/>
    <n v="0"/>
    <n v="0"/>
    <s v="Reserva importada do sistema Gover. Id: 4567637"/>
    <s v="Fornecedor não preenchido! (ACC01)"/>
    <x v="6"/>
    <x v="1"/>
    <s v="Campo Fornecedor"/>
    <x v="0"/>
    <s v="Sistêmico"/>
    <s v="GRUPO KONTIK"/>
    <x v="8"/>
  </r>
  <r>
    <n v="22583919"/>
    <n v="23405726"/>
    <s v="ACC01"/>
    <x v="160"/>
    <d v="2025-07-18T11:23:10"/>
    <x v="4"/>
    <x v="5"/>
    <n v="19216215"/>
    <s v="GOVER"/>
    <s v="Caique  Nascimento De Araújo"/>
    <s v="Gover"/>
    <s v="Gover"/>
    <d v="2025-07-17T19:29:00"/>
    <n v="4568443"/>
    <s v="-"/>
    <s v="ON LINE"/>
    <s v="Cartão de crédito"/>
    <s v="Cartão de crédito"/>
    <x v="1"/>
    <s v="N"/>
    <x v="38"/>
    <s v="Hypera S.a."/>
    <s v="-"/>
    <s v="-"/>
    <s v="-"/>
    <x v="26"/>
    <s v="-"/>
    <x v="75"/>
    <n v="0"/>
    <n v="0"/>
    <n v="0"/>
    <n v="0"/>
    <n v="0"/>
    <n v="0"/>
    <s v="Reserva importada do sistema Gover. Id: 4568443"/>
    <s v="Fornecedor não preenchido! (ACC01)"/>
    <x v="6"/>
    <x v="1"/>
    <s v="Campo Fornecedor"/>
    <x v="0"/>
    <s v="Sistêmico"/>
    <s v="GRUPO KONTIK"/>
    <x v="8"/>
  </r>
  <r>
    <n v="22701567"/>
    <n v="23503717"/>
    <s v="ACC01"/>
    <x v="161"/>
    <d v="2025-08-07T15:15:29"/>
    <x v="0"/>
    <x v="1"/>
    <n v="19446829"/>
    <s v="GOVER"/>
    <s v="Brena Felix Rodrigues"/>
    <s v="Gover"/>
    <s v="Gover"/>
    <d v="2025-08-04T17:58:00"/>
    <n v="4576986"/>
    <s v="-"/>
    <s v="OFF LINE"/>
    <s v="Invoice"/>
    <s v="Faturado"/>
    <x v="1"/>
    <s v="N"/>
    <x v="38"/>
    <s v="Hypera S.a."/>
    <s v="-"/>
    <s v="Pousada Santo Amaro"/>
    <s v="-"/>
    <x v="26"/>
    <s v="-"/>
    <x v="131"/>
    <n v="0"/>
    <n v="0"/>
    <n v="0"/>
    <n v="0"/>
    <n v="0"/>
    <n v="0"/>
    <s v="Reserva importada do sistema Gover. Id: 4576986"/>
    <s v="Não foi possível encontrar um contrato válido para o fornecedor 16504 (Código fornecedor) "/>
    <x v="6"/>
    <x v="0"/>
    <s v="Análise Cadastro"/>
    <x v="0"/>
    <s v="Qualidade dos dados"/>
    <s v="KONTIK BUSINESS TRAVEL"/>
    <x v="1"/>
  </r>
  <r>
    <n v="22701638"/>
    <n v="23503786"/>
    <s v="ACC01"/>
    <x v="162"/>
    <d v="2025-08-07T15:31:16"/>
    <x v="0"/>
    <x v="1"/>
    <n v="19483961"/>
    <s v="GOVER"/>
    <s v="Andrea Camargo Barreto"/>
    <s v="Gover"/>
    <s v="Gover"/>
    <d v="2025-08-07T14:48:00"/>
    <n v="4578702"/>
    <s v="-"/>
    <s v="ON LINE"/>
    <s v="Cartão de crédito"/>
    <s v="Cartão de crédito"/>
    <x v="1"/>
    <s v="N"/>
    <x v="38"/>
    <s v="Hypera S.a."/>
    <s v="-"/>
    <s v="-"/>
    <s v="-"/>
    <x v="26"/>
    <s v="-"/>
    <x v="142"/>
    <n v="0"/>
    <n v="0"/>
    <n v="0"/>
    <n v="0"/>
    <n v="0"/>
    <n v="0"/>
    <s v="Reserva importada do sistema Gover. Id: 4578702"/>
    <s v="Fornecedor não preenchido! (ACC01)"/>
    <x v="6"/>
    <x v="1"/>
    <s v="Campo Fornecedor"/>
    <x v="0"/>
    <s v="Sistêmico"/>
    <s v="GRUPO KONTIK"/>
    <x v="8"/>
  </r>
  <r>
    <n v="22663757"/>
    <n v="23471782"/>
    <s v="ACC01"/>
    <x v="163"/>
    <d v="2025-08-01T11:03:35"/>
    <x v="3"/>
    <x v="4"/>
    <n v="19381694"/>
    <s v="GOVER"/>
    <s v="Diego Cardoso Martins"/>
    <s v="Gover"/>
    <s v="Gover"/>
    <d v="2025-07-31T09:19:00"/>
    <n v="4574989"/>
    <s v="-"/>
    <s v="ON LINE"/>
    <s v="Cartão de crédito"/>
    <s v="Cartão de crédito"/>
    <x v="1"/>
    <s v="N"/>
    <x v="39"/>
    <s v="Intercement Nacoes Unidas"/>
    <s v="-"/>
    <s v="-"/>
    <s v="-"/>
    <x v="27"/>
    <s v="-"/>
    <x v="143"/>
    <n v="0"/>
    <n v="0"/>
    <n v="0"/>
    <n v="0"/>
    <n v="0"/>
    <n v="0"/>
    <s v="Reserva importada do sistema Gover. Id: 4574989"/>
    <s v="Fornecedor não preenchido! (ACC01)"/>
    <x v="6"/>
    <x v="1"/>
    <s v="Campo Fornecedor"/>
    <x v="0"/>
    <s v="Sistêmico"/>
    <s v="GRUPO KONTIK"/>
    <x v="8"/>
  </r>
  <r>
    <n v="22681481"/>
    <n v="23485944"/>
    <s v="ACC01"/>
    <x v="164"/>
    <d v="2025-08-04T18:55:38"/>
    <x v="1"/>
    <x v="0"/>
    <n v="19431949"/>
    <s v="GOVER"/>
    <s v="Leandro Pereira de Sousa"/>
    <s v="Gover"/>
    <s v="Gover"/>
    <d v="2025-08-04T15:22:00"/>
    <n v="4576724"/>
    <s v="-"/>
    <s v="OFF LINE"/>
    <s v="Invoice"/>
    <s v="Faturado"/>
    <x v="1"/>
    <s v="N"/>
    <x v="39"/>
    <s v="Intercement Nacoes Unidas"/>
    <s v="-"/>
    <s v="-"/>
    <s v="-"/>
    <x v="27"/>
    <s v="-"/>
    <x v="144"/>
    <n v="0"/>
    <n v="0"/>
    <n v="0"/>
    <n v="0"/>
    <n v="0"/>
    <n v="0"/>
    <s v="Reserva importada do sistema Gover. Id: 4576724"/>
    <s v="Fornecedor não preenchido! (ACC01)"/>
    <x v="6"/>
    <x v="1"/>
    <s v="Campo Fornecedor"/>
    <x v="0"/>
    <s v="Sistêmico"/>
    <s v="GRUPO KONTIK"/>
    <x v="8"/>
  </r>
  <r>
    <n v="22680658"/>
    <n v="23485133"/>
    <s v="ACC01"/>
    <x v="165"/>
    <d v="2025-08-04T18:15:59"/>
    <x v="1"/>
    <x v="0"/>
    <n v="4576274"/>
    <s v="GOVER"/>
    <s v="Adriano Jose da Silva"/>
    <s v="Wilson Jose Araujo de Gusmao Junior"/>
    <s v="Wilson Jose Araujo de Gusmao Junior"/>
    <d v="2025-08-04T18:00:00"/>
    <n v="4576274"/>
    <s v="-"/>
    <s v="OFF LINE"/>
    <s v="Cartão de crédito"/>
    <s v="Cartão de crédito"/>
    <x v="1"/>
    <s v="N"/>
    <x v="39"/>
    <s v="Intercement Nacoes Unidas"/>
    <s v="-"/>
    <s v="America Palace Hotel - Inativo"/>
    <s v="-"/>
    <x v="27"/>
    <s v="-"/>
    <x v="145"/>
    <n v="0"/>
    <n v="0"/>
    <n v="0"/>
    <n v="0"/>
    <n v="0"/>
    <n v="0"/>
    <s v="Reserva importada do sistema Gover. Id: 4576274"/>
    <s v="Não foi possível encontrar um contrato válido para o fornecedor 28953 (Código fornecedor) "/>
    <x v="6"/>
    <x v="0"/>
    <s v="Análise Cadastro"/>
    <x v="0"/>
    <s v="Qualidade dos dados"/>
    <s v="KONTIK BUSINESS TRAVEL"/>
    <x v="1"/>
  </r>
  <r>
    <n v="22684230"/>
    <n v="23488136"/>
    <s v="ACC01"/>
    <x v="166"/>
    <d v="2025-08-05T08:05:15"/>
    <x v="1"/>
    <x v="0"/>
    <n v="4576387"/>
    <s v="GOVER"/>
    <s v="Cesar Francisco Antunes Cavalheiro"/>
    <s v="Wilson Jose Araujo de Gusmao Junior"/>
    <s v="Wilson Jose Araujo de Gusmao Junior"/>
    <d v="2025-08-04T19:00:00"/>
    <n v="4576387"/>
    <s v="-"/>
    <s v="OFF LINE"/>
    <s v="Cartão de crédito"/>
    <s v="Cartão de crédito"/>
    <x v="1"/>
    <s v="N"/>
    <x v="39"/>
    <s v="Intercement Nacoes Unidas"/>
    <s v="-"/>
    <s v="America Palace Hotel - Inativo"/>
    <s v="-"/>
    <x v="27"/>
    <s v="-"/>
    <x v="145"/>
    <n v="0"/>
    <n v="0"/>
    <n v="0"/>
    <n v="0"/>
    <n v="0"/>
    <n v="0"/>
    <s v="Reserva importada do sistema Gover. Id: 4576387"/>
    <s v="Não foi possível encontrar um contrato válido para o fornecedor 28953 (Código fornecedor) "/>
    <x v="6"/>
    <x v="0"/>
    <s v="Análise Cadastro"/>
    <x v="0"/>
    <s v="Qualidade dos dados"/>
    <s v="KONTIK BUSINESS TRAVEL"/>
    <x v="1"/>
  </r>
  <r>
    <n v="22687725"/>
    <n v="23491370"/>
    <s v="ACC01"/>
    <x v="167"/>
    <d v="2025-08-06T22:39:22"/>
    <x v="0"/>
    <x v="0"/>
    <s v="h4569045"/>
    <s v="GOVER"/>
    <s v="Carolina da Silva Corrales"/>
    <s v="Janaina dos Santos Oliveira"/>
    <s v="Janaina dos Santos Oliveira"/>
    <d v="2025-08-05T17:18:00"/>
    <n v="4569045"/>
    <s v="-"/>
    <s v="OFF LINE"/>
    <s v="Pagamento direto"/>
    <s v="Pagamento direto"/>
    <x v="1"/>
    <s v="N"/>
    <x v="40"/>
    <s v="Samsung Eletronica da Amazonia"/>
    <s v="-"/>
    <s v="-"/>
    <s v="-"/>
    <x v="28"/>
    <s v="-"/>
    <x v="146"/>
    <n v="96"/>
    <n v="0"/>
    <n v="0"/>
    <n v="0"/>
    <n v="0"/>
    <n v="0"/>
    <s v="Reserva importada do sistema Gover. Id: 4569045"/>
    <s v="Fornecedor não preenchido! (ACC01)"/>
    <x v="6"/>
    <x v="1"/>
    <s v="Campo Fornecedor"/>
    <x v="0"/>
    <s v="Sistêmico"/>
    <s v="GRUPO KONTIK"/>
    <x v="8"/>
  </r>
  <r>
    <n v="22700800"/>
    <n v="23503015"/>
    <s v="ACC01"/>
    <x v="168"/>
    <d v="2025-08-07T13:12:29"/>
    <x v="0"/>
    <x v="1"/>
    <s v="5GYXL2"/>
    <s v="TMS"/>
    <s v="BIANCA DA SILVA"/>
    <s v="Tms"/>
    <s v="Tms"/>
    <d v="2025-08-07T09:44:00"/>
    <n v="76266"/>
    <s v="-"/>
    <s v="ON LINE"/>
    <s v="Cartão de crédito"/>
    <s v="Cartão de crédito"/>
    <x v="1"/>
    <s v="N"/>
    <x v="17"/>
    <s v="Stella Energia"/>
    <s v="-"/>
    <s v="-"/>
    <s v="-"/>
    <x v="29"/>
    <s v="-"/>
    <x v="147"/>
    <n v="0"/>
    <n v="0"/>
    <n v="0"/>
    <n v="0"/>
    <n v="0"/>
    <n v="0"/>
    <s v="Reserva importada do Sistema TMS. OS: 76266"/>
    <s v="Fornecedor não preenchido! (ACC01)"/>
    <x v="1"/>
    <x v="1"/>
    <s v="Campo Fornecedor"/>
    <x v="0"/>
    <s v="Sistêmico"/>
    <s v="GRUPO KONTIK"/>
    <x v="8"/>
  </r>
  <r>
    <n v="21472471"/>
    <n v="22436535"/>
    <s v="ACC01"/>
    <x v="169"/>
    <d v="2025-08-07T17:55:49"/>
    <x v="0"/>
    <x v="3"/>
    <s v="PGU1WV"/>
    <s v="TMS"/>
    <s v="ESTACIO/ANA"/>
    <s v="Raissa Iorio Cestari"/>
    <s v="Raissa Iorio Cestari"/>
    <d v="2025-01-17T11:03:00"/>
    <n v="16588"/>
    <s v="-"/>
    <s v="OFF LINE"/>
    <s v="Invoice"/>
    <s v="Faturado"/>
    <x v="2"/>
    <s v="N"/>
    <x v="17"/>
    <s v="Tequimar Vdc"/>
    <s v="-"/>
    <s v="Azul Linhas Aereas"/>
    <n v="3022436535"/>
    <x v="29"/>
    <s v="-"/>
    <x v="148"/>
    <n v="0"/>
    <n v="0"/>
    <n v="0"/>
    <n v="0"/>
    <n v="0"/>
    <n v="0"/>
    <s v="Reserva importada do Sistema TMS. OS: 16588"/>
    <s v="(ACC Código: 23944862) Esta accounting está conciliada no BSP. Bilhete: 3022436535 *** Venda ficará aguardando intervenção manual. ***"/>
    <x v="1"/>
    <x v="17"/>
    <s v="Concilização eletrônica Aérea"/>
    <x v="4"/>
    <s v="Processo Operacional"/>
    <s v="GRUPO KONTIK"/>
    <x v="4"/>
  </r>
  <r>
    <n v="22702115"/>
    <n v="23504256"/>
    <s v="ACC01"/>
    <x v="170"/>
    <d v="2025-08-07T16:48:59"/>
    <x v="0"/>
    <x v="1"/>
    <s v="CYUFLYT"/>
    <s v="SABRE"/>
    <s v="SOUZA/EDEVALDO OLIVEIRA"/>
    <s v="Vanessa Pereira Ribeiro Carlos"/>
    <s v="Vanessa Pereira Ribeiro Carlos"/>
    <d v="2025-08-07T14:15:00"/>
    <s v="TELEFONE"/>
    <s v="-"/>
    <s v="OFF LINE"/>
    <s v="Pagamento direto"/>
    <s v="Pagamento direto"/>
    <x v="1"/>
    <s v="N"/>
    <x v="41"/>
    <s v="Shell"/>
    <s v="-"/>
    <s v="-"/>
    <s v="-"/>
    <x v="30"/>
    <s v="-"/>
    <x v="149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411"/>
    <n v="23504565"/>
    <s v="ACC01"/>
    <x v="171"/>
    <d v="2025-08-07T17:36:28"/>
    <x v="0"/>
    <x v="1"/>
    <s v="AJFHUTT"/>
    <s v="SABRE"/>
    <s v="ALVES/RODRIGO"/>
    <s v="Vanessa Pereira Ribeiro Carlos"/>
    <s v="Vanessa Pereira Ribeiro Carlos"/>
    <d v="2025-08-07T14:43:00"/>
    <s v="EMAIL"/>
    <s v="-"/>
    <s v="OFF LINE"/>
    <s v="Pagamento direto"/>
    <s v="Pagamento direto"/>
    <x v="1"/>
    <s v="N"/>
    <x v="41"/>
    <s v="Shell"/>
    <s v="-"/>
    <s v="-"/>
    <s v="-"/>
    <x v="30"/>
    <s v="-"/>
    <x v="15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412"/>
    <n v="23504566"/>
    <s v="ACC01"/>
    <x v="172"/>
    <d v="2025-08-07T17:36:29"/>
    <x v="0"/>
    <x v="1"/>
    <s v="CXSDMJT"/>
    <s v="SABRE"/>
    <s v="WEINBERG/ANDREA"/>
    <s v="Vanessa Pereira Ribeiro Carlos"/>
    <s v="Vanessa Pereira Ribeiro Carlos"/>
    <d v="2025-08-07T14:46:00"/>
    <s v="EMAIL"/>
    <s v="-"/>
    <s v="OFF LINE"/>
    <s v="Pagamento direto"/>
    <s v="Pagamento direto"/>
    <x v="1"/>
    <s v="N"/>
    <x v="41"/>
    <s v="Shell"/>
    <s v="-"/>
    <s v="-"/>
    <s v="-"/>
    <x v="30"/>
    <s v="-"/>
    <x v="15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9967"/>
    <n v="23502212"/>
    <s v="ACC01"/>
    <x v="173"/>
    <d v="2025-08-07T11:36:41"/>
    <x v="0"/>
    <x v="1"/>
    <s v="JLCPLXT"/>
    <s v="SABRE"/>
    <s v="PINTO DA COSTA/CRISTIANO MR"/>
    <s v="GABRIEL ALVES MOURA"/>
    <s v="GABRIEL ALVES MOURA"/>
    <d v="2025-08-07T09:13:00"/>
    <s v="EMAIL"/>
    <s v="-"/>
    <s v="OFF LINE"/>
    <s v="Pagamento direto"/>
    <s v="Pagamento direto"/>
    <x v="1"/>
    <s v="N"/>
    <x v="41"/>
    <s v="Shell"/>
    <s v="-"/>
    <s v="-"/>
    <s v="-"/>
    <x v="30"/>
    <s v="-"/>
    <x v="151"/>
    <n v="232.57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410"/>
    <n v="23504564"/>
    <s v="ACC01"/>
    <x v="174"/>
    <d v="2025-08-07T17:36:27"/>
    <x v="0"/>
    <x v="1"/>
    <s v="JBGHDZT"/>
    <s v="SABRE"/>
    <s v="MENDES/MARCELO FERNANDES DR"/>
    <s v="Adriana Vieira de Freitas dos Santos"/>
    <s v="Adriana Vieira de Freitas dos Santos"/>
    <d v="2025-08-07T13:47:00"/>
    <s v="FONE"/>
    <s v="-"/>
    <s v="OFF LINE"/>
    <s v="Pagamento direto"/>
    <s v="Pagamento direto"/>
    <x v="1"/>
    <s v="N"/>
    <x v="41"/>
    <s v="Shell"/>
    <s v="-"/>
    <s v="-"/>
    <s v="-"/>
    <x v="30"/>
    <s v="-"/>
    <x v="152"/>
    <n v="19.5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1666"/>
    <n v="23503823"/>
    <s v="ACC01"/>
    <x v="175"/>
    <d v="2025-08-07T15:36:45"/>
    <x v="0"/>
    <x v="1"/>
    <s v="GBSCATT"/>
    <s v="SABRE"/>
    <s v="MENEZES/DANIEL PACHECO MR"/>
    <s v="Adriana Vieira de Freitas dos Santos"/>
    <s v="Adriana Vieira de Freitas dos Santos"/>
    <d v="2025-08-07T11:11:00"/>
    <s v="EMAIL"/>
    <s v="-"/>
    <s v="OFF LINE"/>
    <s v="Pagamento direto"/>
    <s v="Pagamento direto"/>
    <x v="1"/>
    <s v="N"/>
    <x v="41"/>
    <s v="Shell"/>
    <s v="-"/>
    <s v="-"/>
    <s v="-"/>
    <x v="30"/>
    <s v="-"/>
    <x v="153"/>
    <n v="12.7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1667"/>
    <n v="23503824"/>
    <s v="ACC01"/>
    <x v="176"/>
    <d v="2025-08-07T15:36:45"/>
    <x v="0"/>
    <x v="1"/>
    <s v="DTDYEBT"/>
    <s v="SABRE"/>
    <s v="JORGE NETO/AUGUSTO FERNANDES MR"/>
    <s v="Adriana Vieira de Freitas dos Santos"/>
    <s v="Adriana Vieira de Freitas dos Santos"/>
    <d v="2025-08-07T11:21:00"/>
    <s v="EMAIL"/>
    <s v="-"/>
    <s v="OFF LINE"/>
    <s v="Pagamento direto"/>
    <s v="Pagamento direto"/>
    <x v="1"/>
    <s v="N"/>
    <x v="41"/>
    <s v="Shell"/>
    <s v="-"/>
    <s v="-"/>
    <s v="-"/>
    <x v="30"/>
    <s v="-"/>
    <x v="153"/>
    <n v="12.7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0151"/>
    <n v="23502392"/>
    <s v="ACC01"/>
    <x v="177"/>
    <d v="2025-08-07T12:07:11"/>
    <x v="0"/>
    <x v="1"/>
    <s v="JJCBDRT"/>
    <s v="SABRE"/>
    <s v="CARVALHO/ICARO JOSE FONTAN DE MR"/>
    <s v="Adriana Vieira de Freitas dos Santos"/>
    <s v="Adriana Vieira de Freitas dos Santos"/>
    <d v="2025-08-07T09:34:00"/>
    <s v="EMAIL"/>
    <s v="-"/>
    <s v="OFF LINE"/>
    <s v="Pagamento direto"/>
    <s v="Pagamento direto"/>
    <x v="1"/>
    <s v="N"/>
    <x v="41"/>
    <s v="Shell"/>
    <s v="-"/>
    <s v="-"/>
    <s v="-"/>
    <x v="30"/>
    <s v="-"/>
    <x v="154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1391"/>
    <n v="23503564"/>
    <s v="ACC01"/>
    <x v="178"/>
    <d v="2025-08-07T14:36:21"/>
    <x v="0"/>
    <x v="1"/>
    <s v="LNEBAGT"/>
    <s v="SABRE"/>
    <s v="CAMPOS/FLAVIO DE COSTA MR"/>
    <s v="WS"/>
    <s v="WS"/>
    <d v="2025-08-07T12:14:00"/>
    <s v="CONCUR"/>
    <s v="-"/>
    <s v="ON LINE"/>
    <s v="Pagamento direto"/>
    <s v="Pagamento direto"/>
    <x v="1"/>
    <s v="N"/>
    <x v="41"/>
    <s v="Shell"/>
    <s v="-"/>
    <s v="-"/>
    <s v="-"/>
    <x v="30"/>
    <s v="-"/>
    <x v="155"/>
    <n v="51.31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8"/>
  </r>
  <r>
    <n v="22700575"/>
    <n v="23502796"/>
    <s v="ACC01"/>
    <x v="179"/>
    <d v="2025-08-07T12:48:27"/>
    <x v="0"/>
    <x v="1"/>
    <s v="5G8M8X"/>
    <s v="TMS"/>
    <s v="JULIO/GILMAR"/>
    <s v="Alexandre Isidio da Silva"/>
    <s v="Alexandre Isidio da Silva"/>
    <d v="2025-08-07T09:20:00"/>
    <n v="24853"/>
    <s v="-"/>
    <s v="OFF LINE"/>
    <s v="Cartão de crédito"/>
    <s v="Cartão de crédito"/>
    <x v="2"/>
    <s v="N"/>
    <x v="42"/>
    <s v="Enaex"/>
    <s v="-"/>
    <s v="Azul Linhas Aereas"/>
    <n v="3023502796"/>
    <x v="31"/>
    <s v="-"/>
    <x v="1"/>
    <n v="98"/>
    <n v="0"/>
    <n v="0"/>
    <n v="0"/>
    <n v="0"/>
    <n v="0"/>
    <s v="Reserva importada do Sistema TMS. OS: 24853"/>
    <s v="Tarifa mínima não preenchida! (ACC01) Tarifa máxima não preenchida! (ACC01)"/>
    <x v="1"/>
    <x v="7"/>
    <s v="Falta de informação Gerencial"/>
    <x v="0"/>
    <s v="Qualidade dos dados"/>
    <s v="KONTIK BUSINESS TRAVEL"/>
    <x v="0"/>
  </r>
  <r>
    <n v="22695767"/>
    <n v="23498618"/>
    <s v="ACC01"/>
    <x v="180"/>
    <d v="2025-08-06T18:56:16"/>
    <x v="0"/>
    <x v="1"/>
    <s v="5GE2IA"/>
    <s v="TMS"/>
    <s v="CESAR ARAUJO"/>
    <s v="Tms"/>
    <s v="Tms"/>
    <d v="2025-08-06T13:48:00"/>
    <n v="24842"/>
    <s v="-"/>
    <s v="ON LINE"/>
    <s v="Cartão de crédito"/>
    <s v="Cartão de crédito"/>
    <x v="1"/>
    <s v="N"/>
    <x v="42"/>
    <s v="Enaex"/>
    <s v="-"/>
    <s v="-"/>
    <s v="-"/>
    <x v="31"/>
    <s v="-"/>
    <x v="79"/>
    <n v="0"/>
    <n v="0"/>
    <n v="0"/>
    <n v="0"/>
    <n v="5.2"/>
    <n v="0"/>
    <s v="Reserva importada do Sistema TMS. OS: 24842"/>
    <s v="Fornecedor não preenchido! (ACC01)"/>
    <x v="1"/>
    <x v="1"/>
    <s v="Campo Fornecedor"/>
    <x v="0"/>
    <s v="Sistêmico"/>
    <s v="GRUPO KONTIK"/>
    <x v="8"/>
  </r>
  <r>
    <n v="22680788"/>
    <n v="23485269"/>
    <s v="ACC01"/>
    <x v="181"/>
    <d v="2025-08-04T18:45:46"/>
    <x v="1"/>
    <x v="0"/>
    <s v="5FGPWK"/>
    <s v="TMS"/>
    <s v="MARCIO VIVAS"/>
    <s v="Tms"/>
    <s v="Tms"/>
    <d v="2025-08-04T14:19:00"/>
    <n v="24743"/>
    <s v="-"/>
    <s v="ON LINE"/>
    <s v="Cartão de crédito"/>
    <s v="Cartão de crédito"/>
    <x v="1"/>
    <s v="N"/>
    <x v="42"/>
    <s v="Enaex"/>
    <s v="-"/>
    <s v="-"/>
    <s v="-"/>
    <x v="31"/>
    <s v="-"/>
    <x v="156"/>
    <n v="0"/>
    <n v="0"/>
    <n v="0"/>
    <n v="0"/>
    <n v="58.5"/>
    <n v="0"/>
    <s v="Reserva importada do Sistema TMS. OS: 24743"/>
    <s v="Fornecedor não preenchido! (ACC01)"/>
    <x v="1"/>
    <x v="1"/>
    <s v="Campo Fornecedor"/>
    <x v="0"/>
    <s v="Sistêmico"/>
    <s v="GRUPO KONTIK"/>
    <x v="8"/>
  </r>
  <r>
    <n v="22703248"/>
    <n v="23505355"/>
    <s v="ACC01"/>
    <x v="182"/>
    <d v="2025-08-07T19:10:24"/>
    <x v="0"/>
    <x v="1"/>
    <s v="5G78TE"/>
    <s v="TMS"/>
    <s v="EZEQUIEL TRAMUNTINN"/>
    <s v="Tms"/>
    <s v="Tms"/>
    <d v="2025-08-07T15:22:00"/>
    <n v="24881"/>
    <s v="Sinop / OPS"/>
    <s v="ON LINE"/>
    <s v="Invoice"/>
    <s v="Faturado"/>
    <x v="3"/>
    <s v="N"/>
    <x v="42"/>
    <s v="Enaex"/>
    <s v="-"/>
    <s v="-"/>
    <s v="-"/>
    <x v="31"/>
    <s v="-"/>
    <x v="157"/>
    <n v="0"/>
    <n v="0"/>
    <n v="0"/>
    <n v="0"/>
    <n v="0"/>
    <n v="0"/>
    <s v="Reserva importada do Sistema TMS. OS: 24881"/>
    <s v="Fornecedor não preenchido! (ACC01)"/>
    <x v="1"/>
    <x v="1"/>
    <s v="Campo Fornecedor"/>
    <x v="0"/>
    <s v="Qualidade dos dados"/>
    <s v="KONTIK BUSINESS TRAVEL"/>
    <x v="1"/>
  </r>
  <r>
    <n v="22703258"/>
    <n v="23505364"/>
    <s v="ACC01"/>
    <x v="183"/>
    <d v="2025-08-07T19:15:38"/>
    <x v="0"/>
    <x v="1"/>
    <s v="5GT95E"/>
    <s v="TMS"/>
    <s v="ROGER SILVA"/>
    <s v="Tms"/>
    <s v="Tms"/>
    <d v="2025-08-07T15:31:00"/>
    <n v="24866"/>
    <s v="Campinas / VCP"/>
    <s v="ON LINE"/>
    <s v="Invoice"/>
    <s v="Faturado"/>
    <x v="3"/>
    <s v="N"/>
    <x v="42"/>
    <s v="Enaex"/>
    <s v="-"/>
    <s v="-"/>
    <s v="-"/>
    <x v="31"/>
    <s v="-"/>
    <x v="158"/>
    <n v="0"/>
    <n v="0"/>
    <n v="0"/>
    <n v="0"/>
    <n v="0"/>
    <n v="0"/>
    <s v="Reserva importada do Sistema TMS. OS: 24866"/>
    <s v="Fornecedor não preenchido! (ACC01)"/>
    <x v="1"/>
    <x v="1"/>
    <s v="Campo Fornecedor"/>
    <x v="0"/>
    <s v="Qualidade dos dados"/>
    <s v="KONTIK BUSINESS TRAVEL"/>
    <x v="1"/>
  </r>
  <r>
    <n v="22703260"/>
    <n v="23505366"/>
    <s v="ACC01"/>
    <x v="184"/>
    <d v="2025-08-07T19:15:38"/>
    <x v="0"/>
    <x v="1"/>
    <s v="5G6NTE"/>
    <s v="TMS"/>
    <s v="PAULO MARTINS"/>
    <s v="Tms"/>
    <s v="Tms"/>
    <d v="2025-08-07T14:30:00"/>
    <n v="24841"/>
    <s v="-"/>
    <s v="ON LINE"/>
    <s v="Cartão de crédito"/>
    <s v="Cartão de crédito"/>
    <x v="1"/>
    <s v="N"/>
    <x v="42"/>
    <s v="Enaex"/>
    <s v="-"/>
    <s v="-"/>
    <s v="-"/>
    <x v="31"/>
    <s v="-"/>
    <x v="79"/>
    <n v="0"/>
    <n v="0"/>
    <n v="0"/>
    <n v="0"/>
    <n v="5.2"/>
    <n v="0"/>
    <s v="Reserva importada do Sistema TMS. OS: 24841"/>
    <s v="Fornecedor não preenchido! (ACC01)"/>
    <x v="1"/>
    <x v="1"/>
    <s v="Campo Fornecedor"/>
    <x v="0"/>
    <s v="Sistêmico"/>
    <s v="GRUPO KONTIK"/>
    <x v="8"/>
  </r>
  <r>
    <n v="22649917"/>
    <n v="23459507"/>
    <s v="ACC01"/>
    <x v="185"/>
    <d v="2025-07-30T10:01:14"/>
    <x v="2"/>
    <x v="2"/>
    <s v="5FS8LZ"/>
    <s v="LEMONTECH"/>
    <s v="BANNI/MAICON"/>
    <s v="Fernando Augusto Santiago da Silva"/>
    <s v="Fernando Augusto Santiago da Silva"/>
    <d v="2025-07-17T14:28:00"/>
    <n v="17075340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75340"/>
    <s v="Fornecedor não preenchido! (ACC01)"/>
    <x v="7"/>
    <x v="1"/>
    <s v="Campo Fornecedor"/>
    <x v="0"/>
    <s v="Qualidade dos dados"/>
    <s v="KONTIK BUSINESS TRAVEL"/>
    <x v="1"/>
  </r>
  <r>
    <n v="22656876"/>
    <n v="23465756"/>
    <s v="ACC01"/>
    <x v="186"/>
    <d v="2025-07-31T10:00:50"/>
    <x v="3"/>
    <x v="4"/>
    <s v="5F5FTE"/>
    <s v="LEMONTECH"/>
    <s v="NAKANO/RICARDO"/>
    <s v="Fernando Augusto Santiago da Silva"/>
    <s v="Fernando Augusto Santiago da Silva"/>
    <d v="2025-07-16T15:08:00"/>
    <n v="17054255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4255"/>
    <s v="Fornecedor não preenchido! (ACC01)"/>
    <x v="7"/>
    <x v="1"/>
    <s v="Campo Fornecedor"/>
    <x v="0"/>
    <s v="Qualidade dos dados"/>
    <s v="KONTIK BUSINESS TRAVEL"/>
    <x v="1"/>
  </r>
  <r>
    <n v="22656877"/>
    <n v="23465757"/>
    <s v="ACC01"/>
    <x v="187"/>
    <d v="2025-07-31T10:00:50"/>
    <x v="3"/>
    <x v="4"/>
    <s v="5FHVGC"/>
    <s v="LEMONTECH"/>
    <s v="BANNI/MAICON"/>
    <s v="Fernando Augusto Santiago da Silva"/>
    <s v="Fernando Augusto Santiago da Silva"/>
    <d v="2025-07-16T15:25:00"/>
    <n v="17054289"/>
    <s v="-"/>
    <s v="OFF LINE"/>
    <s v="Invoice"/>
    <s v="Faturado"/>
    <x v="0"/>
    <s v="N"/>
    <x v="43"/>
    <s v="Biolab Centro Administrativo - Escritorio"/>
    <s v="-"/>
    <s v="-"/>
    <s v="-"/>
    <x v="32"/>
    <s v="-"/>
    <x v="160"/>
    <n v="0"/>
    <n v="0"/>
    <n v="0"/>
    <n v="0"/>
    <n v="0"/>
    <n v="0"/>
    <s v="Reserva importada do Sistema Lemontech. Solicitação: 17054289"/>
    <s v="Fornecedor não preenchido! (ACC01)"/>
    <x v="7"/>
    <x v="1"/>
    <s v="Campo Fornecedor"/>
    <x v="0"/>
    <s v="Qualidade dos dados"/>
    <s v="KONTIK BUSINESS TRAVEL"/>
    <x v="1"/>
  </r>
  <r>
    <n v="22656878"/>
    <n v="23465758"/>
    <s v="ACC01"/>
    <x v="188"/>
    <d v="2025-07-31T10:00:50"/>
    <x v="3"/>
    <x v="4"/>
    <s v="5F7V5C"/>
    <s v="LEMONTECH"/>
    <s v="NAKANO/RICARDO"/>
    <s v="Fernando Augusto Santiago da Silva"/>
    <s v="Fernando Augusto Santiago da Silva"/>
    <d v="2025-07-16T15:11:00"/>
    <n v="17054303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4303"/>
    <s v="Fornecedor não preenchido! (ACC01)"/>
    <x v="7"/>
    <x v="1"/>
    <s v="Campo Fornecedor"/>
    <x v="0"/>
    <s v="Qualidade dos dados"/>
    <s v="KONTIK BUSINESS TRAVEL"/>
    <x v="1"/>
  </r>
  <r>
    <n v="22656879"/>
    <n v="23465759"/>
    <s v="ACC01"/>
    <x v="189"/>
    <d v="2025-07-31T10:00:51"/>
    <x v="3"/>
    <x v="4"/>
    <s v="5F8VGD"/>
    <s v="LEMONTECH"/>
    <s v="NAKANO/RICARDO"/>
    <s v="Fernando Augusto Santiago da Silva"/>
    <s v="Fernando Augusto Santiago da Silva"/>
    <d v="2025-07-16T15:18:00"/>
    <n v="17054438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4438"/>
    <s v="Fornecedor não preenchido! (ACC01)"/>
    <x v="7"/>
    <x v="1"/>
    <s v="Campo Fornecedor"/>
    <x v="0"/>
    <s v="Qualidade dos dados"/>
    <s v="KONTIK BUSINESS TRAVEL"/>
    <x v="1"/>
  </r>
  <r>
    <n v="22656880"/>
    <n v="23465760"/>
    <s v="ACC01"/>
    <x v="190"/>
    <d v="2025-07-31T10:00:51"/>
    <x v="3"/>
    <x v="4"/>
    <s v="5F9FTD"/>
    <s v="LEMONTECH"/>
    <s v="BANNI/MAICON"/>
    <s v="Fernando Augusto Santiago da Silva"/>
    <s v="Fernando Augusto Santiago da Silva"/>
    <d v="2025-07-16T15:27:00"/>
    <n v="17054452"/>
    <s v="-"/>
    <s v="OFF LINE"/>
    <s v="Invoice"/>
    <s v="Faturado"/>
    <x v="0"/>
    <s v="N"/>
    <x v="43"/>
    <s v="Biolab Centro Administrativo - Escritorio"/>
    <s v="-"/>
    <s v="-"/>
    <s v="-"/>
    <x v="32"/>
    <s v="-"/>
    <x v="160"/>
    <n v="0"/>
    <n v="0"/>
    <n v="0"/>
    <n v="0"/>
    <n v="0"/>
    <n v="0"/>
    <s v="Reserva importada do Sistema Lemontech. Solicitação: 17054452"/>
    <s v="Fornecedor não preenchido! (ACC01)"/>
    <x v="7"/>
    <x v="1"/>
    <s v="Campo Fornecedor"/>
    <x v="0"/>
    <s v="Qualidade dos dados"/>
    <s v="KONTIK BUSINESS TRAVEL"/>
    <x v="1"/>
  </r>
  <r>
    <n v="22656881"/>
    <n v="23465761"/>
    <s v="ACC01"/>
    <x v="190"/>
    <d v="2025-07-31T10:00:52"/>
    <x v="3"/>
    <x v="4"/>
    <s v="5F0GGD"/>
    <s v="LEMONTECH"/>
    <s v="NAKANO/RICARDO"/>
    <s v="Fernando Augusto Santiago da Silva"/>
    <s v="Fernando Augusto Santiago da Silva"/>
    <d v="2025-07-16T15:10:00"/>
    <n v="17064048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64048"/>
    <s v="Fornecedor não preenchido! (ACC01)"/>
    <x v="7"/>
    <x v="1"/>
    <s v="Campo Fornecedor"/>
    <x v="0"/>
    <s v="Qualidade dos dados"/>
    <s v="KONTIK BUSINESS TRAVEL"/>
    <x v="1"/>
  </r>
  <r>
    <n v="22656882"/>
    <n v="23465762"/>
    <s v="ACC01"/>
    <x v="191"/>
    <d v="2025-07-31T10:06:04"/>
    <x v="3"/>
    <x v="4"/>
    <s v="5FQG5C"/>
    <s v="LEMONTECH"/>
    <s v="BANNI/MAICON"/>
    <s v="Fernando Augusto Santiago da Silva"/>
    <s v="Fernando Augusto Santiago da Silva"/>
    <d v="2025-07-28T11:12:00"/>
    <n v="17075499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75499"/>
    <s v="Fornecedor não preenchido! (ACC01)"/>
    <x v="7"/>
    <x v="1"/>
    <s v="Campo Fornecedor"/>
    <x v="0"/>
    <s v="Qualidade dos dados"/>
    <s v="KONTIK BUSINESS TRAVEL"/>
    <x v="1"/>
  </r>
  <r>
    <n v="22643645"/>
    <n v="23453915"/>
    <s v="ACC01"/>
    <x v="192"/>
    <d v="2025-07-29T09:01:20"/>
    <x v="2"/>
    <x v="2"/>
    <s v="5FZLHB"/>
    <s v="LEMONTECH"/>
    <s v="BANNI/MAICON"/>
    <s v="Fernando Augusto Santiago da Silva"/>
    <s v="Fernando Augusto Santiago da Silva"/>
    <d v="2025-07-21T14:05:00"/>
    <n v="17075013"/>
    <s v="-"/>
    <s v="OFF LINE"/>
    <s v="Invoice"/>
    <s v="Faturado"/>
    <x v="0"/>
    <s v="N"/>
    <x v="43"/>
    <s v="Biolab Centro Administrativo - Escritorio"/>
    <s v="-"/>
    <s v="-"/>
    <s v="-"/>
    <x v="32"/>
    <s v="-"/>
    <x v="161"/>
    <n v="0"/>
    <n v="0"/>
    <n v="0"/>
    <n v="0"/>
    <n v="0"/>
    <n v="0"/>
    <s v="Reserva importada do Sistema Lemontech. Solicitação: 17075013"/>
    <s v="Fornecedor não preenchido! (ACC01)"/>
    <x v="7"/>
    <x v="1"/>
    <s v="Campo Fornecedor"/>
    <x v="0"/>
    <s v="Qualidade dos dados"/>
    <s v="KONTIK BUSINESS TRAVEL"/>
    <x v="1"/>
  </r>
  <r>
    <n v="22643646"/>
    <n v="23453916"/>
    <s v="ACC01"/>
    <x v="193"/>
    <d v="2025-07-29T09:01:20"/>
    <x v="2"/>
    <x v="2"/>
    <s v="5FXL60"/>
    <s v="LEMONTECH"/>
    <s v="BANNI/MAICON"/>
    <s v="Fernando Augusto Santiago da Silva"/>
    <s v="Fernando Augusto Santiago da Silva"/>
    <d v="2025-07-17T14:33:00"/>
    <n v="17075260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75260"/>
    <s v="Fornecedor não preenchido! (ACC01)"/>
    <x v="7"/>
    <x v="1"/>
    <s v="Campo Fornecedor"/>
    <x v="0"/>
    <s v="Qualidade dos dados"/>
    <s v="KONTIK BUSINESS TRAVEL"/>
    <x v="1"/>
  </r>
  <r>
    <n v="22643647"/>
    <n v="23453917"/>
    <s v="ACC01"/>
    <x v="194"/>
    <d v="2025-07-29T09:01:21"/>
    <x v="2"/>
    <x v="2"/>
    <s v="5FD9HB"/>
    <s v="LEMONTECH"/>
    <s v="BANNI/MAICON"/>
    <s v="Fernando Augusto Santiago da Silva"/>
    <s v="Fernando Augusto Santiago da Silva"/>
    <d v="2025-07-17T14:31:00"/>
    <n v="17075278"/>
    <s v="-"/>
    <s v="OFF LINE"/>
    <s v="Invoice"/>
    <s v="Faturado"/>
    <x v="0"/>
    <s v="N"/>
    <x v="43"/>
    <s v="Biolab Centro Administrativo - Escritorio"/>
    <s v="-"/>
    <s v="-"/>
    <s v="-"/>
    <x v="32"/>
    <s v="-"/>
    <x v="4"/>
    <n v="0"/>
    <n v="0"/>
    <n v="0"/>
    <n v="0"/>
    <n v="0"/>
    <n v="0"/>
    <s v="Reserva importada do Sistema Lemontech. Solicitação: 17075278"/>
    <s v="Fornecedor não preenchido! (ACC01)"/>
    <x v="7"/>
    <x v="1"/>
    <s v="Campo Fornecedor"/>
    <x v="0"/>
    <s v="Qualidade dos dados"/>
    <s v="KONTIK BUSINESS TRAVEL"/>
    <x v="1"/>
  </r>
  <r>
    <n v="22573547"/>
    <n v="23397190"/>
    <s v="ACC01"/>
    <x v="195"/>
    <d v="2025-07-16T18:07:08"/>
    <x v="4"/>
    <x v="5"/>
    <s v="5D8Y86"/>
    <s v="LEMONTECH"/>
    <s v="SOUZA MENDES/WANDREA"/>
    <s v="Fernando Augusto Santiago da Silva"/>
    <s v="Fernando Augusto Santiago da Silva"/>
    <d v="2025-07-16T14:23:00"/>
    <n v="17068265"/>
    <s v="-"/>
    <s v="OFF LINE"/>
    <s v="Invoice"/>
    <s v="Faturado"/>
    <x v="0"/>
    <s v="N"/>
    <x v="43"/>
    <s v="Biolab Centro Administrativo - Escritorio"/>
    <s v="-"/>
    <s v="-"/>
    <s v="-"/>
    <x v="32"/>
    <s v="-"/>
    <x v="162"/>
    <n v="0"/>
    <n v="0"/>
    <n v="0"/>
    <n v="0"/>
    <n v="0"/>
    <n v="0"/>
    <s v="Reserva importada do Sistema Lemontech. Solicitação: 17068265"/>
    <s v="Fornecedor não preenchido! (ACC01)"/>
    <x v="7"/>
    <x v="1"/>
    <s v="Campo Fornecedor"/>
    <x v="0"/>
    <s v="Qualidade dos dados"/>
    <s v="KONTIK BUSINESS TRAVEL"/>
    <x v="1"/>
  </r>
  <r>
    <n v="22619685"/>
    <n v="23435117"/>
    <s v="ACC01"/>
    <x v="196"/>
    <d v="2025-07-24T15:00:45"/>
    <x v="2"/>
    <x v="2"/>
    <s v="5EVMYH"/>
    <s v="LEMONTECH"/>
    <s v="NAKANO/RICARDO"/>
    <s v="Fernando Augusto Santiago da Silva"/>
    <s v="Fernando Augusto Santiago da Silva"/>
    <d v="2025-07-16T15:15:00"/>
    <n v="17054223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4223"/>
    <s v="Fornecedor não preenchido! (ACC01)"/>
    <x v="7"/>
    <x v="1"/>
    <s v="Campo Fornecedor"/>
    <x v="0"/>
    <s v="Qualidade dos dados"/>
    <s v="KONTIK BUSINESS TRAVEL"/>
    <x v="1"/>
  </r>
  <r>
    <n v="22638329"/>
    <n v="23449380"/>
    <s v="ACC01"/>
    <x v="197"/>
    <d v="2025-07-28T14:01:06"/>
    <x v="2"/>
    <x v="2"/>
    <s v="5EJW5O"/>
    <s v="LEMONTECH"/>
    <s v="BANNI/MAICON"/>
    <s v="Fernando Augusto Santiago da Silva"/>
    <s v="Fernando Augusto Santiago da Silva"/>
    <d v="2025-07-16T15:23:00"/>
    <n v="17051581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51581"/>
    <s v="Fornecedor não preenchido! (ACC01)"/>
    <x v="7"/>
    <x v="1"/>
    <s v="Campo Fornecedor"/>
    <x v="0"/>
    <s v="Qualidade dos dados"/>
    <s v="KONTIK BUSINESS TRAVEL"/>
    <x v="1"/>
  </r>
  <r>
    <n v="22638330"/>
    <n v="23449381"/>
    <s v="ACC01"/>
    <x v="198"/>
    <d v="2025-07-28T14:01:07"/>
    <x v="2"/>
    <x v="2"/>
    <s v="5EISTL"/>
    <s v="LEMONTECH"/>
    <s v="BANNI/MAICON"/>
    <s v="Fernando Augusto Santiago da Silva"/>
    <s v="Fernando Augusto Santiago da Silva"/>
    <d v="2025-07-16T15:24:00"/>
    <n v="17051581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51581"/>
    <s v="Fornecedor não preenchido! (ACC01)"/>
    <x v="7"/>
    <x v="1"/>
    <s v="Campo Fornecedor"/>
    <x v="0"/>
    <s v="Qualidade dos dados"/>
    <s v="KONTIK BUSINESS TRAVEL"/>
    <x v="1"/>
  </r>
  <r>
    <n v="22638331"/>
    <n v="23449382"/>
    <s v="ACC01"/>
    <x v="199"/>
    <d v="2025-07-28T14:01:08"/>
    <x v="2"/>
    <x v="2"/>
    <s v="5ENWGO"/>
    <s v="LEMONTECH"/>
    <s v="BANNI/MAICON"/>
    <s v="Fernando Augusto Santiago da Silva"/>
    <s v="Fernando Augusto Santiago da Silva"/>
    <d v="2025-07-21T14:06:00"/>
    <n v="17075042"/>
    <s v="-"/>
    <s v="OFF LINE"/>
    <s v="Invoice"/>
    <s v="Faturado"/>
    <x v="0"/>
    <s v="N"/>
    <x v="43"/>
    <s v="Biolab Centro Administrativo - Escritorio"/>
    <s v="-"/>
    <s v="-"/>
    <s v="-"/>
    <x v="32"/>
    <s v="-"/>
    <x v="163"/>
    <n v="0"/>
    <n v="0"/>
    <n v="0"/>
    <n v="0"/>
    <n v="0"/>
    <n v="0"/>
    <s v="Reserva importada do Sistema Lemontech. Solicitação: 17075042"/>
    <s v="Fornecedor não preenchido! (ACC01)"/>
    <x v="7"/>
    <x v="1"/>
    <s v="Campo Fornecedor"/>
    <x v="0"/>
    <s v="Qualidade dos dados"/>
    <s v="KONTIK BUSINESS TRAVEL"/>
    <x v="1"/>
  </r>
  <r>
    <n v="22638332"/>
    <n v="23449383"/>
    <s v="ACC01"/>
    <x v="200"/>
    <d v="2025-07-28T14:01:08"/>
    <x v="2"/>
    <x v="2"/>
    <s v="5E0ET9"/>
    <s v="LEMONTECH"/>
    <s v="CAMPOS MUSSI/FILIPE"/>
    <s v="Fernando Augusto Santiago da Silva"/>
    <s v="Fernando Augusto Santiago da Silva"/>
    <d v="2025-07-21T14:06:00"/>
    <n v="17075092"/>
    <s v="-"/>
    <s v="OFF LINE"/>
    <s v="Invoice"/>
    <s v="Faturado"/>
    <x v="0"/>
    <s v="N"/>
    <x v="43"/>
    <s v="Biolab Centro Administrativo - Escritorio"/>
    <s v="-"/>
    <s v="-"/>
    <s v="-"/>
    <x v="32"/>
    <s v="-"/>
    <x v="161"/>
    <n v="0"/>
    <n v="0"/>
    <n v="0"/>
    <n v="0"/>
    <n v="0"/>
    <n v="0"/>
    <s v="Reserva importada do Sistema Lemontech. Solicitação: 17075092"/>
    <s v="Fornecedor não preenchido! (ACC01)"/>
    <x v="7"/>
    <x v="1"/>
    <s v="Campo Fornecedor"/>
    <x v="0"/>
    <s v="Qualidade dos dados"/>
    <s v="KONTIK BUSINESS TRAVEL"/>
    <x v="1"/>
  </r>
  <r>
    <n v="22638333"/>
    <n v="23449384"/>
    <s v="ACC01"/>
    <x v="201"/>
    <d v="2025-07-28T14:01:08"/>
    <x v="2"/>
    <x v="2"/>
    <s v="5E1DGN"/>
    <s v="LEMONTECH"/>
    <s v="CAMPOS MUSSI/FILIPE"/>
    <s v="Fernando Augusto Santiago da Silva"/>
    <s v="Fernando Augusto Santiago da Silva"/>
    <d v="2025-07-17T14:40:00"/>
    <n v="17075165"/>
    <s v="-"/>
    <s v="OFF LINE"/>
    <s v="Invoice"/>
    <s v="Faturado"/>
    <x v="0"/>
    <s v="N"/>
    <x v="43"/>
    <s v="Biolab Centro Administrativo - Escritorio"/>
    <s v="-"/>
    <s v="-"/>
    <s v="-"/>
    <x v="32"/>
    <s v="-"/>
    <x v="4"/>
    <n v="0"/>
    <n v="0"/>
    <n v="0"/>
    <n v="0"/>
    <n v="0"/>
    <n v="0"/>
    <s v="Reserva importada do Sistema Lemontech. Solicitação: 17075165"/>
    <s v="Fornecedor não preenchido! (ACC01)"/>
    <x v="7"/>
    <x v="1"/>
    <s v="Campo Fornecedor"/>
    <x v="0"/>
    <s v="Qualidade dos dados"/>
    <s v="KONTIK BUSINESS TRAVEL"/>
    <x v="1"/>
  </r>
  <r>
    <n v="22638334"/>
    <n v="23449385"/>
    <s v="ACC01"/>
    <x v="202"/>
    <d v="2025-07-28T14:01:09"/>
    <x v="2"/>
    <x v="2"/>
    <s v="5EWD5O"/>
    <s v="LEMONTECH"/>
    <s v="CAMPOS MUSSI/FILIPE"/>
    <s v="Fernando Augusto Santiago da Silva"/>
    <s v="Fernando Augusto Santiago da Silva"/>
    <d v="2025-07-17T14:39:00"/>
    <n v="17075193"/>
    <s v="-"/>
    <s v="OFF LINE"/>
    <s v="Invoice"/>
    <s v="Faturado"/>
    <x v="0"/>
    <s v="N"/>
    <x v="43"/>
    <s v="Biolab Centro Administrativo - Escritorio"/>
    <s v="-"/>
    <s v="-"/>
    <s v="-"/>
    <x v="32"/>
    <s v="-"/>
    <x v="4"/>
    <n v="0"/>
    <n v="0"/>
    <n v="0"/>
    <n v="0"/>
    <n v="0"/>
    <n v="0"/>
    <s v="Reserva importada do Sistema Lemontech. Solicitação: 17075193"/>
    <s v="Fornecedor não preenchido! (ACC01)"/>
    <x v="7"/>
    <x v="1"/>
    <s v="Campo Fornecedor"/>
    <x v="0"/>
    <s v="Qualidade dos dados"/>
    <s v="KONTIK BUSINESS TRAVEL"/>
    <x v="1"/>
  </r>
  <r>
    <n v="22638335"/>
    <n v="23449386"/>
    <s v="ACC01"/>
    <x v="203"/>
    <d v="2025-07-28T14:01:09"/>
    <x v="2"/>
    <x v="2"/>
    <s v="5E33GO"/>
    <s v="LEMONTECH"/>
    <s v="CAMPOS MUSSI/FILIPE"/>
    <s v="Fernando Augusto Santiago da Silva"/>
    <s v="Fernando Augusto Santiago da Silva"/>
    <d v="2025-07-17T14:30:00"/>
    <n v="17075303"/>
    <s v="-"/>
    <s v="OFF LINE"/>
    <s v="Invoice"/>
    <s v="Faturado"/>
    <x v="0"/>
    <s v="N"/>
    <x v="43"/>
    <s v="Biolab Centro Administrativo - Escritorio"/>
    <s v="-"/>
    <s v="-"/>
    <s v="-"/>
    <x v="32"/>
    <s v="-"/>
    <x v="139"/>
    <n v="0"/>
    <n v="0"/>
    <n v="0"/>
    <n v="0"/>
    <n v="0"/>
    <n v="0"/>
    <s v="Reserva importada do Sistema Lemontech. Solicitação: 17075303"/>
    <s v="Fornecedor não preenchido! (ACC01)"/>
    <x v="7"/>
    <x v="1"/>
    <s v="Campo Fornecedor"/>
    <x v="0"/>
    <s v="Qualidade dos dados"/>
    <s v="KONTIK BUSINESS TRAVEL"/>
    <x v="1"/>
  </r>
  <r>
    <n v="22638336"/>
    <n v="23449387"/>
    <s v="ACC01"/>
    <x v="204"/>
    <d v="2025-07-28T14:01:09"/>
    <x v="2"/>
    <x v="2"/>
    <s v="5EFETN"/>
    <s v="LEMONTECH"/>
    <s v="BANNI/MAICON"/>
    <s v="Fernando Augusto Santiago da Silva"/>
    <s v="Fernando Augusto Santiago da Silva"/>
    <d v="2025-07-17T14:27:00"/>
    <n v="17075441"/>
    <s v="-"/>
    <s v="OFF LINE"/>
    <s v="Invoice"/>
    <s v="Faturado"/>
    <x v="0"/>
    <s v="N"/>
    <x v="43"/>
    <s v="Biolab Centro Administrativo - Escritorio"/>
    <s v="-"/>
    <s v="-"/>
    <s v="-"/>
    <x v="32"/>
    <s v="-"/>
    <x v="4"/>
    <n v="0"/>
    <n v="0"/>
    <n v="0"/>
    <n v="0"/>
    <n v="0"/>
    <n v="0"/>
    <s v="Reserva importada do Sistema Lemontech. Solicitação: 17075441"/>
    <s v="Fornecedor não preenchido! (ACC01)"/>
    <x v="7"/>
    <x v="1"/>
    <s v="Campo Fornecedor"/>
    <x v="0"/>
    <s v="Qualidade dos dados"/>
    <s v="KONTIK BUSINESS TRAVEL"/>
    <x v="1"/>
  </r>
  <r>
    <n v="22638988"/>
    <n v="23450028"/>
    <s v="ACC01"/>
    <x v="205"/>
    <d v="2025-07-28T16:00:54"/>
    <x v="2"/>
    <x v="2"/>
    <s v="5E5GH9"/>
    <s v="LEMONTECH"/>
    <s v="CAMPOS MUSSI/FILIPE"/>
    <s v="Fernando Augusto Santiago da Silva"/>
    <s v="Fernando Augusto Santiago da Silva"/>
    <d v="2025-07-17T14:25:00"/>
    <n v="17075466"/>
    <s v="-"/>
    <s v="OFF LINE"/>
    <s v="Invoice"/>
    <s v="Faturado"/>
    <x v="0"/>
    <s v="N"/>
    <x v="43"/>
    <s v="Biolab Centro Administrativo - Escritorio"/>
    <s v="-"/>
    <s v="-"/>
    <s v="-"/>
    <x v="32"/>
    <s v="-"/>
    <x v="4"/>
    <n v="0"/>
    <n v="0"/>
    <n v="0"/>
    <n v="0"/>
    <n v="0"/>
    <n v="0"/>
    <s v="Reserva importada do Sistema Lemontech. Solicitação: 17075466"/>
    <s v="Fornecedor não preenchido! (ACC01)"/>
    <x v="7"/>
    <x v="1"/>
    <s v="Campo Fornecedor"/>
    <x v="0"/>
    <s v="Qualidade dos dados"/>
    <s v="KONTIK BUSINESS TRAVEL"/>
    <x v="1"/>
  </r>
  <r>
    <n v="22491919"/>
    <n v="23326323"/>
    <s v="ACC01"/>
    <x v="206"/>
    <d v="2025-07-03T11:42:19"/>
    <x v="6"/>
    <x v="3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0"/>
    <s v="S"/>
    <x v="43"/>
    <s v="Biolab Centro Administrativo - Escritorio"/>
    <s v="-"/>
    <s v="-"/>
    <s v="-"/>
    <x v="32"/>
    <s v="-"/>
    <x v="1"/>
    <n v="0"/>
    <n v="0"/>
    <n v="0"/>
    <n v="0"/>
    <n v="0"/>
    <n v="0"/>
    <s v="Reserva importada do Sistema Lemontech. Solicitação: 16949647"/>
    <s v="Fornecedor não preenchido! (ACC01)"/>
    <x v="7"/>
    <x v="1"/>
    <s v="Campo Fornecedor"/>
    <x v="0"/>
    <s v="Qualidade dos dados"/>
    <s v="KONTIK BUSINESS TRAVEL"/>
    <x v="1"/>
  </r>
  <r>
    <n v="22585625"/>
    <n v="23407310"/>
    <s v="ACC01"/>
    <x v="207"/>
    <d v="2025-07-18T15:06:31"/>
    <x v="4"/>
    <x v="5"/>
    <s v="5DN3I9"/>
    <s v="LEMONTECH"/>
    <s v="AMAZONAS/ROBERTO"/>
    <s v="Fernando Augusto Santiago da Silva"/>
    <s v="Fernando Augusto Santiago da Silva"/>
    <d v="2025-07-17T16:11:00"/>
    <n v="17075997"/>
    <s v="-"/>
    <s v="OFF LINE"/>
    <s v="Invoice"/>
    <s v="Faturado"/>
    <x v="0"/>
    <s v="N"/>
    <x v="43"/>
    <s v="Biolab Centro Administrativo - Escritorio"/>
    <s v="-"/>
    <s v="-"/>
    <s v="-"/>
    <x v="32"/>
    <s v="-"/>
    <x v="164"/>
    <n v="0"/>
    <n v="0"/>
    <n v="0"/>
    <n v="0"/>
    <n v="0"/>
    <n v="0"/>
    <s v="Reserva importada do Sistema Lemontech. Solicitação: 17075997"/>
    <s v="Fornecedor não preenchido! (ACC01)"/>
    <x v="7"/>
    <x v="1"/>
    <s v="Campo Fornecedor"/>
    <x v="0"/>
    <s v="Qualidade dos dados"/>
    <s v="KONTIK BUSINESS TRAVEL"/>
    <x v="1"/>
  </r>
  <r>
    <n v="22585626"/>
    <n v="23407311"/>
    <s v="ACC01"/>
    <x v="208"/>
    <d v="2025-07-18T15:06:31"/>
    <x v="4"/>
    <x v="5"/>
    <s v="5DBRK9"/>
    <s v="LEMONTECH"/>
    <s v="BROSSI PELISSARI/FILIPE"/>
    <s v="Fernando Augusto Santiago da Silva"/>
    <s v="Fernando Augusto Santiago da Silva"/>
    <d v="2025-07-17T16:10:00"/>
    <n v="17075998"/>
    <s v="-"/>
    <s v="OFF LINE"/>
    <s v="Invoice"/>
    <s v="Faturado"/>
    <x v="0"/>
    <s v="N"/>
    <x v="43"/>
    <s v="Biolab Centro Administrativo - Escritorio"/>
    <s v="-"/>
    <s v="-"/>
    <s v="-"/>
    <x v="32"/>
    <s v="-"/>
    <x v="165"/>
    <n v="0"/>
    <n v="0"/>
    <n v="0"/>
    <n v="0"/>
    <n v="0"/>
    <n v="0"/>
    <s v="Reserva importada do Sistema Lemontech. Solicitação: 17075998"/>
    <s v="Fornecedor não preenchido! (ACC01)"/>
    <x v="7"/>
    <x v="1"/>
    <s v="Campo Fornecedor"/>
    <x v="0"/>
    <s v="Qualidade dos dados"/>
    <s v="KONTIK BUSINESS TRAVEL"/>
    <x v="1"/>
  </r>
  <r>
    <n v="22585627"/>
    <n v="23407312"/>
    <s v="ACC01"/>
    <x v="209"/>
    <d v="2025-07-18T15:06:31"/>
    <x v="4"/>
    <x v="5"/>
    <s v="5DQRI9"/>
    <s v="LEMONTECH"/>
    <s v="GUEDES/MARCELO"/>
    <s v="Fernando Augusto Santiago da Silva"/>
    <s v="Fernando Augusto Santiago da Silva"/>
    <d v="2025-07-17T14:52:00"/>
    <n v="17075999"/>
    <s v="-"/>
    <s v="OFF LINE"/>
    <s v="Invoice"/>
    <s v="Faturado"/>
    <x v="0"/>
    <s v="N"/>
    <x v="43"/>
    <s v="Biolab Centro Administrativo - Escritorio"/>
    <s v="-"/>
    <s v="-"/>
    <s v="-"/>
    <x v="32"/>
    <s v="-"/>
    <x v="164"/>
    <n v="0"/>
    <n v="0"/>
    <n v="0"/>
    <n v="0"/>
    <n v="0"/>
    <n v="0"/>
    <s v="Reserva importada do Sistema Lemontech. Solicitação: 17075999"/>
    <s v="Fornecedor não preenchido! (ACC01)"/>
    <x v="7"/>
    <x v="1"/>
    <s v="Campo Fornecedor"/>
    <x v="0"/>
    <s v="Qualidade dos dados"/>
    <s v="KONTIK BUSINESS TRAVEL"/>
    <x v="1"/>
  </r>
  <r>
    <n v="22585628"/>
    <n v="23407313"/>
    <s v="ACC01"/>
    <x v="209"/>
    <d v="2025-07-18T15:06:31"/>
    <x v="4"/>
    <x v="5"/>
    <s v="5DWRIO"/>
    <s v="LEMONTECH"/>
    <s v="PAVAO/LEANDRO"/>
    <s v="Fernando Augusto Santiago da Silva"/>
    <s v="Fernando Augusto Santiago da Silva"/>
    <d v="2025-07-17T14:53:00"/>
    <n v="17076001"/>
    <s v="-"/>
    <s v="OFF LINE"/>
    <s v="Invoice"/>
    <s v="Faturado"/>
    <x v="0"/>
    <s v="N"/>
    <x v="43"/>
    <s v="Biolab Centro Administrativo - Escritorio"/>
    <s v="-"/>
    <s v="-"/>
    <s v="-"/>
    <x v="32"/>
    <s v="-"/>
    <x v="164"/>
    <n v="0"/>
    <n v="0"/>
    <n v="0"/>
    <n v="0"/>
    <n v="0"/>
    <n v="0"/>
    <s v="Reserva importada do Sistema Lemontech. Solicitação: 17076001"/>
    <s v="Fornecedor não preenchido! (ACC01)"/>
    <x v="7"/>
    <x v="1"/>
    <s v="Campo Fornecedor"/>
    <x v="0"/>
    <s v="Qualidade dos dados"/>
    <s v="KONTIK BUSINESS TRAVEL"/>
    <x v="1"/>
  </r>
  <r>
    <n v="22585629"/>
    <n v="23407314"/>
    <s v="ACC01"/>
    <x v="210"/>
    <d v="2025-07-18T15:06:31"/>
    <x v="4"/>
    <x v="5"/>
    <s v="5D3R8L"/>
    <s v="LEMONTECH"/>
    <s v="BRITO/AMANDA"/>
    <s v="Fernando Augusto Santiago da Silva"/>
    <s v="Fernando Augusto Santiago da Silva"/>
    <d v="2025-07-17T14:11:00"/>
    <n v="17077287"/>
    <s v="-"/>
    <s v="OFF LINE"/>
    <s v="Invoice"/>
    <s v="Faturado"/>
    <x v="0"/>
    <s v="N"/>
    <x v="43"/>
    <s v="Biolab Centro Administrativo - Escritorio"/>
    <s v="-"/>
    <s v="-"/>
    <s v="-"/>
    <x v="32"/>
    <s v="-"/>
    <x v="166"/>
    <n v="0"/>
    <n v="0"/>
    <n v="0"/>
    <n v="0"/>
    <n v="0"/>
    <n v="0"/>
    <s v="Reserva importada do Sistema Lemontech. Solicitação: 17077287"/>
    <s v="Fornecedor não preenchido! (ACC01)"/>
    <x v="7"/>
    <x v="1"/>
    <s v="Campo Fornecedor"/>
    <x v="0"/>
    <s v="Qualidade dos dados"/>
    <s v="KONTIK BUSINESS TRAVEL"/>
    <x v="1"/>
  </r>
  <r>
    <n v="22586517"/>
    <n v="23408193"/>
    <s v="ACC01"/>
    <x v="211"/>
    <d v="2025-07-18T16:07:18"/>
    <x v="4"/>
    <x v="5"/>
    <s v="5E25PM"/>
    <s v="LEMONTECH"/>
    <s v="OPPI/EGLE"/>
    <s v="Fernando Augusto Santiago da Silva"/>
    <s v="Fernando Augusto Santiago da Silva"/>
    <d v="2025-07-17T14:49:00"/>
    <n v="17070514"/>
    <s v="-"/>
    <s v="OFF LINE"/>
    <s v="Invoice"/>
    <s v="Faturado"/>
    <x v="0"/>
    <s v="N"/>
    <x v="43"/>
    <s v="Biolab Centro Administrativo - Escritorio"/>
    <s v="-"/>
    <s v="-"/>
    <s v="-"/>
    <x v="32"/>
    <s v="-"/>
    <x v="167"/>
    <n v="0"/>
    <n v="0"/>
    <n v="0"/>
    <n v="0"/>
    <n v="0"/>
    <n v="0"/>
    <s v="Reserva importada do Sistema Lemontech. Solicitação: 17070514"/>
    <s v="Fornecedor não preenchido! (ACC01)"/>
    <x v="7"/>
    <x v="1"/>
    <s v="Campo Fornecedor"/>
    <x v="0"/>
    <s v="Qualidade dos dados"/>
    <s v="KONTIK BUSINESS TRAVEL"/>
    <x v="1"/>
  </r>
  <r>
    <n v="22586518"/>
    <n v="23408194"/>
    <s v="ACC01"/>
    <x v="212"/>
    <d v="2025-07-18T16:07:19"/>
    <x v="4"/>
    <x v="5"/>
    <s v="5EE50B"/>
    <s v="LEMONTECH"/>
    <s v="RANGEL GIOMETTI/ELLEN"/>
    <s v="Fernando Augusto Santiago da Silva"/>
    <s v="Fernando Augusto Santiago da Silva"/>
    <d v="2025-07-17T14:51:00"/>
    <n v="17070561"/>
    <s v="-"/>
    <s v="OFF LINE"/>
    <s v="Invoice"/>
    <s v="Faturado"/>
    <x v="0"/>
    <s v="N"/>
    <x v="43"/>
    <s v="Biolab Centro Administrativo - Escritorio"/>
    <s v="-"/>
    <s v="-"/>
    <s v="-"/>
    <x v="32"/>
    <s v="-"/>
    <x v="167"/>
    <n v="0"/>
    <n v="0"/>
    <n v="0"/>
    <n v="0"/>
    <n v="0"/>
    <n v="0"/>
    <s v="Reserva importada do Sistema Lemontech. Solicitação: 17070561"/>
    <s v="Fornecedor não preenchido! (ACC01)"/>
    <x v="7"/>
    <x v="1"/>
    <s v="Campo Fornecedor"/>
    <x v="0"/>
    <s v="Qualidade dos dados"/>
    <s v="KONTIK BUSINESS TRAVEL"/>
    <x v="1"/>
  </r>
  <r>
    <n v="22607201"/>
    <n v="23424504"/>
    <s v="ACC01"/>
    <x v="213"/>
    <d v="2025-07-22T17:06:03"/>
    <x v="4"/>
    <x v="5"/>
    <s v="5E1SUD"/>
    <s v="LEMONTECH"/>
    <s v="NAKANO/RICARDO"/>
    <s v="Fernando Augusto Santiago da Silva"/>
    <s v="Fernando Augusto Santiago da Silva"/>
    <d v="2025-07-15T11:10:00"/>
    <n v="17050995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0995"/>
    <s v="Fornecedor não preenchido! (ACC01)"/>
    <x v="7"/>
    <x v="1"/>
    <s v="Campo Fornecedor"/>
    <x v="0"/>
    <s v="Qualidade dos dados"/>
    <s v="KONTIK BUSINESS TRAVEL"/>
    <x v="1"/>
  </r>
  <r>
    <n v="22607620"/>
    <n v="23424885"/>
    <s v="ACC01"/>
    <x v="214"/>
    <d v="2025-07-22T18:01:07"/>
    <x v="4"/>
    <x v="5"/>
    <s v="5EE083"/>
    <s v="LEMONTECH"/>
    <s v="NAKANO/RICARDO"/>
    <s v="Fernando Augusto Santiago da Silva"/>
    <s v="Fernando Augusto Santiago da Silva"/>
    <d v="2025-07-16T15:20:00"/>
    <n v="17051665"/>
    <s v="-"/>
    <s v="OFF LINE"/>
    <s v="Invoice"/>
    <s v="Faturado"/>
    <x v="0"/>
    <s v="N"/>
    <x v="43"/>
    <s v="Biolab Centro Administrativo - Escritorio"/>
    <s v="-"/>
    <s v="-"/>
    <s v="-"/>
    <x v="32"/>
    <s v="-"/>
    <x v="168"/>
    <n v="0"/>
    <n v="0"/>
    <n v="0"/>
    <n v="0"/>
    <n v="0"/>
    <n v="0"/>
    <s v="Reserva importada do Sistema Lemontech. Solicitação: 17051665"/>
    <s v="Fornecedor não preenchido! (ACC01)"/>
    <x v="7"/>
    <x v="1"/>
    <s v="Campo Fornecedor"/>
    <x v="0"/>
    <s v="Qualidade dos dados"/>
    <s v="KONTIK BUSINESS TRAVEL"/>
    <x v="1"/>
  </r>
  <r>
    <n v="22607621"/>
    <n v="23424886"/>
    <s v="ACC01"/>
    <x v="215"/>
    <d v="2025-07-22T18:01:09"/>
    <x v="4"/>
    <x v="5"/>
    <s v="5EFMKD"/>
    <s v="LEMONTECH"/>
    <s v="NAKANO/RICARDO"/>
    <s v="Fernando Augusto Santiago da Silva"/>
    <s v="Fernando Augusto Santiago da Silva"/>
    <d v="2025-07-16T15:21:00"/>
    <n v="17051665"/>
    <s v="-"/>
    <s v="OFF LINE"/>
    <s v="Invoice"/>
    <s v="Faturado"/>
    <x v="0"/>
    <s v="N"/>
    <x v="43"/>
    <s v="Biolab Centro Administrativo - Escritorio"/>
    <s v="-"/>
    <s v="-"/>
    <s v="-"/>
    <x v="32"/>
    <s v="-"/>
    <x v="168"/>
    <n v="0"/>
    <n v="0"/>
    <n v="0"/>
    <n v="0"/>
    <n v="0"/>
    <n v="0"/>
    <s v="Reserva importada do Sistema Lemontech. Solicitação: 17051665"/>
    <s v="Fornecedor não preenchido! (ACC01)"/>
    <x v="7"/>
    <x v="1"/>
    <s v="Campo Fornecedor"/>
    <x v="0"/>
    <s v="Qualidade dos dados"/>
    <s v="KONTIK BUSINESS TRAVEL"/>
    <x v="1"/>
  </r>
  <r>
    <n v="22611407"/>
    <n v="23427981"/>
    <s v="ACC01"/>
    <x v="216"/>
    <d v="2025-07-23T10:00:46"/>
    <x v="4"/>
    <x v="5"/>
    <s v="5ERD6V"/>
    <s v="LEMONTECH"/>
    <s v="NAKANO/RICARDO"/>
    <s v="Fernando Augusto Santiago da Silva"/>
    <s v="Fernando Augusto Santiago da Silva"/>
    <d v="2025-07-15T11:07:00"/>
    <n v="17054472"/>
    <s v="-"/>
    <s v="OFF LINE"/>
    <s v="Invoice"/>
    <s v="Faturado"/>
    <x v="0"/>
    <s v="N"/>
    <x v="43"/>
    <s v="Biolab Centro Administrativo - Escritorio"/>
    <s v="-"/>
    <s v="-"/>
    <s v="-"/>
    <x v="32"/>
    <s v="-"/>
    <x v="159"/>
    <n v="0"/>
    <n v="0"/>
    <n v="0"/>
    <n v="0"/>
    <n v="0"/>
    <n v="0"/>
    <s v="Reserva importada do Sistema Lemontech. Solicitação: 17054472"/>
    <s v="Fornecedor não preenchido! (ACC01)"/>
    <x v="7"/>
    <x v="1"/>
    <s v="Campo Fornecedor"/>
    <x v="0"/>
    <s v="Qualidade dos dados"/>
    <s v="KONTIK BUSINESS TRAVEL"/>
    <x v="1"/>
  </r>
  <r>
    <n v="22677106"/>
    <n v="23481786"/>
    <s v="ACC01"/>
    <x v="217"/>
    <d v="2025-08-04T09:07:07"/>
    <x v="1"/>
    <x v="0"/>
    <s v="5FKCZJ"/>
    <s v="LEMONTECH"/>
    <s v="RODRIGUES/EMERSON"/>
    <s v="Maria Clara Landeira Mezavila"/>
    <s v="Maria Clara Landeira Mezavila"/>
    <d v="2025-08-01T10:12:00"/>
    <n v="17178260"/>
    <s v="SAO PAULO/SP - AG CENTRO OTAVIO TARQUINIO"/>
    <s v="OFF LINE"/>
    <s v="Invoice"/>
    <s v="Faturado"/>
    <x v="3"/>
    <s v="N"/>
    <x v="43"/>
    <s v="Biolab Centro Administrativo - Escritorio"/>
    <s v="-"/>
    <s v="-"/>
    <s v="-"/>
    <x v="32"/>
    <s v="-"/>
    <x v="169"/>
    <n v="0"/>
    <n v="0"/>
    <n v="0"/>
    <n v="0"/>
    <n v="0"/>
    <n v="0"/>
    <s v="Reserva importada do Sistema Lemontech. Solicitação: 17178260"/>
    <s v="Fornecedor não preenchido! (ACC01)"/>
    <x v="7"/>
    <x v="1"/>
    <s v="Campo Fornecedor"/>
    <x v="0"/>
    <s v="Qualidade dos dados"/>
    <s v="KONTIK BUSINESS TRAVEL"/>
    <x v="1"/>
  </r>
  <r>
    <n v="22677109"/>
    <n v="23481789"/>
    <s v="ACC01"/>
    <x v="218"/>
    <d v="2025-08-04T09:07:13"/>
    <x v="1"/>
    <x v="0"/>
    <s v="5FB41J"/>
    <s v="LEMONTECH"/>
    <s v="TORMEN/JULIA"/>
    <s v="Maria Clara Landeira Mezavila"/>
    <s v="Maria Clara Landeira Mezavila"/>
    <d v="2025-08-04T00:00:00"/>
    <n v="17187934"/>
    <s v="-"/>
    <s v="OFF LINE"/>
    <s v="Cartão de crédito"/>
    <s v="Cartão de crédito"/>
    <x v="1"/>
    <s v="N"/>
    <x v="43"/>
    <s v="Biolab Centro Administrativo - Escritorio"/>
    <s v="-"/>
    <s v="-"/>
    <s v="-"/>
    <x v="32"/>
    <s v="-"/>
    <x v="170"/>
    <n v="0"/>
    <n v="0"/>
    <n v="0"/>
    <n v="0"/>
    <n v="7.25"/>
    <n v="0"/>
    <s v="Reserva importada do Sistema Lemontech. Solicitação: 17187934"/>
    <s v="Fornecedor não preenchido! (ACC01)"/>
    <x v="7"/>
    <x v="1"/>
    <s v="Campo Fornecedor"/>
    <x v="0"/>
    <s v="Qualidade dos dados"/>
    <s v="KONTIK BUSINESS TRAVEL"/>
    <x v="1"/>
  </r>
  <r>
    <n v="22677968"/>
    <n v="23482559"/>
    <s v="ACC01"/>
    <x v="219"/>
    <d v="2025-08-04T12:06:34"/>
    <x v="1"/>
    <x v="0"/>
    <s v="5FHZCU"/>
    <s v="LEMONTECH"/>
    <s v="MARQUES/MELISSA"/>
    <s v="Maria Clara Landeira Mezavila"/>
    <s v="Maria Clara Landeira Mezavila"/>
    <d v="2025-08-04T00:00:00"/>
    <n v="17158893"/>
    <s v="-"/>
    <s v="OFF LINE"/>
    <s v="Cartão de crédito"/>
    <s v="Cartão de crédito"/>
    <x v="1"/>
    <s v="N"/>
    <x v="43"/>
    <s v="Biolab Centro Administrativo - Escritorio"/>
    <s v="-"/>
    <s v="-"/>
    <s v="-"/>
    <x v="32"/>
    <s v="-"/>
    <x v="171"/>
    <n v="0"/>
    <n v="0"/>
    <n v="0"/>
    <n v="0"/>
    <n v="0"/>
    <n v="0"/>
    <s v="Reserva importada do Sistema Lemontech. Solicitação: 17158893"/>
    <s v="Fornecedor não preenchido! (ACC01)"/>
    <x v="7"/>
    <x v="1"/>
    <s v="Campo Fornecedor"/>
    <x v="0"/>
    <s v="Qualidade dos dados"/>
    <s v="KONTIK BUSINESS TRAVEL"/>
    <x v="1"/>
  </r>
  <r>
    <n v="22700119"/>
    <n v="23502359"/>
    <s v="ACC01"/>
    <x v="220"/>
    <d v="2025-08-07T12:01:24"/>
    <x v="0"/>
    <x v="1"/>
    <s v="5GAA6S"/>
    <s v="LEMONTECH"/>
    <s v="ALMEIDA ARAUJO/KARLA"/>
    <s v="Maria Clara Landeira Mezavila"/>
    <s v="Maria Clara Landeira Mezavila"/>
    <d v="2025-05-29T10:06:00"/>
    <n v="16668023"/>
    <s v="SANTAREM/PA - AEROPORTO"/>
    <s v="OFF LINE"/>
    <s v="Invoice"/>
    <s v="Faturado"/>
    <x v="3"/>
    <s v="N"/>
    <x v="43"/>
    <s v="Biolab Centro Administrativo - Escritorio"/>
    <s v="-"/>
    <s v="-"/>
    <s v="-"/>
    <x v="32"/>
    <s v="-"/>
    <x v="172"/>
    <n v="0"/>
    <n v="0"/>
    <n v="0"/>
    <n v="0"/>
    <n v="0"/>
    <n v="0"/>
    <s v="Reserva importada do Sistema Lemontech. Solicitação: 16668023"/>
    <s v="Fornecedor não preenchido! (ACC01)"/>
    <x v="7"/>
    <x v="1"/>
    <s v="Campo Fornecedor"/>
    <x v="0"/>
    <s v="Qualidade dos dados"/>
    <s v="KONTIK BUSINESS TRAVEL"/>
    <x v="1"/>
  </r>
  <r>
    <n v="22687453"/>
    <n v="23491112"/>
    <s v="ACC01"/>
    <x v="221"/>
    <d v="2025-08-05T17:01:32"/>
    <x v="1"/>
    <x v="0"/>
    <s v="5FNBJL"/>
    <s v="LEMONTECH"/>
    <s v="CHRISTOFANO/EMERSON"/>
    <s v="Maria Clara Landeira Mezavila"/>
    <s v="Maria Clara Landeira Mezavila"/>
    <d v="2025-08-05T00:00:00"/>
    <n v="17141693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42"/>
    <n v="0"/>
    <n v="0"/>
    <n v="0"/>
    <n v="0"/>
    <n v="0"/>
    <n v="0"/>
    <s v="Reserva importada do Sistema Lemontech. Solicitação: 17141693"/>
    <s v="Fornecedor não preenchido! (ACC01)"/>
    <x v="7"/>
    <x v="1"/>
    <s v="Campo Fornecedor"/>
    <x v="0"/>
    <s v="Qualidade dos dados"/>
    <s v="KONTIK BUSINESS TRAVEL"/>
    <x v="1"/>
  </r>
  <r>
    <n v="22701252"/>
    <n v="23503438"/>
    <s v="ACC01"/>
    <x v="222"/>
    <d v="2025-08-07T14:07:10"/>
    <x v="0"/>
    <x v="1"/>
    <s v="5G3DMD"/>
    <s v="LEMONTECH"/>
    <s v="BANDEIRA/JOSE"/>
    <s v="Maria Clara Landeira Mezavila"/>
    <s v="Maria Clara Landeira Mezavila"/>
    <d v="2025-08-07T00:00:00"/>
    <n v="17218296"/>
    <s v="-"/>
    <s v="OFF LINE"/>
    <s v="Cartão de crédito"/>
    <s v="Cartão de crédito"/>
    <x v="1"/>
    <s v="N"/>
    <x v="43"/>
    <s v="Biolab Centro Administrativo - Escritorio"/>
    <s v="-"/>
    <s v="-"/>
    <s v="-"/>
    <x v="32"/>
    <s v="-"/>
    <x v="173"/>
    <n v="0"/>
    <n v="0"/>
    <n v="0"/>
    <n v="0"/>
    <n v="0"/>
    <n v="0"/>
    <s v="Reserva importada do Sistema Lemontech. Solicitação: 17218296"/>
    <s v="Fornecedor não preenchido! (ACC01)"/>
    <x v="7"/>
    <x v="1"/>
    <s v="Campo Fornecedor"/>
    <x v="0"/>
    <s v="Qualidade dos dados"/>
    <s v="KONTIK BUSINESS TRAVEL"/>
    <x v="1"/>
  </r>
  <r>
    <n v="22701270"/>
    <n v="23503451"/>
    <s v="ACC01"/>
    <x v="223"/>
    <d v="2025-08-07T14:08:11"/>
    <x v="0"/>
    <x v="1"/>
    <s v="5GJFMC"/>
    <s v="LEMONTECH"/>
    <s v="ANCELMO/KAROLINNE"/>
    <s v="Maria Clara Landeira Mezavila"/>
    <s v="Maria Clara Landeira Mezavila"/>
    <d v="2025-08-07T00:00:00"/>
    <n v="17231543"/>
    <s v="-"/>
    <s v="OFF LINE"/>
    <s v="Cartão de crédito"/>
    <s v="Cartão de crédito"/>
    <x v="1"/>
    <s v="N"/>
    <x v="43"/>
    <s v="Biolab Centro Administrativo - Escritorio"/>
    <s v="-"/>
    <s v="-"/>
    <s v="-"/>
    <x v="32"/>
    <s v="-"/>
    <x v="174"/>
    <n v="0"/>
    <n v="0"/>
    <n v="0"/>
    <n v="0"/>
    <n v="42.75"/>
    <n v="0"/>
    <s v="Reserva importada do Sistema Lemontech. Solicitação: 17231543"/>
    <s v="Fornecedor não preenchido! (ACC01)"/>
    <x v="7"/>
    <x v="1"/>
    <s v="Campo Fornecedor"/>
    <x v="0"/>
    <s v="Qualidade dos dados"/>
    <s v="KONTIK BUSINESS TRAVEL"/>
    <x v="1"/>
  </r>
  <r>
    <n v="22696370"/>
    <n v="23499217"/>
    <s v="ACC01"/>
    <x v="224"/>
    <d v="2025-08-06T19:06:30"/>
    <x v="0"/>
    <x v="1"/>
    <s v="5GM5Z2"/>
    <s v="LEMONTECH"/>
    <s v="BISCOLI/GUSTAVO"/>
    <s v="Lemontech"/>
    <s v="Lemontech"/>
    <d v="2025-08-05T00:00:00"/>
    <n v="17215337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75"/>
    <n v="0"/>
    <n v="0"/>
    <n v="0"/>
    <n v="0"/>
    <n v="14.88"/>
    <n v="0"/>
    <s v="Reserva importada do Sistema Lemontech. Solicitação: 17215337"/>
    <s v="Fornecedor não preenchido! (ACC01)"/>
    <x v="7"/>
    <x v="1"/>
    <s v="Campo Fornecedor"/>
    <x v="0"/>
    <s v="Qualidade dos dados"/>
    <s v="KONTIK BUSINESS TRAVEL"/>
    <x v="1"/>
  </r>
  <r>
    <n v="22699830"/>
    <n v="23502089"/>
    <s v="ACC01"/>
    <x v="225"/>
    <d v="2025-08-07T11:13:08"/>
    <x v="0"/>
    <x v="1"/>
    <s v="5GU7TS"/>
    <s v="LEMONTECH"/>
    <s v="BONATTO/DANIELA"/>
    <s v="Lemontech"/>
    <s v="Lemontech"/>
    <d v="2025-08-07T00:00:00"/>
    <n v="17231521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76"/>
    <n v="0"/>
    <n v="0"/>
    <n v="0"/>
    <n v="0"/>
    <n v="52.12"/>
    <n v="0"/>
    <s v="Reserva importada do Sistema Lemontech. Solicitação: 17231521"/>
    <s v="Fornecedor não preenchido! (ACC01)"/>
    <x v="7"/>
    <x v="1"/>
    <s v="Campo Fornecedor"/>
    <x v="0"/>
    <s v="Qualidade dos dados"/>
    <s v="KONTIK BUSINESS TRAVEL"/>
    <x v="1"/>
  </r>
  <r>
    <n v="22691798"/>
    <n v="23494828"/>
    <s v="ACC01"/>
    <x v="226"/>
    <d v="2025-08-06T09:07:31"/>
    <x v="0"/>
    <x v="1"/>
    <s v="5GIC7B"/>
    <s v="LEMONTECH"/>
    <s v="NASCIMENTO/GLEIDSON"/>
    <s v="Lemontech"/>
    <s v="Lemontech"/>
    <d v="2025-08-05T00:00:00"/>
    <n v="17220097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77"/>
    <n v="0"/>
    <n v="0"/>
    <n v="0"/>
    <n v="0"/>
    <n v="0"/>
    <n v="0"/>
    <s v="Reserva importada do Sistema Lemontech. Solicitação: 17220097"/>
    <s v="Fornecedor não preenchido! (ACC01)"/>
    <x v="7"/>
    <x v="1"/>
    <s v="Campo Fornecedor"/>
    <x v="0"/>
    <s v="Qualidade dos dados"/>
    <s v="KONTIK BUSINESS TRAVEL"/>
    <x v="1"/>
  </r>
  <r>
    <n v="22692862"/>
    <n v="23495811"/>
    <s v="ACC01"/>
    <x v="227"/>
    <d v="2025-08-06T12:13:37"/>
    <x v="0"/>
    <x v="1"/>
    <s v="5GGDN0"/>
    <s v="LEMONTECH"/>
    <s v="SILVA MOURA/BRUNNO"/>
    <s v="Lemontech"/>
    <s v="Lemontech"/>
    <d v="2025-08-06T00:00:00"/>
    <n v="17223345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78"/>
    <n v="0"/>
    <n v="0"/>
    <n v="0"/>
    <n v="0"/>
    <n v="0"/>
    <n v="0"/>
    <s v="Reserva importada do Sistema Lemontech. Solicitação: 17223345"/>
    <s v="Fornecedor não preenchido! (ACC01)"/>
    <x v="7"/>
    <x v="1"/>
    <s v="Campo Fornecedor"/>
    <x v="0"/>
    <s v="Qualidade dos dados"/>
    <s v="KONTIK BUSINESS TRAVEL"/>
    <x v="1"/>
  </r>
  <r>
    <n v="22692865"/>
    <n v="23495814"/>
    <s v="ACC01"/>
    <x v="228"/>
    <d v="2025-08-06T12:29:06"/>
    <x v="0"/>
    <x v="1"/>
    <s v="NWQUIL"/>
    <s v="LEMONTECH"/>
    <s v="DA GAMA/LUISA"/>
    <s v="Lemontech"/>
    <s v="Lemontech"/>
    <d v="2025-08-06T11:33:00"/>
    <n v="17223386"/>
    <s v="-"/>
    <s v="ON LINE"/>
    <s v="Cartão de crédito"/>
    <s v="Cartão AMEX"/>
    <x v="2"/>
    <s v="N"/>
    <x v="43"/>
    <s v="Biolab Centro Administrativo - Escritorio"/>
    <s v="-"/>
    <s v="Latam Airlines Brasil"/>
    <n v="2971540022"/>
    <x v="32"/>
    <s v="-"/>
    <x v="179"/>
    <n v="60.62"/>
    <n v="0"/>
    <n v="0"/>
    <n v="0"/>
    <n v="0"/>
    <n v="0"/>
    <s v="Reserva importada do Sistema Lemontech. Solicitação: 17223386"/>
    <s v="Pnr já existente. A duplicidade de rloc é permitida apenas 6 meses após o último pnr emitido"/>
    <x v="7"/>
    <x v="6"/>
    <s v="Campo RLOC"/>
    <x v="1"/>
    <s v="Qualidade dos dados"/>
    <s v="GRUPO KONTIK"/>
    <x v="4"/>
  </r>
  <r>
    <n v="22679625"/>
    <n v="23484082"/>
    <s v="ACC01"/>
    <x v="229"/>
    <d v="2025-08-04T16:06:51"/>
    <x v="1"/>
    <x v="0"/>
    <s v="5FAOKU"/>
    <s v="LEMONTECH"/>
    <s v="TRASSI/THAIS"/>
    <s v="Lemontech"/>
    <s v="Lemontech"/>
    <d v="2025-08-04T00:00:00"/>
    <n v="17202443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0"/>
    <n v="0"/>
    <n v="0"/>
    <n v="0"/>
    <n v="0"/>
    <n v="180"/>
    <n v="0"/>
    <s v="Reserva importada do Sistema Lemontech. Solicitação: 17202443"/>
    <s v="Fornecedor não preenchido! (ACC01)"/>
    <x v="7"/>
    <x v="1"/>
    <s v="Campo Fornecedor"/>
    <x v="0"/>
    <s v="Qualidade dos dados"/>
    <s v="KONTIK BUSINESS TRAVEL"/>
    <x v="1"/>
  </r>
  <r>
    <n v="22681620"/>
    <n v="23486092"/>
    <s v="ACC01"/>
    <x v="230"/>
    <d v="2025-08-04T19:07:18"/>
    <x v="1"/>
    <x v="0"/>
    <s v="5FVV6I"/>
    <s v="LEMONTECH"/>
    <s v="FERREIRA/HUMBERTO"/>
    <s v="Lemontech"/>
    <s v="Lemontech"/>
    <d v="2025-08-04T00:00:00"/>
    <n v="17205759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77"/>
    <n v="0"/>
    <n v="0"/>
    <n v="0"/>
    <n v="0"/>
    <n v="0"/>
    <n v="0"/>
    <s v="Reserva importada do Sistema Lemontech. Solicitação: 17205759"/>
    <s v="Fornecedor não preenchido! (ACC01)"/>
    <x v="7"/>
    <x v="1"/>
    <s v="Campo Fornecedor"/>
    <x v="0"/>
    <s v="Qualidade dos dados"/>
    <s v="KONTIK BUSINESS TRAVEL"/>
    <x v="1"/>
  </r>
  <r>
    <n v="22659143"/>
    <n v="23467925"/>
    <s v="ACC01"/>
    <x v="231"/>
    <d v="2025-07-31T16:13:12"/>
    <x v="3"/>
    <x v="4"/>
    <s v="5FIUQ4"/>
    <s v="LEMONTECH"/>
    <s v="DA COSTA/ANNIELLY"/>
    <s v="Lemontech"/>
    <s v="Lemontech"/>
    <d v="2025-07-31T00:00:00"/>
    <n v="17180402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1"/>
    <n v="0"/>
    <n v="0"/>
    <n v="0"/>
    <n v="0"/>
    <n v="180"/>
    <n v="0"/>
    <s v="Reserva importada do Sistema Lemontech. Solicitação: 17180402"/>
    <s v="Fornecedor não preenchido! (ACC01)"/>
    <x v="7"/>
    <x v="1"/>
    <s v="Campo Fornecedor"/>
    <x v="0"/>
    <s v="Qualidade dos dados"/>
    <s v="KONTIK BUSINESS TRAVEL"/>
    <x v="1"/>
  </r>
  <r>
    <n v="22659144"/>
    <n v="23467926"/>
    <s v="ACC01"/>
    <x v="232"/>
    <d v="2025-07-31T16:13:13"/>
    <x v="3"/>
    <x v="4"/>
    <s v="5FLJQR"/>
    <s v="LEMONTECH"/>
    <s v="TRASSI/THAIS"/>
    <s v="Lemontech"/>
    <s v="Lemontech"/>
    <d v="2025-07-31T00:00:00"/>
    <n v="17180492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1"/>
    <n v="0"/>
    <n v="0"/>
    <n v="0"/>
    <n v="0"/>
    <n v="180"/>
    <n v="0"/>
    <s v="Reserva importada do Sistema Lemontech. Solicitação: 17180492"/>
    <s v="Fornecedor não preenchido! (ACC01)"/>
    <x v="7"/>
    <x v="1"/>
    <s v="Campo Fornecedor"/>
    <x v="0"/>
    <s v="Qualidade dos dados"/>
    <s v="KONTIK BUSINESS TRAVEL"/>
    <x v="1"/>
  </r>
  <r>
    <n v="22679305"/>
    <n v="23483773"/>
    <s v="ACC01"/>
    <x v="233"/>
    <d v="2025-08-04T15:07:08"/>
    <x v="1"/>
    <x v="0"/>
    <s v="5F14K7"/>
    <s v="LEMONTECH"/>
    <s v="OLIVEIRA/CINTYA"/>
    <s v="Lemontech"/>
    <s v="Lemontech"/>
    <d v="2025-08-04T00:00:00"/>
    <n v="17201409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2"/>
    <n v="0"/>
    <n v="0"/>
    <n v="0"/>
    <n v="0"/>
    <n v="59.2"/>
    <n v="0"/>
    <s v="Reserva importada do Sistema Lemontech. Solicitação: 17201409"/>
    <s v="Fornecedor não preenchido! (ACC01)"/>
    <x v="7"/>
    <x v="1"/>
    <s v="Campo Fornecedor"/>
    <x v="0"/>
    <s v="Qualidade dos dados"/>
    <s v="KONTIK BUSINESS TRAVEL"/>
    <x v="1"/>
  </r>
  <r>
    <n v="22677103"/>
    <n v="23481783"/>
    <s v="ACC01"/>
    <x v="234"/>
    <d v="2025-08-04T09:06:54"/>
    <x v="1"/>
    <x v="0"/>
    <s v="5F5CA7"/>
    <s v="LEMONTECH"/>
    <s v="GOMES/SAULL"/>
    <s v="Lemontech"/>
    <s v="Lemontech"/>
    <d v="2025-07-30T00:00:00"/>
    <n v="17169221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3"/>
    <n v="0"/>
    <n v="0"/>
    <n v="0"/>
    <n v="0"/>
    <n v="0"/>
    <n v="0"/>
    <s v="Reserva importada do Sistema Lemontech. Solicitação: 17169221"/>
    <s v="Fornecedor não preenchido! (ACC01)"/>
    <x v="7"/>
    <x v="1"/>
    <s v="Campo Fornecedor"/>
    <x v="0"/>
    <s v="Qualidade dos dados"/>
    <s v="KONTIK BUSINESS TRAVEL"/>
    <x v="1"/>
  </r>
  <r>
    <n v="22529814"/>
    <n v="23357744"/>
    <s v="ACC01"/>
    <x v="235"/>
    <d v="2025-07-08T11:06:26"/>
    <x v="6"/>
    <x v="3"/>
    <s v="5CBBVY"/>
    <s v="LEMONTECH"/>
    <s v="WAGNER FLESCH/RICARDO"/>
    <s v="Lemontech"/>
    <s v="Lemontech"/>
    <d v="2025-07-07T00:00:00"/>
    <n v="16994702"/>
    <s v="-"/>
    <s v="ON LINE"/>
    <s v="Cartão de crédito"/>
    <s v="Cartão de crédito"/>
    <x v="1"/>
    <s v="N"/>
    <x v="43"/>
    <s v="Biolab Centro Administrativo - Escritorio"/>
    <s v="-"/>
    <s v="Ibis Sao Paulo Ibirapuera"/>
    <s v="-"/>
    <x v="32"/>
    <s v="-"/>
    <x v="184"/>
    <n v="0"/>
    <n v="0"/>
    <n v="0"/>
    <n v="0"/>
    <n v="18.59"/>
    <n v="0"/>
    <s v="Reserva importada do Sistema Lemontech. Solicitação: 16994702"/>
    <s v="Fornecedor não preenchido! (ACC01)"/>
    <x v="7"/>
    <x v="1"/>
    <s v="Campo Fornecedor"/>
    <x v="0"/>
    <s v="Qualidade dos dados"/>
    <s v="KONTIK BUSINESS TRAVEL"/>
    <x v="1"/>
  </r>
  <r>
    <n v="22531721"/>
    <n v="23359539"/>
    <s v="ACC01"/>
    <x v="236"/>
    <d v="2025-07-08T16:08:44"/>
    <x v="6"/>
    <x v="3"/>
    <s v="5CLJ96"/>
    <s v="LEMONTECH"/>
    <s v="SPERLING VIANA/NANCY"/>
    <s v="Lemontech"/>
    <s v="Lemontech"/>
    <d v="2025-07-08T00:00:00"/>
    <n v="17009338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5"/>
    <n v="0"/>
    <n v="0"/>
    <n v="0"/>
    <n v="0"/>
    <n v="0"/>
    <n v="0"/>
    <s v="Reserva importada do Sistema Lemontech. Solicitação: 17009338"/>
    <s v="Fornecedor não preenchido! (ACC01)"/>
    <x v="7"/>
    <x v="1"/>
    <s v="Campo Fornecedor"/>
    <x v="0"/>
    <s v="Qualidade dos dados"/>
    <s v="KONTIK BUSINESS TRAVEL"/>
    <x v="1"/>
  </r>
  <r>
    <n v="22649682"/>
    <n v="23459220"/>
    <s v="ACC01"/>
    <x v="237"/>
    <d v="2025-07-30T09:07:30"/>
    <x v="2"/>
    <x v="2"/>
    <s v="5FJ59A"/>
    <s v="LEMONTECH"/>
    <s v="ZAMBRANO CORREA/LUIS"/>
    <s v="Lemontech"/>
    <s v="Lemontech"/>
    <d v="2025-07-30T00:00:00"/>
    <n v="17165445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6"/>
    <n v="0"/>
    <n v="0"/>
    <n v="0"/>
    <n v="0"/>
    <n v="180"/>
    <n v="0"/>
    <s v="Reserva importada do Sistema Lemontech. Solicitação: 17165445"/>
    <s v="Fornecedor não preenchido! (ACC01)"/>
    <x v="7"/>
    <x v="1"/>
    <s v="Campo Fornecedor"/>
    <x v="0"/>
    <s v="Qualidade dos dados"/>
    <s v="KONTIK BUSINESS TRAVEL"/>
    <x v="1"/>
  </r>
  <r>
    <n v="22702214"/>
    <n v="23504356"/>
    <s v="ACC01"/>
    <x v="238"/>
    <d v="2025-08-07T17:07:24"/>
    <x v="0"/>
    <x v="1"/>
    <s v="5GQPWD"/>
    <s v="LEMONTECH"/>
    <s v="LLANOS ESPINOZA/CLAUDIA MARIA"/>
    <s v="Lemontech"/>
    <s v="Lemontech"/>
    <d v="2025-08-07T00:00:00"/>
    <n v="17237347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7"/>
    <n v="0"/>
    <n v="0"/>
    <n v="0"/>
    <n v="0"/>
    <n v="0"/>
    <n v="0"/>
    <s v="Reserva importada do Sistema Lemontech. Solicitação: 17237347"/>
    <s v="Fornecedor não preenchido! (ACC01)"/>
    <x v="7"/>
    <x v="1"/>
    <s v="Campo Fornecedor"/>
    <x v="0"/>
    <s v="Qualidade dos dados"/>
    <s v="KONTIK BUSINESS TRAVEL"/>
    <x v="1"/>
  </r>
  <r>
    <n v="22702216"/>
    <n v="23504357"/>
    <s v="ACC01"/>
    <x v="239"/>
    <d v="2025-08-07T17:07:26"/>
    <x v="0"/>
    <x v="1"/>
    <s v="5G2P2D"/>
    <s v="LEMONTECH"/>
    <s v="LLANOS ESPINOZA/CLAUDIA MARIA"/>
    <s v="Lemontech"/>
    <s v="Lemontech"/>
    <d v="2025-08-07T00:00:00"/>
    <n v="17237393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7"/>
    <n v="0"/>
    <n v="0"/>
    <n v="0"/>
    <n v="0"/>
    <n v="0"/>
    <n v="0"/>
    <s v="Reserva importada do Sistema Lemontech. Solicitação: 17237393"/>
    <s v="Fornecedor não preenchido! (ACC01)"/>
    <x v="7"/>
    <x v="1"/>
    <s v="Campo Fornecedor"/>
    <x v="0"/>
    <s v="Qualidade dos dados"/>
    <s v="KONTIK BUSINESS TRAVEL"/>
    <x v="1"/>
  </r>
  <r>
    <n v="22702224"/>
    <n v="23504366"/>
    <s v="ACC01"/>
    <x v="240"/>
    <d v="2025-08-07T17:07:53"/>
    <x v="0"/>
    <x v="1"/>
    <s v="5GJMWC"/>
    <s v="LEMONTECH"/>
    <s v="SIQUEIRA/FABIO GIL"/>
    <s v="Lemontech"/>
    <s v="Lemontech"/>
    <d v="2025-08-07T00:00:00"/>
    <n v="17237514"/>
    <s v="-"/>
    <s v="ON LINE"/>
    <s v="Cartão de crédito"/>
    <s v="Cartão de crédito"/>
    <x v="1"/>
    <s v="N"/>
    <x v="43"/>
    <s v="Biolab Centro Administrativo - Escritorio"/>
    <s v="-"/>
    <s v="-"/>
    <s v="-"/>
    <x v="32"/>
    <s v="-"/>
    <x v="188"/>
    <n v="0"/>
    <n v="0"/>
    <n v="0"/>
    <n v="0"/>
    <n v="0"/>
    <n v="0"/>
    <s v="Reserva importada do Sistema Lemontech. Solicitação: 17237514"/>
    <s v="Fornecedor não preenchido! (ACC01)"/>
    <x v="7"/>
    <x v="1"/>
    <s v="Campo Fornecedor"/>
    <x v="0"/>
    <s v="Qualidade dos dados"/>
    <s v="KONTIK BUSINESS TRAVEL"/>
    <x v="1"/>
  </r>
  <r>
    <n v="22703689"/>
    <n v="23505785"/>
    <s v="ACC01"/>
    <x v="241"/>
    <d v="2025-08-07T19:51:35"/>
    <x v="0"/>
    <x v="1"/>
    <s v="5GA9U3"/>
    <s v="TMS"/>
    <s v="JERONIMO FREIRE"/>
    <s v="Tms"/>
    <s v="Tms"/>
    <d v="2025-08-07T14:53:00"/>
    <n v="265"/>
    <s v="Campinas / VCP"/>
    <s v="ON LINE"/>
    <s v="Invoice"/>
    <s v="Faturado"/>
    <x v="3"/>
    <s v="N"/>
    <x v="44"/>
    <s v="Santo Antonio Energia"/>
    <s v="-"/>
    <s v="-"/>
    <s v="-"/>
    <x v="33"/>
    <s v="-"/>
    <x v="189"/>
    <n v="0"/>
    <n v="0"/>
    <n v="0"/>
    <n v="0"/>
    <n v="0"/>
    <n v="0"/>
    <s v="Reserva importada do Sistema TMS. OS: 265"/>
    <s v="Fornecedor não preenchido! (ACC01)"/>
    <x v="1"/>
    <x v="1"/>
    <s v="Campo Fornecedor"/>
    <x v="0"/>
    <s v="Qualidade dos dados"/>
    <s v="KONTIK BUSINESS TRAVEL"/>
    <x v="1"/>
  </r>
  <r>
    <n v="22686476"/>
    <n v="23490201"/>
    <s v="ACC01"/>
    <x v="242"/>
    <d v="2025-08-05T14:20:49"/>
    <x v="1"/>
    <x v="0"/>
    <s v="MZHWRT"/>
    <s v="GOVER"/>
    <s v="Elder  Souza da Fonseca"/>
    <s v="Juliana dos Santos Pinto"/>
    <s v="Juliana dos Santos Pinto"/>
    <d v="2025-08-05T12:44:00"/>
    <n v="4576769"/>
    <s v="-"/>
    <s v="OFF LINE"/>
    <s v="Invoice"/>
    <s v="Faturado"/>
    <x v="2"/>
    <s v="N"/>
    <x v="45"/>
    <s v="Consorcio Nova Doca"/>
    <s v="-"/>
    <s v="Latam Airlines Brasil"/>
    <n v="2971589631"/>
    <x v="33"/>
    <s v="-"/>
    <x v="190"/>
    <n v="450"/>
    <n v="0"/>
    <n v="0"/>
    <n v="0"/>
    <n v="0"/>
    <n v="0"/>
    <s v="Reserva importada do sistema Gover. Id: 4576769"/>
    <s v="Pnr já existente. A duplicidade de rloc é permitida apenas 6 meses após o último pnr emitido"/>
    <x v="6"/>
    <x v="6"/>
    <s v="Campo RLOC"/>
    <x v="1"/>
    <s v="Qualidade dos dados"/>
    <s v="GRUPO KONTIK"/>
    <x v="4"/>
  </r>
  <r>
    <n v="22686477"/>
    <n v="23490202"/>
    <s v="ACC01"/>
    <x v="243"/>
    <d v="2025-08-05T14:20:50"/>
    <x v="1"/>
    <x v="0"/>
    <s v="QEOQKW"/>
    <s v="GOVER"/>
    <s v="Elder  Souza da Fonseca"/>
    <s v="Juliana dos Santos Pinto"/>
    <s v="Juliana dos Santos Pinto"/>
    <d v="2025-08-05T14:02:00"/>
    <n v="4576769"/>
    <s v="-"/>
    <s v="OFF LINE"/>
    <s v="Invoice"/>
    <s v="Faturado"/>
    <x v="2"/>
    <s v="N"/>
    <x v="45"/>
    <s v="Consorcio Nova Doca"/>
    <s v="-"/>
    <s v="Latam Airlines Brasil"/>
    <n v="2971589633"/>
    <x v="33"/>
    <s v="-"/>
    <x v="191"/>
    <n v="450"/>
    <n v="0"/>
    <n v="0"/>
    <n v="0"/>
    <n v="0"/>
    <n v="0"/>
    <s v="Reserva importada do sistema Gover. Id: 4576769"/>
    <s v="Pnr já existente. A duplicidade de rloc é permitida apenas 6 meses após o último pnr emitido"/>
    <x v="6"/>
    <x v="6"/>
    <s v="Campo RLOC"/>
    <x v="1"/>
    <s v="Qualidade dos dados"/>
    <s v="GRUPO KONTIK"/>
    <x v="4"/>
  </r>
  <r>
    <n v="22695720"/>
    <n v="23498571"/>
    <s v="ACC01"/>
    <x v="244"/>
    <d v="2025-08-06T18:41:45"/>
    <x v="0"/>
    <x v="1"/>
    <s v="DNBJIC"/>
    <s v="GOVER"/>
    <s v="Ana Lúcia Ferreira Coutinho"/>
    <s v="Michelly Andrade Leandro da Silva"/>
    <s v="Michelly Andrade Leandro da Silva"/>
    <d v="2025-07-31T19:34:00"/>
    <n v="4575390"/>
    <s v="-"/>
    <s v="ON LINE"/>
    <s v="Cartão de crédito"/>
    <s v="Cartão AMEX"/>
    <x v="2"/>
    <s v="N"/>
    <x v="46"/>
    <s v="Isdin Sp"/>
    <s v="-"/>
    <s v="Latam Airlines Brasil"/>
    <n v="2971575248"/>
    <x v="33"/>
    <s v="-"/>
    <x v="192"/>
    <n v="414.37"/>
    <n v="0"/>
    <n v="0"/>
    <n v="0"/>
    <n v="0"/>
    <n v="0"/>
    <s v="Reserva importada do sistema Gover. Id: 4575390"/>
    <s v="Verificação de bilhetes: Bilhete 2971575248 já sendo utilizado para este fornecedor."/>
    <x v="6"/>
    <x v="3"/>
    <s v="Bilhete Já Contabilizado"/>
    <x v="1"/>
    <s v="Qualidade dos dados"/>
    <s v="GRUPO KONTIK"/>
    <x v="4"/>
  </r>
  <r>
    <n v="22703539"/>
    <n v="23505633"/>
    <s v="ACC01"/>
    <x v="245"/>
    <d v="2025-08-07T19:12:10"/>
    <x v="0"/>
    <x v="1"/>
    <s v="EUPDZO"/>
    <s v="GOVER"/>
    <s v="SANDRA BERTOCCO BRAGHIROLI"/>
    <s v="Priscilla Andrade Sobrinho"/>
    <s v="Priscilla Andrade Sobrinho"/>
    <d v="2025-08-07T19:00:00"/>
    <n v="4577083"/>
    <s v="-"/>
    <s v="OFF LINE"/>
    <s v="Cartão de crédito"/>
    <s v="Cartão AMEX"/>
    <x v="2"/>
    <s v="N"/>
    <x v="47"/>
    <s v="Lojas Marisa"/>
    <s v="-"/>
    <s v="Iberia"/>
    <n v="2971592843"/>
    <x v="33"/>
    <s v="-"/>
    <x v="193"/>
    <n v="1276.25"/>
    <n v="0"/>
    <n v="0"/>
    <n v="0"/>
    <n v="0"/>
    <n v="0"/>
    <s v="Reserva importada do sistema Gover. Id: 4577083"/>
    <s v="Tarifa máxima não preenchida! (ACC01)"/>
    <x v="6"/>
    <x v="15"/>
    <s v="Falta de informação Gerencial"/>
    <x v="0"/>
    <s v="Qualidade dos dados"/>
    <s v="KONTIK BUSINESS TRAVEL"/>
    <x v="0"/>
  </r>
  <r>
    <n v="22703733"/>
    <n v="23505821"/>
    <s v="ACC01"/>
    <x v="246"/>
    <d v="2025-08-07T19:21:23"/>
    <x v="0"/>
    <x v="1"/>
    <s v="EUGQEV"/>
    <s v="GOVER"/>
    <s v="CLAUDIA SOARES NASSAR"/>
    <s v="Priscilla Andrade Sobrinho"/>
    <s v="Priscilla Andrade Sobrinho"/>
    <d v="2025-08-07T15:03:00"/>
    <n v="4577084"/>
    <s v="-"/>
    <s v="OFF LINE"/>
    <s v="Cartão de crédito"/>
    <s v="Cartão AMEX"/>
    <x v="2"/>
    <s v="N"/>
    <x v="47"/>
    <s v="Lojas Marisa"/>
    <s v="-"/>
    <s v="Iberia"/>
    <n v="2971592842"/>
    <x v="33"/>
    <s v="-"/>
    <x v="193"/>
    <n v="1276.25"/>
    <n v="0"/>
    <n v="0"/>
    <n v="0"/>
    <n v="0"/>
    <n v="0"/>
    <s v="Reserva importada do sistema Gover. Id: 4577084"/>
    <s v="Tarifa máxima não preenchida! (ACC01)"/>
    <x v="6"/>
    <x v="15"/>
    <s v="Falta de informação Gerencial"/>
    <x v="0"/>
    <s v="Qualidade dos dados"/>
    <s v="KONTIK BUSINESS TRAVEL"/>
    <x v="0"/>
  </r>
  <r>
    <n v="22703735"/>
    <n v="23505823"/>
    <s v="ACC01"/>
    <x v="247"/>
    <d v="2025-08-07T19:21:25"/>
    <x v="0"/>
    <x v="1"/>
    <s v="FBFZGH"/>
    <s v="GOVER"/>
    <s v="PRISCILA FREZ DE MORAES AGUIAR"/>
    <s v="Priscilla Andrade Sobrinho"/>
    <s v="Priscilla Andrade Sobrinho"/>
    <d v="2025-08-07T19:00:00"/>
    <n v="4577087"/>
    <s v="-"/>
    <s v="OFF LINE"/>
    <s v="Cartão de crédito"/>
    <s v="Cartão AMEX"/>
    <x v="2"/>
    <s v="N"/>
    <x v="47"/>
    <s v="Lojas Marisa"/>
    <s v="-"/>
    <s v="Iberia"/>
    <n v="2971592841"/>
    <x v="33"/>
    <s v="-"/>
    <x v="193"/>
    <n v="1276.47"/>
    <n v="0"/>
    <n v="0"/>
    <n v="0"/>
    <n v="0"/>
    <n v="0"/>
    <s v="Reserva importada do sistema Gover. Id: 4577087"/>
    <s v="Tarifa máxima não preenchida! (ACC01)"/>
    <x v="6"/>
    <x v="15"/>
    <s v="Falta de informação Gerencial"/>
    <x v="0"/>
    <s v="Qualidade dos dados"/>
    <s v="KONTIK BUSINESS TRAVEL"/>
    <x v="0"/>
  </r>
  <r>
    <n v="22704249"/>
    <n v="23506282"/>
    <s v="ACC01"/>
    <x v="248"/>
    <d v="2025-08-07T20:40:41"/>
    <x v="0"/>
    <x v="1"/>
    <s v="EUBVTF"/>
    <s v="GOVER"/>
    <s v="LAUREEN CRISTINA CACACE SARTORELLI"/>
    <s v="Priscilla Andrade Sobrinho"/>
    <s v="Priscilla Andrade Sobrinho"/>
    <d v="2025-08-07T19:00:00"/>
    <n v="4577081"/>
    <s v="-"/>
    <s v="OFF LINE"/>
    <s v="Cartão de crédito"/>
    <s v="Cartão AMEX"/>
    <x v="2"/>
    <s v="N"/>
    <x v="47"/>
    <s v="Lojas Marisa"/>
    <s v="-"/>
    <s v="Iberia"/>
    <n v="2971325509"/>
    <x v="33"/>
    <s v="-"/>
    <x v="193"/>
    <n v="1276.25"/>
    <n v="0"/>
    <n v="0"/>
    <n v="0"/>
    <n v="0"/>
    <n v="0"/>
    <s v="Reserva importada do sistema Gover. Id: 4577081"/>
    <s v="Tarifa máxima não preenchida! (ACC01)"/>
    <x v="6"/>
    <x v="15"/>
    <s v="Falta de informação Gerencial"/>
    <x v="0"/>
    <s v="Qualidade dos dados"/>
    <s v="KONTIK BUSINESS TRAVEL"/>
    <x v="0"/>
  </r>
  <r>
    <n v="22621072"/>
    <n v="23436532"/>
    <s v="ACC01"/>
    <x v="249"/>
    <d v="2025-07-24T19:25:51"/>
    <x v="2"/>
    <x v="2"/>
    <s v="5EDJ0J"/>
    <s v="TMS"/>
    <s v="JOSE SILVA TAVARES"/>
    <s v="JOSE ALEXANDRE SOARES CALDAS"/>
    <s v="JOSE ALEXANDRE SOARES CALDAS"/>
    <d v="2025-07-24T16:02:00"/>
    <n v="73566"/>
    <s v="-"/>
    <s v="OFF LINE"/>
    <s v="Invoice"/>
    <s v="Faturado"/>
    <x v="0"/>
    <s v="N"/>
    <x v="48"/>
    <s v="Oceanpact Servicos Maritimos"/>
    <s v="-"/>
    <s v="-"/>
    <s v="-"/>
    <x v="34"/>
    <s v="-"/>
    <x v="194"/>
    <n v="0"/>
    <n v="0"/>
    <n v="0"/>
    <n v="0"/>
    <n v="0"/>
    <n v="0"/>
    <s v="Reserva importada do Sistema TMS. OS: 73566"/>
    <s v="Fornecedor não preenchido! (ACC01)"/>
    <x v="1"/>
    <x v="1"/>
    <s v="Campo Fornecedor"/>
    <x v="0"/>
    <s v="Qualidade dos dados"/>
    <s v="KONTIK BUSINESS TRAVEL"/>
    <x v="1"/>
  </r>
  <r>
    <n v="22624843"/>
    <n v="23439592"/>
    <s v="ACC01"/>
    <x v="250"/>
    <d v="2025-07-25T12:51:19"/>
    <x v="2"/>
    <x v="2"/>
    <s v="5E3FIU"/>
    <s v="TMS"/>
    <s v="JOSE SILVA TAVARES"/>
    <s v="JOSE ALEXANDRE SOARES CALDAS"/>
    <s v="JOSE ALEXANDRE SOARES CALDAS"/>
    <d v="2025-07-25T11:02:00"/>
    <n v="73594"/>
    <s v="-"/>
    <s v="OFF LINE"/>
    <s v="Invoice"/>
    <s v="Faturado"/>
    <x v="0"/>
    <s v="N"/>
    <x v="48"/>
    <s v="Oceanpact Servicos Maritimos"/>
    <s v="-"/>
    <s v="-"/>
    <s v="-"/>
    <x v="34"/>
    <s v="-"/>
    <x v="195"/>
    <n v="0"/>
    <n v="0"/>
    <n v="0"/>
    <n v="0"/>
    <n v="0"/>
    <n v="0"/>
    <s v="Reserva importada do Sistema TMS. OS: 73594"/>
    <s v="Fornecedor não preenchido! (ACC01)"/>
    <x v="1"/>
    <x v="1"/>
    <s v="Campo Fornecedor"/>
    <x v="0"/>
    <s v="Qualidade dos dados"/>
    <s v="KONTIK BUSINESS TRAVEL"/>
    <x v="1"/>
  </r>
  <r>
    <n v="22567713"/>
    <n v="23392097"/>
    <s v="ACC01"/>
    <x v="251"/>
    <d v="2025-07-15T19:41:02"/>
    <x v="5"/>
    <x v="6"/>
    <s v="5DUMK5"/>
    <s v="TMS"/>
    <s v="RICARDO COELHO DIAS"/>
    <s v="Tms"/>
    <s v="Tms"/>
    <d v="2025-07-15T13:34:00"/>
    <n v="71529"/>
    <s v="-"/>
    <s v="OFF LINE"/>
    <s v="Invoice"/>
    <s v="Faturado"/>
    <x v="0"/>
    <s v="N"/>
    <x v="48"/>
    <s v="Oceanpact Servicos Maritimos"/>
    <s v="-"/>
    <s v="-"/>
    <s v="-"/>
    <x v="34"/>
    <s v="-"/>
    <x v="111"/>
    <n v="0"/>
    <n v="0"/>
    <n v="0"/>
    <n v="0"/>
    <n v="0"/>
    <n v="0"/>
    <s v="Reserva importada do Sistema TMS. OS: 71529"/>
    <s v="Fornecedor não preenchido! (ACC01)"/>
    <x v="1"/>
    <x v="1"/>
    <s v="Campo Fornecedor"/>
    <x v="0"/>
    <s v="Qualidade dos dados"/>
    <s v="KONTIK BUSINESS TRAVEL"/>
    <x v="1"/>
  </r>
  <r>
    <n v="22705093"/>
    <n v="23507042"/>
    <s v="ACC01"/>
    <x v="252"/>
    <d v="2025-08-08T06:11:42"/>
    <x v="0"/>
    <x v="1"/>
    <s v="5GCLND"/>
    <s v="TMS"/>
    <s v="MARCELO ARAUJO BEZERRA"/>
    <s v="Tms"/>
    <s v="Tms"/>
    <d v="2025-08-07T13:06:00"/>
    <n v="75313"/>
    <s v="-"/>
    <s v="OFF LINE"/>
    <s v="Invoice"/>
    <s v="Faturado"/>
    <x v="0"/>
    <s v="N"/>
    <x v="48"/>
    <s v="Oceanpact Geociencias"/>
    <s v="-"/>
    <s v="-"/>
    <s v="-"/>
    <x v="34"/>
    <s v="-"/>
    <x v="196"/>
    <n v="15.52"/>
    <n v="0"/>
    <n v="0"/>
    <n v="0"/>
    <n v="0"/>
    <n v="0"/>
    <s v="Reserva importada do Sistema TMS. OS: 75313"/>
    <s v="Fornecedor não preenchido! (ACC01)"/>
    <x v="1"/>
    <x v="1"/>
    <s v="Campo Fornecedor"/>
    <x v="0"/>
    <s v="Qualidade dos dados"/>
    <s v="KONTIK BUSINESS TRAVEL"/>
    <x v="1"/>
  </r>
  <r>
    <n v="22678463"/>
    <n v="23483036"/>
    <s v="ACC01"/>
    <x v="253"/>
    <d v="2025-08-04T12:58:29"/>
    <x v="1"/>
    <x v="0"/>
    <s v="5FYJGU"/>
    <s v="TMS"/>
    <s v="CARLOS HENRIQUE AZEVEDO"/>
    <s v="Nataly Franca Regal de Castro"/>
    <s v="Nataly Franca Regal de Castro"/>
    <d v="2025-08-04T11:30:00"/>
    <n v="74380"/>
    <s v="-"/>
    <s v="OFF LINE"/>
    <s v="Invoice"/>
    <s v="Faturado"/>
    <x v="0"/>
    <s v="N"/>
    <x v="48"/>
    <s v="Up Offshore Apoio Maritimo"/>
    <s v="-"/>
    <s v="-"/>
    <s v="-"/>
    <x v="34"/>
    <s v="-"/>
    <x v="93"/>
    <n v="0"/>
    <n v="0"/>
    <n v="0"/>
    <n v="0"/>
    <n v="0"/>
    <n v="0"/>
    <s v="Reserva importada do Sistema TMS. OS: 74380"/>
    <s v="Fornecedor não preenchido! (ACC01)"/>
    <x v="1"/>
    <x v="1"/>
    <s v="Campo Fornecedor"/>
    <x v="0"/>
    <s v="Qualidade dos dados"/>
    <s v="KONTIK BUSINESS TRAVEL"/>
    <x v="1"/>
  </r>
  <r>
    <n v="22666296"/>
    <n v="23474141"/>
    <s v="ACC01"/>
    <x v="254"/>
    <d v="2025-08-05T07:33:43"/>
    <x v="1"/>
    <x v="4"/>
    <s v="YOUEDK"/>
    <s v="SABRE"/>
    <s v="SAEZ/AMANDA FELIX DA COSTA"/>
    <s v="CT"/>
    <s v="CT"/>
    <d v="2025-08-01T09:37:00"/>
    <s v="L2IZGVFD6"/>
    <s v="-"/>
    <s v="ON LINE"/>
    <s v="Cartão de crédito"/>
    <s v="Cartão AMEX"/>
    <x v="2"/>
    <s v="N"/>
    <x v="49"/>
    <s v="Basf Sa"/>
    <s v="-"/>
    <s v="Gol Linhas Aereas"/>
    <n v="7700074761"/>
    <x v="35"/>
    <s v="-"/>
    <x v="197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7"/>
    <s v="Falta de informação Gerencial"/>
    <x v="0"/>
    <s v="Qualidade dos dados"/>
    <s v="KONTIK BUSINESS TRAVEL"/>
    <x v="1"/>
  </r>
  <r>
    <n v="22679705"/>
    <n v="23484160"/>
    <s v="ACC01"/>
    <x v="255"/>
    <d v="2025-08-05T07:34:00"/>
    <x v="1"/>
    <x v="0"/>
    <s v="STLHGX"/>
    <s v="SABRE"/>
    <s v="FREDERICO DE MESQUITA/RENATA"/>
    <s v="CT"/>
    <s v="CT"/>
    <d v="2025-08-04T12:07:00"/>
    <s v="H2EOZUM89"/>
    <s v="-"/>
    <s v="ON LINE"/>
    <s v="Cartão de crédito"/>
    <s v="Cartão AMEX"/>
    <x v="2"/>
    <s v="N"/>
    <x v="49"/>
    <s v="Basf Sa"/>
    <s v="-"/>
    <s v="Gol Linhas Aereas"/>
    <n v="7700074822"/>
    <x v="35"/>
    <s v="-"/>
    <x v="198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7"/>
    <s v="Falta de informação Gerencial"/>
    <x v="0"/>
    <s v="Qualidade dos dados"/>
    <s v="KONTIK BUSINESS TRAVEL"/>
    <x v="1"/>
  </r>
  <r>
    <n v="22679705"/>
    <n v="23484497"/>
    <s v="ACC02"/>
    <x v="255"/>
    <d v="2025-08-05T07:34:00"/>
    <x v="1"/>
    <x v="0"/>
    <s v="STLHGX"/>
    <s v="SABRE"/>
    <s v="FREDERICO DE MESQUITA/RENATA"/>
    <s v="CT"/>
    <s v="CT"/>
    <d v="2025-08-04T12:07:00"/>
    <s v="H2EOZUM89"/>
    <s v="-"/>
    <s v="ON LINE"/>
    <s v="Cartão de crédito"/>
    <s v="Cartão AMEX"/>
    <x v="2"/>
    <s v="N"/>
    <x v="49"/>
    <s v="Basf Sa"/>
    <s v="-"/>
    <s v="Gol Linhas Aereas"/>
    <n v="2142674468"/>
    <x v="35"/>
    <s v="-"/>
    <x v="198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7"/>
    <s v="Falta de informação Gerencial"/>
    <x v="0"/>
    <s v="Qualidade dos dados"/>
    <s v="KONTIK BUSINESS TRAVEL"/>
    <x v="1"/>
  </r>
  <r>
    <n v="22693935"/>
    <n v="23496816"/>
    <s v="ACC01"/>
    <x v="256"/>
    <d v="2025-08-06T14:18:35"/>
    <x v="0"/>
    <x v="1"/>
    <s v="AOBZBMT"/>
    <s v="SABRE"/>
    <s v="DA SILVA/GIOVANNE JOSE MR"/>
    <s v="CT"/>
    <s v="CT"/>
    <d v="2025-08-06T11:39:00"/>
    <s v="183216610-31702"/>
    <s v="-"/>
    <s v="ON LINE"/>
    <s v="Pagamento direto"/>
    <s v="Pagamento direto"/>
    <x v="1"/>
    <s v="N"/>
    <x v="49"/>
    <s v="Chemetall do Brasil"/>
    <s v="-"/>
    <s v="-"/>
    <s v="-"/>
    <x v="35"/>
    <s v="-"/>
    <x v="199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8"/>
  </r>
  <r>
    <n v="22693936"/>
    <n v="23496817"/>
    <s v="ACC01"/>
    <x v="257"/>
    <d v="2025-08-06T14:18:36"/>
    <x v="0"/>
    <x v="1"/>
    <s v="NQKJNUT"/>
    <s v="SABRE"/>
    <s v="SILVA/CICERO DIONISIO DA MR"/>
    <s v="CT"/>
    <s v="CT"/>
    <d v="2025-08-06T11:44:00"/>
    <s v="183216679-27885"/>
    <s v="-"/>
    <s v="ON LINE"/>
    <s v="Pagamento direto"/>
    <s v="Pagamento direto"/>
    <x v="1"/>
    <s v="N"/>
    <x v="49"/>
    <s v="Chemetall do Brasil"/>
    <s v="-"/>
    <s v="-"/>
    <s v="-"/>
    <x v="35"/>
    <s v="-"/>
    <x v="199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8"/>
  </r>
  <r>
    <n v="22693993"/>
    <n v="23496866"/>
    <s v="ACC01"/>
    <x v="258"/>
    <d v="2025-08-06T14:36:24"/>
    <x v="0"/>
    <x v="1"/>
    <s v="AYDZPQT"/>
    <s v="SABRE"/>
    <s v="CORREIA/LEILANE MISS"/>
    <s v="CT"/>
    <s v="CT"/>
    <d v="2025-08-06T11:36:00"/>
    <s v="183216563-90811"/>
    <s v="-"/>
    <s v="ON LINE"/>
    <s v="Pagamento direto"/>
    <s v="Pagamento direto"/>
    <x v="1"/>
    <s v="N"/>
    <x v="49"/>
    <s v="Basf Sa"/>
    <s v="-"/>
    <s v="Novotel Lima San Isidro"/>
    <s v="-"/>
    <x v="35"/>
    <s v="-"/>
    <x v="200"/>
    <n v="0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8"/>
  </r>
  <r>
    <n v="22693993"/>
    <n v="23496867"/>
    <s v="ACC02"/>
    <x v="258"/>
    <d v="2025-08-06T14:36:24"/>
    <x v="0"/>
    <x v="1"/>
    <s v="AYDZPQT"/>
    <s v="SABRE"/>
    <s v="CORREIA/LEILANE MISS"/>
    <s v="CT"/>
    <s v="CT"/>
    <d v="2025-08-06T11:36:00"/>
    <s v="183216563-90811"/>
    <s v="-"/>
    <s v="ON LINE"/>
    <s v="Pagamento direto"/>
    <s v="Pagamento direto"/>
    <x v="1"/>
    <s v="N"/>
    <x v="49"/>
    <s v="Basf Sa"/>
    <s v="-"/>
    <s v="-"/>
    <s v="-"/>
    <x v="35"/>
    <s v="-"/>
    <x v="201"/>
    <n v="0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8"/>
  </r>
  <r>
    <n v="22694290"/>
    <n v="23497143"/>
    <s v="ACC01"/>
    <x v="259"/>
    <d v="2025-08-06T15:34:52"/>
    <x v="0"/>
    <x v="1"/>
    <s v="MEOMSF"/>
    <s v="SABRE"/>
    <s v="RENZI/CEZAR EDUARDO"/>
    <s v="CT"/>
    <s v="CT"/>
    <d v="2025-08-06T12:57:00"/>
    <s v="D27E8KWTP"/>
    <s v="-"/>
    <s v="ON LINE"/>
    <s v="Cartão de crédito"/>
    <s v="Cartão AMEX"/>
    <x v="2"/>
    <s v="N"/>
    <x v="49"/>
    <s v="Suvinil"/>
    <s v="-"/>
    <s v="Gol Linhas Aereas"/>
    <n v="7700074988"/>
    <x v="35"/>
    <s v="-"/>
    <x v="202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7"/>
    <s v="Falta de informação Gerencial"/>
    <x v="0"/>
    <s v="Qualidade dos dados"/>
    <s v="KONTIK BUSINESS TRAVEL"/>
    <x v="1"/>
  </r>
  <r>
    <n v="22681347"/>
    <n v="23485816"/>
    <s v="ACC01"/>
    <x v="260"/>
    <d v="2025-08-05T09:36:25"/>
    <x v="1"/>
    <x v="0"/>
    <s v="MSVYWLT"/>
    <s v="SABRE"/>
    <s v="LA TORRE/DANIELLA CAMPOS MRS"/>
    <s v="CT"/>
    <s v="CT"/>
    <d v="2025-08-04T09:14:00"/>
    <s v="MSVYWL"/>
    <s v="-"/>
    <s v="ON LINE"/>
    <s v="Pagamento direto"/>
    <s v="Pagamento direto"/>
    <x v="1"/>
    <s v="N"/>
    <x v="49"/>
    <s v="Basf Sa"/>
    <s v="-"/>
    <s v="-"/>
    <s v="-"/>
    <x v="35"/>
    <s v="-"/>
    <x v="203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8"/>
  </r>
  <r>
    <n v="22684556"/>
    <n v="23488413"/>
    <s v="ACC01"/>
    <x v="261"/>
    <d v="2025-08-05T09:36:55"/>
    <x v="1"/>
    <x v="0"/>
    <s v="EXIBKMT"/>
    <s v="SABRE"/>
    <s v="LA TORRE/DANIELLA CAMPOS MRS"/>
    <s v="CT"/>
    <s v="CT"/>
    <d v="2025-08-04T09:31:00"/>
    <s v="EXIBKM"/>
    <s v="-"/>
    <s v="ON LINE"/>
    <s v="Pagamento direto"/>
    <s v="Pagamento direto"/>
    <x v="1"/>
    <s v="N"/>
    <x v="49"/>
    <s v="Basf Sa"/>
    <s v="-"/>
    <s v="Hilton Garden Inn Houston Energy Corridor"/>
    <s v="-"/>
    <x v="35"/>
    <s v="-"/>
    <x v="204"/>
    <n v="0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8"/>
  </r>
  <r>
    <n v="22684556"/>
    <n v="23488414"/>
    <s v="ACC02"/>
    <x v="261"/>
    <d v="2025-08-05T09:36:55"/>
    <x v="1"/>
    <x v="0"/>
    <s v="EXIBKMT"/>
    <s v="SABRE"/>
    <s v="LA TORRE/DANIELLA CAMPOS MRS"/>
    <s v="CT"/>
    <s v="CT"/>
    <d v="2025-08-04T09:31:00"/>
    <s v="EXIBKM"/>
    <s v="-"/>
    <s v="ON LINE"/>
    <s v="Pagamento direto"/>
    <s v="Pagamento direto"/>
    <x v="1"/>
    <s v="N"/>
    <x v="49"/>
    <s v="Basf Sa"/>
    <s v="-"/>
    <s v="-"/>
    <s v="-"/>
    <x v="35"/>
    <s v="-"/>
    <x v="205"/>
    <n v="34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8"/>
  </r>
  <r>
    <n v="22703619"/>
    <n v="23505715"/>
    <s v="ACC01"/>
    <x v="262"/>
    <d v="2025-08-07T19:06:30"/>
    <x v="0"/>
    <x v="1"/>
    <s v="KXTHKBT"/>
    <s v="SABRE"/>
    <s v="LA TORRE/DANIELLA CAMPOS MRS"/>
    <s v="CT"/>
    <s v="CT"/>
    <d v="2025-08-07T12:07:00"/>
    <s v="183241241-78843"/>
    <s v="-"/>
    <s v="ON LINE"/>
    <s v="Pagamento direto"/>
    <s v="Pagamento direto"/>
    <x v="1"/>
    <s v="N"/>
    <x v="49"/>
    <s v="Basf Sa"/>
    <s v="-"/>
    <s v="-"/>
    <s v="-"/>
    <x v="35"/>
    <s v="-"/>
    <x v="206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8"/>
  </r>
  <r>
    <n v="22702911"/>
    <n v="23505029"/>
    <s v="ACC01"/>
    <x v="263"/>
    <d v="2025-08-07T18:18:50"/>
    <x v="0"/>
    <x v="1"/>
    <s v="WZGUDAT"/>
    <s v="SABRE"/>
    <s v="SANTOS/JOSE RIBEIRO DOS MR"/>
    <s v="Felipe Anderson da Silva"/>
    <s v="Felipe Anderson da Silva"/>
    <d v="2025-08-07T15:28:00"/>
    <s v="BA0708251725"/>
    <s v="-"/>
    <s v="OFF LINE"/>
    <s v="Pagamento direto"/>
    <s v="Pagamento direto"/>
    <x v="1"/>
    <s v="N"/>
    <x v="49"/>
    <s v="Basf Sa"/>
    <s v="-"/>
    <s v="-"/>
    <s v="-"/>
    <x v="35"/>
    <s v="-"/>
    <x v="207"/>
    <n v="49.25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2769"/>
    <n v="23495717"/>
    <s v="ACC01"/>
    <x v="264"/>
    <d v="2025-08-06T12:06:20"/>
    <x v="0"/>
    <x v="1"/>
    <s v="OBYQLFT"/>
    <s v="SABRE"/>
    <s v="LAVACH SANTANA/FLAVIO LUIZ MR"/>
    <s v="Felipe Anderson da Silva"/>
    <s v="Felipe Anderson da Silva"/>
    <d v="2025-08-06T09:28:00"/>
    <s v="BA0608251128"/>
    <s v="-"/>
    <s v="OFF LINE"/>
    <s v="Pagamento direto"/>
    <s v="Pagamento direto"/>
    <x v="1"/>
    <s v="N"/>
    <x v="49"/>
    <s v="Basf Sa"/>
    <s v="-"/>
    <s v="-"/>
    <s v="-"/>
    <x v="35"/>
    <s v="-"/>
    <x v="2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87065"/>
    <n v="23490754"/>
    <s v="ACC01"/>
    <x v="265"/>
    <d v="2025-08-05T16:06:56"/>
    <x v="1"/>
    <x v="0"/>
    <s v="YLHRXMC"/>
    <s v="SABRE"/>
    <s v="GIAVENO/CARLOS DANIEL MR"/>
    <s v="Felipe Anderson da Silva"/>
    <s v="Felipe Anderson da Silva"/>
    <d v="2025-08-05T12:40:00"/>
    <s v="BA0508251439"/>
    <s v="RDU"/>
    <s v="OFF LINE"/>
    <s v="Invoice"/>
    <s v="Faturado"/>
    <x v="3"/>
    <s v="N"/>
    <x v="49"/>
    <s v="Basf Sa"/>
    <s v="-"/>
    <s v="-"/>
    <s v="-"/>
    <x v="35"/>
    <s v="-"/>
    <x v="209"/>
    <n v="131.13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4"/>
    <n v="23497133"/>
    <s v="ACC01"/>
    <x v="266"/>
    <d v="2025-08-06T15:36:22"/>
    <x v="0"/>
    <x v="1"/>
    <s v="NQUJHUT"/>
    <s v="SABRE"/>
    <s v="MYAGUSHICU/DANIELA MRS"/>
    <s v="Felipe Anderson da Silva"/>
    <s v="Felipe Anderson da Silva"/>
    <d v="2025-08-06T12:28:00"/>
    <s v="BA0608251442"/>
    <s v="-"/>
    <s v="OFF LINE"/>
    <s v="Pagamento direto"/>
    <s v="Pagamento direto"/>
    <x v="1"/>
    <s v="N"/>
    <x v="49"/>
    <s v="Basf Sa"/>
    <s v="-"/>
    <s v="-"/>
    <s v="-"/>
    <x v="35"/>
    <s v="-"/>
    <x v="21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4"/>
    <n v="23497134"/>
    <s v="ACC02"/>
    <x v="266"/>
    <d v="2025-08-06T15:36:22"/>
    <x v="0"/>
    <x v="1"/>
    <s v="NQUJHUT"/>
    <s v="SABRE"/>
    <s v="MYAGUSHICU/DANIELA MRS"/>
    <s v="Felipe Anderson da Silva"/>
    <s v="Felipe Anderson da Silva"/>
    <d v="2025-08-06T12:28:00"/>
    <s v="BA0608251442"/>
    <s v="-"/>
    <s v="OFF LINE"/>
    <s v="Pagamento direto"/>
    <s v="Pagamento direto"/>
    <x v="1"/>
    <s v="N"/>
    <x v="49"/>
    <s v="Basf Sa"/>
    <s v="-"/>
    <s v="Lefel Hotel"/>
    <s v="-"/>
    <x v="35"/>
    <s v="-"/>
    <x v="21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5"/>
    <n v="23497135"/>
    <s v="ACC01"/>
    <x v="267"/>
    <d v="2025-08-06T15:36:24"/>
    <x v="0"/>
    <x v="1"/>
    <s v="NQTOPYT"/>
    <s v="SABRE"/>
    <s v="DAMELIO/ALDANA"/>
    <s v="Felipe Anderson da Silva"/>
    <s v="Felipe Anderson da Silva"/>
    <d v="2025-08-06T12:37:00"/>
    <s v="BA0608251444"/>
    <s v="-"/>
    <s v="OFF LINE"/>
    <s v="Pagamento direto"/>
    <s v="Pagamento direto"/>
    <x v="1"/>
    <s v="N"/>
    <x v="49"/>
    <s v="Basf Sa"/>
    <s v="-"/>
    <s v="-"/>
    <s v="-"/>
    <x v="35"/>
    <s v="-"/>
    <x v="21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5"/>
    <n v="23497136"/>
    <s v="ACC02"/>
    <x v="267"/>
    <d v="2025-08-06T15:36:24"/>
    <x v="0"/>
    <x v="1"/>
    <s v="NQTOPYT"/>
    <s v="SABRE"/>
    <s v="DAMELIO/ALDANA"/>
    <s v="Felipe Anderson da Silva"/>
    <s v="Felipe Anderson da Silva"/>
    <d v="2025-08-06T12:37:00"/>
    <s v="BA0608251444"/>
    <s v="-"/>
    <s v="OFF LINE"/>
    <s v="Pagamento direto"/>
    <s v="Pagamento direto"/>
    <x v="1"/>
    <s v="N"/>
    <x v="49"/>
    <s v="Basf Sa"/>
    <s v="-"/>
    <s v="Lefel Hotel"/>
    <s v="-"/>
    <x v="35"/>
    <s v="-"/>
    <x v="21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6"/>
    <n v="23497137"/>
    <s v="ACC01"/>
    <x v="268"/>
    <d v="2025-08-06T15:36:24"/>
    <x v="0"/>
    <x v="1"/>
    <s v="NNPOBOT"/>
    <s v="SABRE"/>
    <s v="CARDOZO/ALEJANDRA"/>
    <s v="Felipe Anderson da Silva"/>
    <s v="Felipe Anderson da Silva"/>
    <d v="2025-08-06T12:40:00"/>
    <s v="BA0608251445"/>
    <s v="-"/>
    <s v="OFF LINE"/>
    <s v="Pagamento direto"/>
    <s v="Pagamento direto"/>
    <x v="1"/>
    <s v="N"/>
    <x v="49"/>
    <s v="Basf Sa"/>
    <s v="-"/>
    <s v="-"/>
    <s v="-"/>
    <x v="35"/>
    <s v="-"/>
    <x v="21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286"/>
    <n v="23497138"/>
    <s v="ACC02"/>
    <x v="268"/>
    <d v="2025-08-06T15:36:24"/>
    <x v="0"/>
    <x v="1"/>
    <s v="NNPOBOT"/>
    <s v="SABRE"/>
    <s v="CARDOZO/ALEJANDRA"/>
    <s v="Felipe Anderson da Silva"/>
    <s v="Felipe Anderson da Silva"/>
    <d v="2025-08-06T12:40:00"/>
    <s v="BA0608251445"/>
    <s v="-"/>
    <s v="OFF LINE"/>
    <s v="Pagamento direto"/>
    <s v="Pagamento direto"/>
    <x v="1"/>
    <s v="N"/>
    <x v="49"/>
    <s v="Basf Sa"/>
    <s v="-"/>
    <s v="Lefel Hotel"/>
    <s v="-"/>
    <x v="35"/>
    <s v="-"/>
    <x v="21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3996"/>
    <n v="23496873"/>
    <s v="ACC01"/>
    <x v="269"/>
    <d v="2025-08-06T14:36:35"/>
    <x v="0"/>
    <x v="1"/>
    <s v="AXKABMC"/>
    <s v="SABRE"/>
    <s v="RIBEIRO/LUIS CESAR MR"/>
    <s v="Felipe Anderson da Silva"/>
    <s v="Felipe Anderson da Silva"/>
    <d v="2025-08-06T12:08:00"/>
    <s v="BA0608251407"/>
    <s v="SAO"/>
    <s v="OFF LINE"/>
    <s v="Invoice"/>
    <s v="Faturado"/>
    <x v="3"/>
    <s v="N"/>
    <x v="49"/>
    <s v="Basf Sa"/>
    <s v="-"/>
    <s v="-"/>
    <s v="-"/>
    <x v="35"/>
    <s v="-"/>
    <x v="212"/>
    <n v="430.82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878"/>
    <n v="23504995"/>
    <s v="ACC01"/>
    <x v="270"/>
    <d v="2025-08-07T18:21:52"/>
    <x v="0"/>
    <x v="1"/>
    <s v="GKUPDG"/>
    <s v="SABRE"/>
    <s v="ROCHA PREVIATTI/DAIANE SILVA"/>
    <s v="Beatrys Ferreira Rocha"/>
    <s v="CT"/>
    <d v="2025-08-07T12:53:00"/>
    <s v="GKUPDG"/>
    <s v="-"/>
    <s v="ON LINE"/>
    <s v="?"/>
    <s v="TKT"/>
    <x v="2"/>
    <s v="N"/>
    <x v="49"/>
    <s v="Basf Sa"/>
    <s v="-"/>
    <s v="Latam Airlines Brasil"/>
    <n v="2971622834"/>
    <x v="35"/>
    <s v="-"/>
    <x v="1"/>
    <n v="0"/>
    <n v="399.42"/>
    <n v="0"/>
    <n v="51.05"/>
    <n v="0"/>
    <n v="0"/>
    <s v="Reserva importada por HubTravel"/>
    <s v="Verificação de bilhetes: Bilhete 2971622834 já sendo utilizado para este fornecedor."/>
    <x v="4"/>
    <x v="3"/>
    <s v="Bilhete Já Contabilizado"/>
    <x v="1"/>
    <s v="Qualidade dos dados"/>
    <s v="GRUPO KONTIK"/>
    <x v="4"/>
  </r>
  <r>
    <n v="22611726"/>
    <n v="23428259"/>
    <s v="ACC01"/>
    <x v="271"/>
    <d v="2025-08-07T15:18:29"/>
    <x v="0"/>
    <x v="5"/>
    <s v="WFODSV"/>
    <s v="SABRE"/>
    <s v="FERNANDES GOMES/FELIPE"/>
    <s v="Beatrys Ferreira Rocha"/>
    <s v="CT"/>
    <d v="2025-07-18T06:24:00"/>
    <s v="WFODSV"/>
    <s v="-"/>
    <s v="ON LINE"/>
    <s v="Cartão de crédito"/>
    <s v="Cartão de crédito"/>
    <x v="2"/>
    <s v="N"/>
    <x v="49"/>
    <s v="Basf Sa"/>
    <s v="-"/>
    <s v="Latam Airlines Brasil"/>
    <n v="2971499806"/>
    <x v="35"/>
    <s v="-"/>
    <x v="213"/>
    <n v="55.65"/>
    <n v="0"/>
    <n v="0"/>
    <n v="55.65"/>
    <n v="0"/>
    <n v="0"/>
    <s v="Reserva importada por HubTravel"/>
    <s v="Verificação de bilhetes: Bilhete 2971499806 já sendo utilizado para este fornecedor."/>
    <x v="4"/>
    <x v="3"/>
    <s v="Bilhete Já Contabilizado"/>
    <x v="1"/>
    <s v="Qualidade dos dados"/>
    <s v="GRUPO KONTIK"/>
    <x v="4"/>
  </r>
  <r>
    <n v="22687781"/>
    <n v="23491421"/>
    <s v="ACC01"/>
    <x v="272"/>
    <d v="2025-08-05T17:50:58"/>
    <x v="1"/>
    <x v="0"/>
    <s v="YSWRGI"/>
    <s v="SABRE"/>
    <s v="MEIRA GUERREIRO/PRISCILA"/>
    <s v="Itamar de Souza"/>
    <s v="CT"/>
    <d v="2025-08-05T13:03:00"/>
    <s v="YSWRGI"/>
    <s v="-"/>
    <s v="ON LINE"/>
    <s v="?"/>
    <s v="TKT"/>
    <x v="2"/>
    <s v="N"/>
    <x v="49"/>
    <s v="Basf Sa"/>
    <s v="-"/>
    <s v="Latam Airlines Brasil"/>
    <n v="2971607845"/>
    <x v="35"/>
    <s v="-"/>
    <x v="1"/>
    <n v="0"/>
    <n v="64.650000000000006"/>
    <n v="0"/>
    <n v="64.650000000000006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10"/>
    <s v="Forma PG. e REC."/>
    <x v="0"/>
    <s v="Qualidade dos dados"/>
    <s v="KONTIK BUSINESS TRAVEL"/>
    <x v="6"/>
  </r>
  <r>
    <n v="22696508"/>
    <n v="23499347"/>
    <s v="ACC01"/>
    <x v="273"/>
    <d v="2025-08-06T19:20:14"/>
    <x v="0"/>
    <x v="1"/>
    <s v="HDLPBN"/>
    <s v="SABRE"/>
    <s v="BRANDA PAULETTI/GIOVANA"/>
    <s v="Itamar de Souza"/>
    <s v="CT"/>
    <d v="2025-08-06T12:11:00"/>
    <s v="HDLPBN"/>
    <s v="-"/>
    <s v="ON LINE"/>
    <s v="?"/>
    <s v="TKT"/>
    <x v="2"/>
    <s v="N"/>
    <x v="49"/>
    <s v="Basf Sa"/>
    <s v="-"/>
    <s v="Latam Airlines Brasil"/>
    <n v="2971622800"/>
    <x v="35"/>
    <s v="-"/>
    <x v="1"/>
    <n v="0"/>
    <n v="450"/>
    <n v="0"/>
    <n v="9.7899999999999991"/>
    <n v="0"/>
    <n v="0"/>
    <s v="Reserva importada por HubTravel"/>
    <s v="Verificação de bilhetes: Bilhete 2971622800 já sendo utilizado para este fornecedor."/>
    <x v="4"/>
    <x v="3"/>
    <s v="Bilhete Já Contabilizado"/>
    <x v="1"/>
    <s v="Qualidade dos dados"/>
    <s v="GRUPO KONTIK"/>
    <x v="4"/>
  </r>
  <r>
    <n v="22699391"/>
    <n v="23501647"/>
    <s v="ACC01"/>
    <x v="274"/>
    <d v="2025-08-07T09:48:45"/>
    <x v="0"/>
    <x v="1"/>
    <s v="GHSNPY"/>
    <s v="SABRE"/>
    <s v="CARVALHO/RENATA  KOBAL CAMPOS DE"/>
    <s v="Felipe Anderson da Silva"/>
    <s v="Felipe Anderson da Silva"/>
    <d v="2025-08-07T06:59:00"/>
    <s v="BA0708250858"/>
    <s v="-"/>
    <s v="OFF LINE"/>
    <s v="Cartão de crédito"/>
    <s v="Cartão AMEX"/>
    <x v="2"/>
    <s v="N"/>
    <x v="49"/>
    <s v="Suvinil"/>
    <s v="-"/>
    <s v="Azul Linhas Aereas"/>
    <n v="7700075052"/>
    <x v="35"/>
    <s v="-"/>
    <x v="214"/>
    <n v="58.8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7"/>
    <s v="Falta de informação Gerencial"/>
    <x v="0"/>
    <s v="Qualidade dos dados"/>
    <s v="KONTIK BUSINESS TRAVEL"/>
    <x v="6"/>
  </r>
  <r>
    <n v="22702888"/>
    <n v="23505006"/>
    <s v="ACC01"/>
    <x v="275"/>
    <d v="2025-08-07T18:27:31"/>
    <x v="0"/>
    <x v="1"/>
    <s v="AMIABWT"/>
    <s v="SABRE"/>
    <s v="RIBEIRO/ALEXANDRE MARQUES MR"/>
    <s v="Marcelo Pereira de Melo"/>
    <s v="Marcelo Pereira de Melo"/>
    <d v="2025-08-07T13:53:00"/>
    <s v="BA07082025"/>
    <s v="-"/>
    <s v="OFF LINE"/>
    <s v="Cartão de crédito"/>
    <s v="Cartão de crédito"/>
    <x v="1"/>
    <s v="N"/>
    <x v="49"/>
    <s v="Basf Sa"/>
    <s v="-"/>
    <s v="-"/>
    <s v="-"/>
    <x v="35"/>
    <s v="-"/>
    <x v="215"/>
    <n v="104.4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909"/>
    <n v="23505027"/>
    <s v="ACC01"/>
    <x v="276"/>
    <d v="2025-08-07T18:36:39"/>
    <x v="0"/>
    <x v="1"/>
    <s v="WXPZXI"/>
    <s v="SABRE"/>
    <s v="SANTANA/ALLYSON DIEGO NUNES"/>
    <s v="Marcelo Pereira de Melo"/>
    <s v="Marcelo Pereira de Melo"/>
    <d v="2025-08-07T15:16:00"/>
    <s v="KMEY2Q"/>
    <s v="-"/>
    <s v="OFF LINE"/>
    <s v="Cartão de crédito"/>
    <s v="Cartão AMEX"/>
    <x v="2"/>
    <s v="N"/>
    <x v="49"/>
    <s v="Basf Sa"/>
    <s v="-"/>
    <s v="Azul Linhas Aereas"/>
    <s v="KMEY2Q"/>
    <x v="35"/>
    <s v="-"/>
    <x v="216"/>
    <n v="900"/>
    <n v="0"/>
    <n v="0"/>
    <n v="0"/>
    <n v="0"/>
    <n v="0"/>
    <s v="Reserva importada por HubTravel"/>
    <s v="Finalidade não preenchida! (ACC01)"/>
    <x v="4"/>
    <x v="9"/>
    <s v="Falta de informação Gerencial"/>
    <x v="0"/>
    <s v="Qualidade dos dados"/>
    <s v="KONTIK BUSINESS TRAVEL"/>
    <x v="6"/>
  </r>
  <r>
    <n v="22686314"/>
    <n v="23490061"/>
    <s v="ACC01"/>
    <x v="277"/>
    <d v="2025-08-05T13:57:25"/>
    <x v="1"/>
    <x v="0"/>
    <s v="CQJFIGC"/>
    <s v="SABRE"/>
    <s v="BORGES/ROBSON JAYME MR"/>
    <s v="Marcelo Pereira de Melo"/>
    <s v="Marcelo Pereira de Melo"/>
    <d v="2025-08-05T09:59:00"/>
    <s v="BA05082025"/>
    <s v="FAR"/>
    <s v="OFF LINE"/>
    <s v="Invoice"/>
    <s v="Faturado"/>
    <x v="3"/>
    <s v="N"/>
    <x v="49"/>
    <s v="Basf Sa"/>
    <s v="-"/>
    <s v="-"/>
    <s v="-"/>
    <x v="35"/>
    <s v="-"/>
    <x v="217"/>
    <n v="521.05999999999995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3010"/>
    <n v="23505127"/>
    <s v="ACC01"/>
    <x v="278"/>
    <d v="2025-08-07T18:36:38"/>
    <x v="0"/>
    <x v="1"/>
    <s v="FAIKKS"/>
    <s v="SABRE"/>
    <s v="DE MELO/KARLA TIEMI OURA ALVE"/>
    <s v="Itamar de Souza"/>
    <s v="Renata Godoy Sant Anna"/>
    <d v="2025-08-07T06:18:00"/>
    <s v="FAIKKS"/>
    <s v="-"/>
    <s v="ON LINE"/>
    <s v="?"/>
    <s v="TKT"/>
    <x v="2"/>
    <s v="N"/>
    <x v="49"/>
    <s v="Basf Sa"/>
    <s v="-"/>
    <s v="Latam Airlines Brasil"/>
    <n v="2971622845"/>
    <x v="35"/>
    <s v="-"/>
    <x v="1"/>
    <n v="0"/>
    <n v="0"/>
    <n v="0"/>
    <n v="16.350000000000001"/>
    <n v="0"/>
    <n v="0"/>
    <s v="Reserva importada por HubTravel"/>
    <s v="Finalidade não preenchida! (ACC02)"/>
    <x v="4"/>
    <x v="9"/>
    <s v="Falta de informação Gerencial"/>
    <x v="0"/>
    <s v="Qualidade dos dados"/>
    <s v="KONTIK BUSINESS TRAVEL"/>
    <x v="6"/>
  </r>
  <r>
    <n v="22703010"/>
    <n v="23505128"/>
    <s v="ACC02"/>
    <x v="278"/>
    <d v="2025-08-07T18:36:38"/>
    <x v="0"/>
    <x v="1"/>
    <s v="FAIKKS"/>
    <s v="SABRE"/>
    <s v="DE MELO/KARLA TIEMI OURA ALVE"/>
    <s v="Itamar de Souza"/>
    <s v="Renata Godoy Sant Anna"/>
    <d v="2025-08-07T06:18:00"/>
    <s v="FAIKKS"/>
    <s v="-"/>
    <s v="ON LINE"/>
    <s v="?"/>
    <s v="TKT"/>
    <x v="2"/>
    <s v="N"/>
    <x v="49"/>
    <s v="Basf Sa"/>
    <s v="-"/>
    <s v="Latam Airlines Brasil"/>
    <n v="2971622845"/>
    <x v="35"/>
    <s v="-"/>
    <x v="1"/>
    <n v="0"/>
    <n v="0"/>
    <n v="0"/>
    <n v="0"/>
    <n v="0"/>
    <n v="0"/>
    <s v="Reserva importada por HubTravel"/>
    <s v="Finalidade não preenchida! (ACC02)"/>
    <x v="4"/>
    <x v="9"/>
    <s v="Falta de informação Gerencial"/>
    <x v="0"/>
    <s v="Qualidade dos dados"/>
    <s v="KONTIK BUSINESS TRAVEL"/>
    <x v="6"/>
  </r>
  <r>
    <n v="22703622"/>
    <n v="23505717"/>
    <s v="ACC01"/>
    <x v="279"/>
    <d v="2025-08-07T19:04:06"/>
    <x v="0"/>
    <x v="1"/>
    <s v="IXFGOA"/>
    <s v="SABRE"/>
    <s v="LOPES/LUIZ HENRIQUE DE CARVAL"/>
    <s v="Itamar de Souza"/>
    <s v="Renata Godoy Sant Anna"/>
    <d v="2025-08-07T06:13:00"/>
    <s v="REM0708251828"/>
    <s v="-"/>
    <s v="OFF LINE"/>
    <s v="?"/>
    <s v="TKT"/>
    <x v="2"/>
    <s v="N"/>
    <x v="49"/>
    <s v="Basf Sa"/>
    <s v="-"/>
    <s v="Latam Airlines Brasil"/>
    <n v="2971606827"/>
    <x v="35"/>
    <s v="-"/>
    <x v="1"/>
    <n v="0"/>
    <n v="0"/>
    <n v="0"/>
    <n v="0"/>
    <n v="0"/>
    <n v="0"/>
    <s v="Reserva importada por HubTravel"/>
    <s v="Verificação de bilhetes: Bilhete 2971606827 já sendo utilizado para este fornecedor."/>
    <x v="4"/>
    <x v="3"/>
    <s v="Bilhete Já Contabilizado"/>
    <x v="1"/>
    <s v="Qualidade dos dados"/>
    <s v="GRUPO KONTIK"/>
    <x v="4"/>
  </r>
  <r>
    <n v="22703625"/>
    <n v="23505721"/>
    <s v="ACC01"/>
    <x v="280"/>
    <d v="2025-08-07T19:04:09"/>
    <x v="0"/>
    <x v="1"/>
    <s v="FAIKKS-1"/>
    <s v="SABRE"/>
    <s v="DE MELO/KARLA TIEMI OURA ALVE"/>
    <s v="Itamar de Souza"/>
    <s v="Renata Godoy Sant Anna"/>
    <d v="2025-08-07T06:18:00"/>
    <s v="REM0708251839"/>
    <s v="-"/>
    <s v="OFF LINE"/>
    <s v="?"/>
    <s v="TKT"/>
    <x v="2"/>
    <s v="N"/>
    <x v="49"/>
    <s v="Basf Sa"/>
    <s v="-"/>
    <s v="Latam Airlines Brasil"/>
    <n v="2971622845"/>
    <x v="35"/>
    <s v="-"/>
    <x v="1"/>
    <n v="0"/>
    <n v="0"/>
    <n v="0"/>
    <n v="16.350000000000001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10"/>
    <s v="Forma PG. e REC."/>
    <x v="0"/>
    <s v="Qualidade dos dados"/>
    <s v="KONTIK BUSINESS TRAVEL"/>
    <x v="6"/>
  </r>
  <r>
    <n v="22703625"/>
    <n v="23505723"/>
    <s v="ACC02"/>
    <x v="280"/>
    <d v="2025-08-07T19:04:09"/>
    <x v="0"/>
    <x v="1"/>
    <s v="FAIKKS-1"/>
    <s v="SABRE"/>
    <s v="DE MELO/KARLA TIEMI OURA ALVE"/>
    <s v="Itamar de Souza"/>
    <s v="Renata Godoy Sant Anna"/>
    <d v="2025-08-07T06:18:00"/>
    <s v="REM0708251839"/>
    <s v="-"/>
    <s v="OFF LINE"/>
    <s v="?"/>
    <s v="TKT"/>
    <x v="2"/>
    <s v="N"/>
    <x v="49"/>
    <s v="Basf Sa"/>
    <s v="-"/>
    <s v="Latam Airlines Brasil"/>
    <n v="2971622845"/>
    <x v="35"/>
    <s v="-"/>
    <x v="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10"/>
    <s v="Forma PG. e REC."/>
    <x v="0"/>
    <s v="Qualidade dos dados"/>
    <s v="KONTIK BUSINESS TRAVEL"/>
    <x v="6"/>
  </r>
  <r>
    <n v="22702914"/>
    <n v="23505033"/>
    <s v="ACC01"/>
    <x v="281"/>
    <d v="2025-08-07T18:31:19"/>
    <x v="0"/>
    <x v="1"/>
    <s v="LZUBCV"/>
    <s v="SABRE"/>
    <s v="DE OLIVEIRA/ANDRE"/>
    <s v="Beatrys Ferreira Rocha"/>
    <s v="Marcelo de Freitas"/>
    <d v="2025-08-06T00:00:00"/>
    <s v="BA0608251144"/>
    <s v="-"/>
    <s v="OFF LINE"/>
    <s v="Cartão de crédito"/>
    <s v="Cartão AMEX"/>
    <x v="2"/>
    <s v="N"/>
    <x v="49"/>
    <s v="Basf Sa"/>
    <s v="-"/>
    <s v="Latam Airlines Brasil"/>
    <n v="2971606798"/>
    <x v="35"/>
    <s v="-"/>
    <x v="218"/>
    <n v="59.54"/>
    <n v="421.08"/>
    <n v="0"/>
    <n v="59.54"/>
    <n v="0"/>
    <n v="0"/>
    <s v="Reserva importada por HubTravel"/>
    <s v="Verificação de bilhetes: Bilhete 2971606798 já sendo utilizado para este fornecedor."/>
    <x v="4"/>
    <x v="3"/>
    <s v="Bilhete Já Contabilizado"/>
    <x v="1"/>
    <s v="Qualidade dos dados"/>
    <s v="GRUPO KONTIK"/>
    <x v="4"/>
  </r>
  <r>
    <n v="22665512"/>
    <n v="23473416"/>
    <s v="ACC01"/>
    <x v="282"/>
    <d v="2025-08-05T07:36:18"/>
    <x v="1"/>
    <x v="4"/>
    <s v="DMAPRQT"/>
    <s v="SABRE"/>
    <s v="GABIN/ADOLFO LUIS MR"/>
    <s v="WS"/>
    <s v="WS"/>
    <d v="2025-07-28T12:31:00"/>
    <s v="DMAPRQ"/>
    <s v="-"/>
    <s v="ON LINE"/>
    <s v="Cartão de crédito"/>
    <s v="Cartão de crédito"/>
    <x v="1"/>
    <s v="N"/>
    <x v="50"/>
    <s v="Chanel"/>
    <s v="-"/>
    <s v="Ruby Claire Hotel &amp; Bar"/>
    <s v="-"/>
    <x v="36"/>
    <s v="-"/>
    <x v="219"/>
    <n v="0"/>
    <n v="0"/>
    <n v="0"/>
    <n v="0"/>
    <n v="0"/>
    <n v="0"/>
    <s v="Reserva importada por HubTravel"/>
    <s v="Centro de custo não preenchido! (ACC01) Matrícula não preenchida! (ACC01)"/>
    <x v="4"/>
    <x v="7"/>
    <s v="Falta de informação Gerencial"/>
    <x v="0"/>
    <s v="Qualidade dos dados"/>
    <s v="KONTIK BUSINESS TRAVEL"/>
    <x v="1"/>
  </r>
  <r>
    <n v="22701932"/>
    <n v="23504080"/>
    <s v="ACC01"/>
    <x v="283"/>
    <d v="2025-08-07T16:18:29"/>
    <x v="0"/>
    <x v="1"/>
    <s v="MQBGBRT"/>
    <s v="SABRE"/>
    <s v="SOUZA DE AGUIAR/HICARO THALES"/>
    <s v="Marcia Pereira dos Santos Soares"/>
    <s v="Marcia Pereira dos Santos Soares"/>
    <d v="2025-08-06T17:08:00"/>
    <s v="MQBGBR"/>
    <s v="-"/>
    <s v="ON LINE"/>
    <s v="Cartão de crédito"/>
    <s v="Cartão de crédito"/>
    <x v="1"/>
    <s v="N"/>
    <x v="50"/>
    <s v="Chanel"/>
    <s v="-"/>
    <s v="Holiday Inn Goiania"/>
    <s v="-"/>
    <x v="36"/>
    <s v="-"/>
    <x v="220"/>
    <n v="70.08"/>
    <n v="0"/>
    <n v="0"/>
    <n v="0"/>
    <n v="0"/>
    <n v="0"/>
    <s v="Reserva importada por HubTravel"/>
    <s v="Centro de custo não preenchido! (ACC01) Matrícula não preenchida! (ACC01)"/>
    <x v="4"/>
    <x v="7"/>
    <s v="Falta de informação Gerencial"/>
    <x v="0"/>
    <s v="Qualidade dos dados"/>
    <s v="KONTIK BUSINESS TRAVEL"/>
    <x v="6"/>
  </r>
  <r>
    <n v="22677867"/>
    <n v="23482464"/>
    <s v="ACC01"/>
    <x v="284"/>
    <d v="2025-08-05T07:36:20"/>
    <x v="1"/>
    <x v="0"/>
    <s v="EZHMTUT"/>
    <s v="SABRE"/>
    <s v="SANTOS GOMES II/LUANA SANTOS GOMES MISS"/>
    <s v="Karen Aparecida Ferreira"/>
    <s v="Karen Aparecida Ferreira"/>
    <d v="2025-08-04T09:24:00"/>
    <s v="NI3107250906"/>
    <s v="-"/>
    <s v="OFF LINE"/>
    <s v="Pagamento direto"/>
    <s v="Pagamento direto"/>
    <x v="1"/>
    <s v="N"/>
    <x v="51"/>
    <s v="Nielseniq do Brasil"/>
    <s v="Cliente FEE no POS"/>
    <s v="Novotel Porto Alegre Airport"/>
    <s v="-"/>
    <x v="37"/>
    <s v="-"/>
    <x v="1"/>
    <n v="0"/>
    <n v="0"/>
    <n v="0"/>
    <n v="0"/>
    <n v="0"/>
    <n v="0"/>
    <s v="Reserva importada por HubTravel"/>
    <s v="Este cliente não possui permissão para usar este tipo de pagamento e recebimento para este produto."/>
    <x v="4"/>
    <x v="11"/>
    <s v="Forma PG. e REC."/>
    <x v="0"/>
    <s v="Sistêmico"/>
    <s v="GRUPO KONTIK"/>
    <x v="8"/>
  </r>
  <r>
    <n v="22677868"/>
    <n v="23482465"/>
    <s v="ACC01"/>
    <x v="285"/>
    <d v="2025-08-05T07:36:20"/>
    <x v="1"/>
    <x v="0"/>
    <s v="QLJMYNT"/>
    <s v="SABRE"/>
    <s v="JOSE CRISPIM/FABRICIO"/>
    <s v="Karen Aparecida Ferreira"/>
    <s v="Karen Aparecida Ferreira"/>
    <d v="2025-08-04T09:30:00"/>
    <s v="NI3107250942"/>
    <s v="-"/>
    <s v="OFF LINE"/>
    <s v="Pagamento direto"/>
    <s v="Pagamento direto"/>
    <x v="1"/>
    <s v="N"/>
    <x v="51"/>
    <s v="Nielseniq do Brasil"/>
    <s v="Cliente FEE no POS"/>
    <s v="Novotel Porto Alegre Airport"/>
    <s v="-"/>
    <x v="37"/>
    <s v="-"/>
    <x v="1"/>
    <n v="0"/>
    <n v="0"/>
    <n v="0"/>
    <n v="0"/>
    <n v="0"/>
    <n v="0"/>
    <s v="Reserva importada por HubTravel"/>
    <s v="Este cliente não possui permissão para usar este tipo de pagamento e recebimento para este produto."/>
    <x v="4"/>
    <x v="11"/>
    <s v="Forma PG. e REC."/>
    <x v="0"/>
    <s v="Sistêmico"/>
    <s v="GRUPO KONTIK"/>
    <x v="8"/>
  </r>
  <r>
    <n v="22639240"/>
    <n v="23450273"/>
    <s v="ACC01"/>
    <x v="286"/>
    <d v="2025-07-28T16:36:05"/>
    <x v="2"/>
    <x v="2"/>
    <s v="WLHAOCT"/>
    <s v="SABRE"/>
    <s v="COSTA/MARCOS ROGERIO MR"/>
    <s v="Eliane da Silva Souza Paula"/>
    <s v="Eliane da Silva Souza Paula"/>
    <d v="2025-07-28T13:35:00"/>
    <s v="LU"/>
    <s v="-"/>
    <s v="OFF LINE"/>
    <s v="Invoice"/>
    <s v="Faturado"/>
    <x v="1"/>
    <s v="N"/>
    <x v="52"/>
    <s v="Sibelco - Pedra do Indaia - Matriz"/>
    <s v="-"/>
    <s v="-"/>
    <s v="-"/>
    <x v="38"/>
    <s v="-"/>
    <x v="22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63487"/>
    <n v="23471535"/>
    <s v="ACC01"/>
    <x v="287"/>
    <d v="2025-08-05T07:33:41"/>
    <x v="1"/>
    <x v="4"/>
    <s v="EVWVYE"/>
    <s v="SABRE"/>
    <s v="DA SILVA/RODRIGO"/>
    <s v="WS"/>
    <s v="WS"/>
    <d v="2025-07-31T17:06:00"/>
    <s v="EVWVYE"/>
    <s v="-"/>
    <s v="ON LINE"/>
    <s v="Cartão de crédito"/>
    <s v="Cartão de crédito"/>
    <x v="2"/>
    <s v="N"/>
    <x v="53"/>
    <s v="Sep Global Informacoes do Brasil Ltda"/>
    <s v="Cliente FEE no POS"/>
    <s v="Gol Linhas Aereas"/>
    <n v="2142457250"/>
    <x v="39"/>
    <s v="-"/>
    <x v="1"/>
    <n v="0"/>
    <n v="0"/>
    <n v="0"/>
    <n v="0"/>
    <n v="0"/>
    <n v="0"/>
    <s v="Reserva importada por HubTravel"/>
    <s v="Tarifa máxima não preenchida! (ACC01) Finalidade não preenchida! (ACC01)"/>
    <x v="4"/>
    <x v="7"/>
    <s v="Falta de informação Gerencial"/>
    <x v="0"/>
    <s v="Qualidade dos dados"/>
    <s v="KONTIK BUSINESS TRAVEL"/>
    <x v="1"/>
  </r>
  <r>
    <n v="22666258"/>
    <n v="23474104"/>
    <s v="ACC01"/>
    <x v="288"/>
    <d v="2025-08-05T07:33:43"/>
    <x v="1"/>
    <x v="4"/>
    <s v="AMPJWB"/>
    <s v="SABRE"/>
    <s v="SILVA/ANNE MS"/>
    <s v="WS"/>
    <s v="WS"/>
    <d v="2025-08-01T14:29:00"/>
    <s v="AMPJWB"/>
    <s v="-"/>
    <s v="ON LINE"/>
    <s v="Cartão de crédito"/>
    <s v="Cartão de crédito"/>
    <x v="2"/>
    <s v="N"/>
    <x v="53"/>
    <s v="Sep Global Informacoes do Brasil Ltda"/>
    <s v="Cliente FEE no POS"/>
    <s v="Gol Linhas Aereas"/>
    <n v="214509971"/>
    <x v="39"/>
    <s v="-"/>
    <x v="1"/>
    <n v="0"/>
    <n v="0"/>
    <n v="0"/>
    <n v="0"/>
    <n v="0"/>
    <n v="0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701015"/>
    <n v="23503212"/>
    <s v="ACC01"/>
    <x v="289"/>
    <d v="2025-08-08T05:24:24"/>
    <x v="0"/>
    <x v="1"/>
    <s v="OZGZRD"/>
    <s v="SABRE"/>
    <s v="MONTEIRO LOPES/JOAO VITOR"/>
    <s v="WS"/>
    <s v="WS"/>
    <d v="2025-08-06T21:56:00"/>
    <s v="OZGZRD"/>
    <s v="-"/>
    <s v="ON LINE"/>
    <s v="Cartão de crédito"/>
    <s v="Cartão de crédito"/>
    <x v="2"/>
    <s v="N"/>
    <x v="53"/>
    <s v="Ihs Informacoes Rio de Janeiro"/>
    <s v="Cliente FEE no POS"/>
    <s v="Gol Linhas Aereas"/>
    <n v="2142860774"/>
    <x v="39"/>
    <s v="-"/>
    <x v="1"/>
    <n v="0"/>
    <n v="0"/>
    <n v="0"/>
    <n v="0"/>
    <n v="0"/>
    <n v="0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703434"/>
    <n v="23505533"/>
    <s v="ACC01"/>
    <x v="290"/>
    <d v="2025-08-08T05:48:40"/>
    <x v="0"/>
    <x v="1"/>
    <s v="ITRJBM"/>
    <s v="SABRE"/>
    <s v="DE ANDRADE BALTIERI/BEATRIZ"/>
    <s v="WS"/>
    <s v="WS"/>
    <d v="2025-08-07T16:00:00"/>
    <s v="ITRJBM"/>
    <s v="-"/>
    <s v="ON LINE"/>
    <s v="Cartão de crédito"/>
    <s v="Cartão de crédito"/>
    <x v="2"/>
    <s v="N"/>
    <x v="53"/>
    <s v="Sep Global Informacoes do Brasil Ltda"/>
    <s v="Cliente FEE no POS"/>
    <s v="Gol Linhas Aereas"/>
    <n v="2142913928"/>
    <x v="39"/>
    <s v="-"/>
    <x v="1"/>
    <n v="0"/>
    <n v="0"/>
    <n v="0"/>
    <n v="0"/>
    <n v="0"/>
    <n v="0"/>
    <s v="Reserva importada por HubTravel"/>
    <s v="Tarifa máxima não preenchida! (ACC01)"/>
    <x v="4"/>
    <x v="15"/>
    <s v="Falta de informação Gerencial"/>
    <x v="0"/>
    <s v="Qualidade dos dados"/>
    <s v="KONTIK BUSINESS TRAVEL"/>
    <x v="1"/>
  </r>
  <r>
    <n v="22694925"/>
    <n v="23497775"/>
    <s v="ACC01"/>
    <x v="291"/>
    <d v="2025-08-06T17:13:09"/>
    <x v="0"/>
    <x v="1"/>
    <s v="KUZHSPT"/>
    <s v="SABRE"/>
    <s v="ALBUQUERQUE/GABRIEL"/>
    <s v="Marcia Pereira dos Santos Soares"/>
    <s v="Marcia Pereira dos Santos Soares"/>
    <d v="2025-08-06T10:50:00"/>
    <s v="SP0608251610"/>
    <s v="-"/>
    <s v="OFF LINE"/>
    <s v="Invoice"/>
    <s v="Faturado"/>
    <x v="1"/>
    <s v="N"/>
    <x v="53"/>
    <s v="Sep Global Informacoes do Brasil Ltda"/>
    <s v="Cliente FEE no POS"/>
    <s v="-"/>
    <s v="-"/>
    <x v="39"/>
    <s v="-"/>
    <x v="21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46034"/>
    <n v="23456182"/>
    <s v="ACC01"/>
    <x v="292"/>
    <d v="2025-07-29T16:51:07"/>
    <x v="2"/>
    <x v="2"/>
    <n v="19351827"/>
    <s v="GOVER"/>
    <s v="Gustavo FRANCA"/>
    <s v="Gover"/>
    <s v="Gover"/>
    <d v="2025-07-29T14:00:00"/>
    <n v="4573938"/>
    <s v="-"/>
    <s v="OFF LINE"/>
    <s v="Invoice"/>
    <s v="Faturado"/>
    <x v="1"/>
    <s v="N"/>
    <x v="54"/>
    <s v="Arcadis"/>
    <s v="-"/>
    <s v="Mhajol Plaza Hotel"/>
    <s v="-"/>
    <x v="40"/>
    <s v="-"/>
    <x v="222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x v="6"/>
    <x v="0"/>
    <s v="Análise Cadastro"/>
    <x v="0"/>
    <s v="Qualidade dos dados"/>
    <s v="KONTIK BUSINESS TRAVEL"/>
    <x v="1"/>
  </r>
  <r>
    <n v="22646070"/>
    <n v="23456209"/>
    <s v="ACC01"/>
    <x v="293"/>
    <d v="2025-07-29T16:51:25"/>
    <x v="2"/>
    <x v="2"/>
    <n v="19352264"/>
    <s v="GOVER"/>
    <s v="Ana B CONCEICAO DE AMORIM COELHO"/>
    <s v="Gover"/>
    <s v="Gover"/>
    <d v="2025-07-29T14:10:00"/>
    <n v="4573950"/>
    <s v="-"/>
    <s v="OFF LINE"/>
    <s v="Invoice"/>
    <s v="Faturado"/>
    <x v="1"/>
    <s v="N"/>
    <x v="54"/>
    <s v="Arcadis"/>
    <s v="-"/>
    <s v="Mhajol Plaza Hotel"/>
    <s v="-"/>
    <x v="40"/>
    <s v="-"/>
    <x v="222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x v="6"/>
    <x v="0"/>
    <s v="Análise Cadastro"/>
    <x v="0"/>
    <s v="Qualidade dos dados"/>
    <s v="KONTIK BUSINESS TRAVEL"/>
    <x v="1"/>
  </r>
  <r>
    <n v="22685472"/>
    <n v="23489284"/>
    <s v="ACC01"/>
    <x v="294"/>
    <d v="2025-08-05T12:31:56"/>
    <x v="1"/>
    <x v="0"/>
    <s v="H4575738"/>
    <s v="GOVER"/>
    <s v="Antonio INOCENCIO"/>
    <s v="Mayara de Oliveira Alencar"/>
    <s v="Mayara de Oliveira Alencar"/>
    <d v="2025-08-06T11:55:00"/>
    <n v="4575738"/>
    <s v="-"/>
    <s v="OFF LINE"/>
    <s v="Invoice"/>
    <s v="Faturado"/>
    <x v="1"/>
    <s v="N"/>
    <x v="54"/>
    <s v="Arcadis"/>
    <s v="-"/>
    <s v="-"/>
    <s v="-"/>
    <x v="40"/>
    <s v="-"/>
    <x v="223"/>
    <n v="0"/>
    <n v="0"/>
    <n v="0"/>
    <n v="0"/>
    <n v="0"/>
    <n v="0"/>
    <s v="Reserva importada do sistema Gover. Id: 4575738"/>
    <s v="Fornecedor não preenchido! (ACC01)"/>
    <x v="6"/>
    <x v="1"/>
    <s v="Campo Fornecedor"/>
    <x v="0"/>
    <s v="Sistêmico"/>
    <s v="GRUPO KONTIK"/>
    <x v="8"/>
  </r>
  <r>
    <n v="22694030"/>
    <n v="23496902"/>
    <s v="ACC01"/>
    <x v="295"/>
    <d v="2025-08-06T14:41:07"/>
    <x v="0"/>
    <x v="1"/>
    <s v="H4577238"/>
    <s v="GOVER"/>
    <s v="Leonardo CORDEIRO"/>
    <s v="Mayara de Oliveira Alencar"/>
    <s v="Mayara de Oliveira Alencar"/>
    <d v="2025-08-06T14:27:00"/>
    <n v="4577238"/>
    <s v="-"/>
    <s v="OFF LINE"/>
    <s v="Invoice"/>
    <s v="Faturado"/>
    <x v="1"/>
    <s v="N"/>
    <x v="54"/>
    <s v="Arcadis"/>
    <s v="-"/>
    <s v="-"/>
    <s v="-"/>
    <x v="40"/>
    <s v="-"/>
    <x v="224"/>
    <n v="0"/>
    <n v="0"/>
    <n v="0"/>
    <n v="0"/>
    <n v="0"/>
    <n v="0"/>
    <s v="Reserva importada do sistema Gover. Id: 4577238"/>
    <s v="Fornecedor não preenchido! (ACC01)"/>
    <x v="6"/>
    <x v="1"/>
    <s v="Campo Fornecedor"/>
    <x v="0"/>
    <s v="Sistêmico"/>
    <s v="GRUPO KONTIK"/>
    <x v="8"/>
  </r>
  <r>
    <n v="22687912"/>
    <n v="23491564"/>
    <s v="ACC01"/>
    <x v="296"/>
    <d v="2025-08-05T18:21:14"/>
    <x v="1"/>
    <x v="0"/>
    <s v="5F6N7L"/>
    <s v="TMS"/>
    <s v="ADRIANO SILVA"/>
    <s v="BEATRYZ DA SILVA COSTA"/>
    <s v="BEATRYZ DA SILVA COSTA"/>
    <d v="2025-08-05T15:46:00"/>
    <n v="80263"/>
    <s v="-"/>
    <s v="ON LINE"/>
    <s v="Pagamento direto"/>
    <s v="Pagamento direto"/>
    <x v="1"/>
    <s v="N"/>
    <x v="1"/>
    <s v="Ache Laboratorios Farmaceuticos Sa"/>
    <s v="-"/>
    <s v="-"/>
    <s v="-"/>
    <x v="41"/>
    <s v="-"/>
    <x v="225"/>
    <n v="0"/>
    <n v="0"/>
    <n v="0"/>
    <n v="0"/>
    <n v="0"/>
    <n v="0"/>
    <s v="Reserva importada do Sistema TMS. OS: 80263"/>
    <s v="Fornecedor não preenchido! (ACC01)"/>
    <x v="1"/>
    <x v="1"/>
    <s v="Campo Fornecedor"/>
    <x v="0"/>
    <s v="Sistêmico"/>
    <s v="GRUPO KONTIK"/>
    <x v="8"/>
  </r>
  <r>
    <n v="22695418"/>
    <n v="23498275"/>
    <s v="ACC01"/>
    <x v="297"/>
    <d v="2025-08-06T18:31:58"/>
    <x v="0"/>
    <x v="1"/>
    <s v="5G58HZ"/>
    <s v="TMS"/>
    <s v="JOSE AZEVEDO"/>
    <s v="Jessica Soares Teixeira"/>
    <s v="Jessica Soares Teixeira"/>
    <d v="2025-08-06T14:59:00"/>
    <n v="79691"/>
    <s v="-"/>
    <s v="OFF LINE"/>
    <s v="Pagamento direto"/>
    <s v="Pagamento direto"/>
    <x v="1"/>
    <s v="N"/>
    <x v="1"/>
    <s v="Ache Laboratorios Farmaceuticos Sa"/>
    <s v="-"/>
    <s v="-"/>
    <s v="-"/>
    <x v="41"/>
    <s v="-"/>
    <x v="226"/>
    <n v="0"/>
    <n v="0"/>
    <n v="0"/>
    <n v="0"/>
    <n v="0"/>
    <n v="0"/>
    <s v="Reserva importada do Sistema TMS. OS: 79691"/>
    <s v="Fornecedor não preenchido! (ACC01)"/>
    <x v="1"/>
    <x v="1"/>
    <s v="Campo Fornecedor"/>
    <x v="0"/>
    <s v="Qualidade dos dados"/>
    <s v="KONTIK BUSINESS TRAVEL"/>
    <x v="1"/>
  </r>
  <r>
    <n v="22702771"/>
    <n v="23504897"/>
    <s v="ACC01"/>
    <x v="298"/>
    <d v="2025-08-07T18:31:17"/>
    <x v="0"/>
    <x v="1"/>
    <s v="5G6GDC"/>
    <s v="TMS"/>
    <s v="ISAIAS ALVES"/>
    <s v="Jessica Soares Teixeira"/>
    <s v="Jessica Soares Teixeira"/>
    <d v="2025-08-07T15:05:00"/>
    <n v="79890"/>
    <s v="-"/>
    <s v="OFF LINE"/>
    <s v="Pagamento direto"/>
    <s v="Pagamento direto"/>
    <x v="1"/>
    <s v="N"/>
    <x v="1"/>
    <s v="Ache Laboratorios Farmaceuticos Sa"/>
    <s v="-"/>
    <s v="-"/>
    <s v="-"/>
    <x v="41"/>
    <s v="-"/>
    <x v="227"/>
    <n v="0"/>
    <n v="0"/>
    <n v="0"/>
    <n v="0"/>
    <n v="32"/>
    <n v="0"/>
    <s v="Reserva importada do Sistema TMS. OS: 79890"/>
    <s v="Fornecedor não preenchido! (ACC01)"/>
    <x v="1"/>
    <x v="1"/>
    <s v="Campo Fornecedor"/>
    <x v="0"/>
    <s v="Qualidade dos dados"/>
    <s v="KONTIK BUSINESS TRAVEL"/>
    <x v="1"/>
  </r>
  <r>
    <n v="22705909"/>
    <n v="23507540"/>
    <s v="ACC01"/>
    <x v="299"/>
    <d v="2025-08-08T06:05:54"/>
    <x v="0"/>
    <x v="1"/>
    <s v="5GCYPV"/>
    <s v="TMS"/>
    <s v="ANCHELIDA RIBEIRO"/>
    <s v="Tms"/>
    <s v="Tms"/>
    <d v="2025-08-07T18:28:00"/>
    <n v="80760"/>
    <s v="-"/>
    <s v="ON LINE"/>
    <s v="Pagamento direto"/>
    <s v="Pagamento direto"/>
    <x v="1"/>
    <s v="N"/>
    <x v="1"/>
    <s v="Ache Laboratorios Farmaceuticos Sa"/>
    <s v="-"/>
    <s v="-"/>
    <s v="-"/>
    <x v="41"/>
    <s v="-"/>
    <x v="228"/>
    <n v="0"/>
    <n v="0"/>
    <n v="0"/>
    <n v="0"/>
    <n v="8.61"/>
    <n v="0"/>
    <s v="Reserva importada do Sistema TMS. OS: 80760"/>
    <s v="Fornecedor não preenchido! (ACC01)"/>
    <x v="1"/>
    <x v="1"/>
    <s v="Campo Fornecedor"/>
    <x v="0"/>
    <s v="Sistêmico"/>
    <s v="GRUPO KONTIK"/>
    <x v="8"/>
  </r>
  <r>
    <n v="22705927"/>
    <n v="23507556"/>
    <s v="ACC01"/>
    <x v="300"/>
    <d v="2025-08-08T06:06:36"/>
    <x v="0"/>
    <x v="1"/>
    <s v="5GQJM4"/>
    <s v="TMS"/>
    <s v="CLICIA CARVALHO"/>
    <s v="Tms"/>
    <s v="Tms"/>
    <d v="2025-08-07T18:57:00"/>
    <n v="79778"/>
    <s v="-"/>
    <s v="ON LINE"/>
    <s v="Pagamento direto"/>
    <s v="Pagamento direto"/>
    <x v="1"/>
    <s v="N"/>
    <x v="1"/>
    <s v="Ache Laboratorios Farmaceuticos Sa"/>
    <s v="-"/>
    <s v="-"/>
    <s v="-"/>
    <x v="41"/>
    <s v="-"/>
    <x v="173"/>
    <n v="0"/>
    <n v="0"/>
    <n v="0"/>
    <n v="0"/>
    <n v="0"/>
    <n v="0"/>
    <s v="Reserva importada do Sistema TMS. OS: 79778"/>
    <s v="Fornecedor não preenchido! (ACC01)"/>
    <x v="1"/>
    <x v="1"/>
    <s v="Campo Fornecedor"/>
    <x v="0"/>
    <s v="Sistêmico"/>
    <s v="GRUPO KONTIK"/>
    <x v="8"/>
  </r>
  <r>
    <n v="22705931"/>
    <n v="23507560"/>
    <s v="ACC01"/>
    <x v="301"/>
    <d v="2025-08-08T06:06:53"/>
    <x v="0"/>
    <x v="1"/>
    <s v="5G5UP4"/>
    <s v="TMS"/>
    <s v="CLICIA CARVALHO"/>
    <s v="Tms"/>
    <s v="Tms"/>
    <d v="2025-08-07T18:57:00"/>
    <n v="79774"/>
    <s v="-"/>
    <s v="ON LINE"/>
    <s v="Pagamento direto"/>
    <s v="Pagamento direto"/>
    <x v="1"/>
    <s v="N"/>
    <x v="1"/>
    <s v="Ache Laboratorios Farmaceuticos Sa"/>
    <s v="-"/>
    <s v="-"/>
    <s v="-"/>
    <x v="41"/>
    <s v="-"/>
    <x v="173"/>
    <n v="0"/>
    <n v="0"/>
    <n v="0"/>
    <n v="0"/>
    <n v="0"/>
    <n v="0"/>
    <s v="Reserva importada do Sistema TMS. OS: 79774"/>
    <s v="Fornecedor não preenchido! (ACC01)"/>
    <x v="1"/>
    <x v="1"/>
    <s v="Campo Fornecedor"/>
    <x v="0"/>
    <s v="Sistêmico"/>
    <s v="GRUPO KONTIK"/>
    <x v="8"/>
  </r>
  <r>
    <n v="22677992"/>
    <n v="23482583"/>
    <s v="ACC01"/>
    <x v="302"/>
    <d v="2025-08-04T12:05:36"/>
    <x v="1"/>
    <x v="0"/>
    <s v="5FIECU"/>
    <s v="TMS"/>
    <s v="MARCELO ALMEIDA"/>
    <s v="Tms"/>
    <s v="Tms"/>
    <d v="2025-08-04T11:57:00"/>
    <n v="79965"/>
    <s v="-"/>
    <s v="ON LINE"/>
    <s v="Pagamento direto"/>
    <s v="Pagamento direto"/>
    <x v="1"/>
    <s v="N"/>
    <x v="1"/>
    <s v="Ache Laboratorios Farmaceuticos Sa"/>
    <s v="-"/>
    <s v="-"/>
    <s v="-"/>
    <x v="41"/>
    <s v="-"/>
    <x v="170"/>
    <n v="0"/>
    <n v="0"/>
    <n v="0"/>
    <n v="0"/>
    <n v="0"/>
    <n v="0"/>
    <s v="Reserva importada do Sistema TMS. OS: 79965"/>
    <s v="Fornecedor não preenchido! (ACC01)"/>
    <x v="1"/>
    <x v="1"/>
    <s v="Campo Fornecedor"/>
    <x v="0"/>
    <s v="Sistêmico"/>
    <s v="GRUPO KONTIK"/>
    <x v="8"/>
  </r>
  <r>
    <n v="22680436"/>
    <n v="23484905"/>
    <s v="ACC01"/>
    <x v="303"/>
    <d v="2025-08-04T18:15:54"/>
    <x v="1"/>
    <x v="0"/>
    <s v="5FYE0K"/>
    <s v="TMS"/>
    <s v="MERIELEN SILVA"/>
    <s v="Mauricio Almeida de Lima"/>
    <s v="Mauricio Almeida de Lima"/>
    <d v="2025-08-04T14:36:00"/>
    <n v="79826"/>
    <s v="-"/>
    <s v="OFF LINE"/>
    <s v="Pagamento direto"/>
    <s v="Pagamento direto"/>
    <x v="1"/>
    <s v="N"/>
    <x v="1"/>
    <s v="Ache Laboratorios Farmaceuticos Sa"/>
    <s v="-"/>
    <s v="-"/>
    <s v="-"/>
    <x v="41"/>
    <s v="-"/>
    <x v="229"/>
    <n v="0"/>
    <n v="0"/>
    <n v="0"/>
    <n v="0"/>
    <n v="0"/>
    <n v="0"/>
    <s v="Reserva importada do Sistema TMS. OS: 79826"/>
    <s v="Fornecedor não preenchido! (ACC01)"/>
    <x v="1"/>
    <x v="1"/>
    <s v="Campo Fornecedor"/>
    <x v="0"/>
    <s v="Qualidade dos dados"/>
    <s v="KONTIK BUSINESS TRAVEL"/>
    <x v="1"/>
  </r>
  <r>
    <n v="22702713"/>
    <n v="23504838"/>
    <s v="ACC01"/>
    <x v="304"/>
    <d v="2025-08-07T18:18:00"/>
    <x v="0"/>
    <x v="1"/>
    <s v="5GJBEC"/>
    <s v="TMS"/>
    <s v="ANA DIAS"/>
    <s v="Maria Clara Landeira Mezavila"/>
    <s v="Maria Clara Landeira Mezavila"/>
    <d v="2025-08-07T17:40:00"/>
    <n v="80526"/>
    <s v="-"/>
    <s v="OFF LINE"/>
    <s v="Pagamento direto"/>
    <s v="Pagamento direto"/>
    <x v="1"/>
    <s v="N"/>
    <x v="1"/>
    <s v="Ache Laboratorios Farmaceuticos Sa"/>
    <s v="-"/>
    <s v="-"/>
    <s v="-"/>
    <x v="41"/>
    <s v="-"/>
    <x v="227"/>
    <n v="0"/>
    <n v="0"/>
    <n v="0"/>
    <n v="0"/>
    <n v="32"/>
    <n v="0"/>
    <s v="Reserva importada do Sistema TMS. OS: 80526"/>
    <s v="Fornecedor não preenchido! (ACC01)"/>
    <x v="1"/>
    <x v="1"/>
    <s v="Campo Fornecedor"/>
    <x v="0"/>
    <s v="Qualidade dos dados"/>
    <s v="KONTIK BUSINESS TRAVEL"/>
    <x v="1"/>
  </r>
  <r>
    <n v="22702790"/>
    <n v="23504914"/>
    <s v="ACC01"/>
    <x v="305"/>
    <d v="2025-08-07T18:32:50"/>
    <x v="0"/>
    <x v="1"/>
    <s v="5GLHCD"/>
    <s v="TMS"/>
    <s v="ASSIS MONTI NETO"/>
    <s v="Giovanna Duarte Pereira"/>
    <s v="Giovanna Duarte Pereira"/>
    <d v="2025-08-07T13:44:00"/>
    <n v="79043"/>
    <s v="-"/>
    <s v="OFF LINE"/>
    <s v="Pagamento direto"/>
    <s v="Pagamento direto"/>
    <x v="1"/>
    <s v="N"/>
    <x v="1"/>
    <s v="Ache Laboratorios Farmaceuticos Sa"/>
    <s v="-"/>
    <s v="-"/>
    <s v="-"/>
    <x v="41"/>
    <s v="-"/>
    <x v="230"/>
    <n v="0"/>
    <n v="0"/>
    <n v="0"/>
    <n v="0"/>
    <n v="0"/>
    <n v="0"/>
    <s v="Reserva importada do Sistema TMS. OS: 79043"/>
    <s v="Fornecedor não preenchido! (ACC01)"/>
    <x v="1"/>
    <x v="1"/>
    <s v="Campo Fornecedor"/>
    <x v="0"/>
    <s v="Qualidade dos dados"/>
    <s v="KONTIK BUSINESS TRAVEL"/>
    <x v="1"/>
  </r>
  <r>
    <n v="22682820"/>
    <n v="23487170"/>
    <s v="ACC01"/>
    <x v="306"/>
    <d v="2025-08-05T00:06:27"/>
    <x v="1"/>
    <x v="0"/>
    <s v="5F9PJK"/>
    <s v="TMS"/>
    <s v="MARIELLE SILVA"/>
    <s v="Tms"/>
    <s v="Tms"/>
    <d v="2025-08-04T19:14:00"/>
    <n v="80108"/>
    <s v="-"/>
    <s v="ON LINE"/>
    <s v="Pagamento direto"/>
    <s v="Pagamento direto"/>
    <x v="1"/>
    <s v="N"/>
    <x v="1"/>
    <s v="Ache Laboratorios Farmaceuticos Sa"/>
    <s v="-"/>
    <s v="-"/>
    <s v="-"/>
    <x v="41"/>
    <s v="-"/>
    <x v="231"/>
    <n v="0"/>
    <n v="0"/>
    <n v="0"/>
    <n v="0"/>
    <n v="0"/>
    <n v="0"/>
    <s v="Reserva importada do Sistema TMS. OS: 80108"/>
    <s v="Fornecedor não preenchido! (ACC01)"/>
    <x v="1"/>
    <x v="1"/>
    <s v="Campo Fornecedor"/>
    <x v="0"/>
    <s v="Sistêmico"/>
    <s v="GRUPO KONTIK"/>
    <x v="8"/>
  </r>
  <r>
    <n v="22678508"/>
    <n v="23483080"/>
    <s v="ACC01"/>
    <x v="307"/>
    <d v="2025-08-04T13:03:21"/>
    <x v="1"/>
    <x v="0"/>
    <s v="5FG0H7"/>
    <s v="TMS"/>
    <s v="MARCELO DE ALENCAR"/>
    <s v="Tms"/>
    <s v="Tms"/>
    <d v="2025-08-04T09:54:00"/>
    <n v="21822"/>
    <s v="-"/>
    <s v="ON LINE"/>
    <s v="Cartão de crédito"/>
    <s v="Cartão de crédito"/>
    <x v="1"/>
    <s v="N"/>
    <x v="55"/>
    <s v="Saira Transmissora"/>
    <s v="-"/>
    <s v="-"/>
    <s v="-"/>
    <x v="42"/>
    <s v="-"/>
    <x v="232"/>
    <n v="0"/>
    <n v="0"/>
    <n v="0"/>
    <n v="0"/>
    <n v="0"/>
    <n v="0"/>
    <s v="Reserva importada do Sistema TMS. OS: 21822"/>
    <s v="Fornecedor não preenchido! (ACC01)"/>
    <x v="1"/>
    <x v="1"/>
    <s v="Campo Fornecedor"/>
    <x v="0"/>
    <s v="Sistêmico"/>
    <s v="GRUPO KONTIK"/>
    <x v="8"/>
  </r>
  <r>
    <n v="22688697"/>
    <n v="23492340"/>
    <s v="ACC01"/>
    <x v="308"/>
    <d v="2025-08-05T19:04:13"/>
    <x v="1"/>
    <x v="0"/>
    <s v="GAQTUR2"/>
    <s v="TMS"/>
    <s v="JORGE TEIXEIRA LOURENCO"/>
    <s v="Michelly Andrade Leandro da Silva"/>
    <s v="Michelly Andrade Leandro da Silva"/>
    <d v="2025-08-05T13:42:00"/>
    <n v="21209"/>
    <s v="-"/>
    <s v="ON LINE"/>
    <s v="Cartão de crédito"/>
    <s v="Cartão AMEX"/>
    <x v="2"/>
    <s v="N"/>
    <x v="55"/>
    <s v="Sao Pedro"/>
    <s v="-"/>
    <s v="Gol Linhas Aereas"/>
    <n v="2142011770"/>
    <x v="42"/>
    <s v="-"/>
    <x v="233"/>
    <n v="0"/>
    <n v="0"/>
    <n v="0"/>
    <n v="0"/>
    <n v="0"/>
    <n v="0"/>
    <s v="Reserva importada do Sistema TMS. OS: 21209"/>
    <s v="Verificação de bilhetes: Bilhete 2142011770 já sendo utilizado para este fornecedor."/>
    <x v="1"/>
    <x v="3"/>
    <s v="Bilhete Já Contabilizado"/>
    <x v="1"/>
    <s v="Qualidade dos dados"/>
    <s v="GRUPO KONTIK"/>
    <x v="4"/>
  </r>
  <r>
    <n v="22703692"/>
    <n v="23505788"/>
    <s v="ACC01"/>
    <x v="309"/>
    <d v="2025-08-07T19:55:12"/>
    <x v="0"/>
    <x v="1"/>
    <s v="5GF9UE"/>
    <s v="TMS"/>
    <s v="SHEILA SAMPAIO DE SOUZA"/>
    <s v="Tms"/>
    <s v="Tms"/>
    <d v="2025-08-07T15:59:00"/>
    <n v="22132"/>
    <s v="-"/>
    <s v="ON LINE"/>
    <s v="Cartão de crédito"/>
    <s v="Cartão de crédito"/>
    <x v="1"/>
    <s v="N"/>
    <x v="55"/>
    <s v="Taesa Matriz"/>
    <s v="-"/>
    <s v="-"/>
    <s v="-"/>
    <x v="42"/>
    <s v="-"/>
    <x v="234"/>
    <n v="0"/>
    <n v="0"/>
    <n v="0"/>
    <n v="0"/>
    <n v="0"/>
    <n v="0"/>
    <s v="Reserva importada do Sistema TMS. OS: 22132"/>
    <s v="Fornecedor não preenchido! (ACC01)"/>
    <x v="1"/>
    <x v="1"/>
    <s v="Campo Fornecedor"/>
    <x v="0"/>
    <s v="Sistêmico"/>
    <s v="GRUPO KONTIK"/>
    <x v="8"/>
  </r>
  <r>
    <n v="22703730"/>
    <n v="23505818"/>
    <s v="ACC01"/>
    <x v="310"/>
    <d v="2025-08-07T19:56:37"/>
    <x v="0"/>
    <x v="1"/>
    <s v="5GWQK3"/>
    <s v="TMS"/>
    <s v="GABRIEL CERQUEIRA DE AZEVEDO"/>
    <s v="Tms"/>
    <s v="Tms"/>
    <d v="2025-08-07T16:00:00"/>
    <n v="21900"/>
    <s v="-"/>
    <s v="ON LINE"/>
    <s v="Cartão de crédito"/>
    <s v="Cartão de crédito"/>
    <x v="1"/>
    <s v="N"/>
    <x v="55"/>
    <s v="Taesa Matriz"/>
    <s v="-"/>
    <s v="-"/>
    <s v="-"/>
    <x v="42"/>
    <s v="-"/>
    <x v="235"/>
    <n v="0"/>
    <n v="0"/>
    <n v="0"/>
    <n v="0"/>
    <n v="0"/>
    <n v="0"/>
    <s v="Reserva importada do Sistema TMS. OS: 21900"/>
    <s v="Fornecedor não preenchido! (ACC01)"/>
    <x v="1"/>
    <x v="1"/>
    <s v="Campo Fornecedor"/>
    <x v="0"/>
    <s v="Sistêmico"/>
    <s v="GRUPO KONTIK"/>
    <x v="8"/>
  </r>
  <r>
    <n v="22679477"/>
    <n v="23483931"/>
    <s v="ACC01"/>
    <x v="311"/>
    <d v="2025-08-04T15:40:49"/>
    <x v="1"/>
    <x v="0"/>
    <n v="19421049"/>
    <s v="GOVER"/>
    <s v="APRIGIO MACHADO DE OLIVEIRA"/>
    <s v="Gover"/>
    <s v="Gover"/>
    <d v="2025-08-04T10:05:00"/>
    <n v="4576364"/>
    <s v="-"/>
    <s v="ON LINE"/>
    <s v="Cartão de crédito"/>
    <s v="Cartão de crédito"/>
    <x v="1"/>
    <s v="N"/>
    <x v="56"/>
    <s v="Falcon Goiania"/>
    <s v="-"/>
    <s v="-"/>
    <s v="-"/>
    <x v="43"/>
    <s v="-"/>
    <x v="236"/>
    <n v="9.35"/>
    <n v="0"/>
    <n v="0"/>
    <n v="0"/>
    <n v="0"/>
    <n v="0"/>
    <s v="Reserva importada do sistema Gover. Id: 4576364"/>
    <s v="Fornecedor não preenchido! (ACC01)"/>
    <x v="6"/>
    <x v="1"/>
    <s v="Campo Fornecedor"/>
    <x v="0"/>
    <s v="Sistêmico"/>
    <s v="GRUPO KONTIK"/>
    <x v="8"/>
  </r>
  <r>
    <n v="22683082"/>
    <n v="23487429"/>
    <s v="ACC01"/>
    <x v="312"/>
    <d v="2025-08-05T00:40:30"/>
    <x v="1"/>
    <x v="0"/>
    <s v="5FH4I8"/>
    <s v="TMS"/>
    <s v="EDUARDO RODRIGUES"/>
    <s v="Tms"/>
    <s v="Tms"/>
    <d v="2025-08-04T18:53:00"/>
    <n v="4698"/>
    <s v="-"/>
    <s v="OFF LINE"/>
    <s v="Pagamento direto"/>
    <s v="Pagamento direto"/>
    <x v="1"/>
    <s v="N"/>
    <x v="57"/>
    <s v="Mattos Filho"/>
    <s v="-"/>
    <s v="-"/>
    <s v="-"/>
    <x v="44"/>
    <s v="-"/>
    <x v="237"/>
    <n v="0"/>
    <n v="0"/>
    <n v="0"/>
    <n v="0"/>
    <n v="81.44"/>
    <n v="0"/>
    <s v="Reserva importada do Sistema TMS. OS: 4698"/>
    <s v="Fornecedor não preenchido! (ACC01)"/>
    <x v="1"/>
    <x v="1"/>
    <s v="Campo Fornecedor"/>
    <x v="0"/>
    <s v="Qualidade dos dados"/>
    <s v="KONTIK BUSINESS TRAVEL"/>
    <x v="1"/>
  </r>
  <r>
    <n v="22690270"/>
    <n v="23493788"/>
    <s v="ACC01"/>
    <x v="313"/>
    <d v="2025-08-06T00:16:34"/>
    <x v="0"/>
    <x v="1"/>
    <s v="5G05F0"/>
    <s v="TMS"/>
    <s v="THIAGO LUIS SOMBRA"/>
    <s v="Jennifer dos Santos Guedes de Oliveira"/>
    <s v="Jennifer dos Santos Guedes de Oliveira"/>
    <d v="2025-08-05T18:39:00"/>
    <n v="4723"/>
    <s v="-"/>
    <s v="OFF LINE"/>
    <s v="Pagamento direto"/>
    <s v="Pagamento direto"/>
    <x v="1"/>
    <s v="N"/>
    <x v="57"/>
    <s v="Mattos Filho"/>
    <s v="-"/>
    <s v="-"/>
    <s v="-"/>
    <x v="44"/>
    <s v="-"/>
    <x v="238"/>
    <n v="0"/>
    <n v="0"/>
    <n v="0"/>
    <n v="0"/>
    <n v="81.7"/>
    <n v="0"/>
    <s v="Reserva importada do Sistema TMS. OS: 4723"/>
    <s v="Fornecedor não preenchido! (ACC01)"/>
    <x v="1"/>
    <x v="1"/>
    <s v="Campo Fornecedor"/>
    <x v="0"/>
    <s v="Qualidade dos dados"/>
    <s v="KONTIK BUSINESS TRAVEL"/>
    <x v="1"/>
  </r>
  <r>
    <n v="22695828"/>
    <n v="23498680"/>
    <s v="ACC01"/>
    <x v="314"/>
    <d v="2025-08-06T19:06:01"/>
    <x v="0"/>
    <x v="1"/>
    <s v="5G958Z"/>
    <s v="TMS"/>
    <s v="FERNANDO NEUSTEIN"/>
    <s v="Jennifer dos Santos Guedes de Oliveira"/>
    <s v="Jennifer dos Santos Guedes de Oliveira"/>
    <d v="2025-08-06T17:19:00"/>
    <n v="4744"/>
    <s v="-"/>
    <s v="OFF LINE"/>
    <s v="Pagamento direto"/>
    <s v="Pagamento direto"/>
    <x v="1"/>
    <s v="N"/>
    <x v="57"/>
    <s v="Mattos Filho"/>
    <s v="-"/>
    <s v="-"/>
    <s v="-"/>
    <x v="44"/>
    <s v="-"/>
    <x v="239"/>
    <n v="0"/>
    <n v="0"/>
    <n v="0"/>
    <n v="0"/>
    <n v="81.11"/>
    <n v="0"/>
    <s v="Reserva importada do Sistema TMS. OS: 4744"/>
    <s v="Fornecedor não preenchido! (ACC01)"/>
    <x v="1"/>
    <x v="1"/>
    <s v="Campo Fornecedor"/>
    <x v="0"/>
    <s v="Qualidade dos dados"/>
    <s v="KONTIK BUSINESS TRAVEL"/>
    <x v="1"/>
  </r>
  <r>
    <n v="22680984"/>
    <n v="23485461"/>
    <s v="ACC01"/>
    <x v="315"/>
    <d v="2025-08-04T19:06:52"/>
    <x v="1"/>
    <x v="0"/>
    <s v="5F892K"/>
    <s v="TMS"/>
    <s v="DANIEL FERNANDES DA SILVA"/>
    <s v="Tms"/>
    <s v="Tms"/>
    <d v="2025-08-04T13:29:00"/>
    <n v="38895"/>
    <s v="Mogi das Cruzes / "/>
    <s v="ON LINE"/>
    <s v="Invoice"/>
    <s v="Faturado"/>
    <x v="3"/>
    <s v="N"/>
    <x v="58"/>
    <s v="Riosp"/>
    <s v="-"/>
    <s v="-"/>
    <s v="-"/>
    <x v="45"/>
    <s v="-"/>
    <x v="240"/>
    <n v="0"/>
    <n v="0"/>
    <n v="0"/>
    <n v="0"/>
    <n v="0"/>
    <n v="0"/>
    <s v="Reserva importada do Sistema TMS. OS: 38895"/>
    <s v="Fornecedor não preenchido! (ACC01)"/>
    <x v="1"/>
    <x v="1"/>
    <s v="Campo Fornecedor"/>
    <x v="0"/>
    <s v="Qualidade dos dados"/>
    <s v="KONTIK BUSINESS TRAVEL"/>
    <x v="1"/>
  </r>
  <r>
    <n v="22703409"/>
    <n v="23505508"/>
    <s v="ACC01"/>
    <x v="316"/>
    <d v="2025-08-07T19:25:41"/>
    <x v="0"/>
    <x v="1"/>
    <s v="5GT4YE"/>
    <s v="TMS"/>
    <s v="LUIS CARLOS BUSTOS"/>
    <s v="Tms"/>
    <s v="Tms"/>
    <d v="2025-08-07T15:33:00"/>
    <n v="39212"/>
    <s v="Jundiaí / QDV"/>
    <s v="ON LINE"/>
    <s v="Invoice"/>
    <s v="Faturado"/>
    <x v="3"/>
    <s v="N"/>
    <x v="58"/>
    <s v="Motiva Filial"/>
    <s v="-"/>
    <s v="-"/>
    <s v="-"/>
    <x v="45"/>
    <s v="-"/>
    <x v="241"/>
    <n v="0"/>
    <n v="0"/>
    <n v="0"/>
    <n v="0"/>
    <n v="0"/>
    <n v="0"/>
    <s v="Reserva importada do Sistema TMS. OS: 39212"/>
    <s v="Fornecedor não preenchido! (ACC01)"/>
    <x v="1"/>
    <x v="1"/>
    <s v="Campo Fornecedor"/>
    <x v="0"/>
    <s v="Qualidade dos dados"/>
    <s v="KONTIK BUSINESS TRAVEL"/>
    <x v="1"/>
  </r>
  <r>
    <n v="22703413"/>
    <n v="23505512"/>
    <s v="ACC01"/>
    <x v="317"/>
    <d v="2025-08-07T19:25:41"/>
    <x v="0"/>
    <x v="1"/>
    <s v="5GHR6C"/>
    <s v="TMS"/>
    <s v="FERNANDO HENRIQUE DE MARCHI"/>
    <s v="Tms"/>
    <s v="Tms"/>
    <d v="2025-08-07T14:45:00"/>
    <n v="39207"/>
    <s v="São Paulo / SAO"/>
    <s v="ON LINE"/>
    <s v="Invoice"/>
    <s v="Faturado"/>
    <x v="3"/>
    <s v="N"/>
    <x v="58"/>
    <s v="Viasul"/>
    <s v="-"/>
    <s v="-"/>
    <s v="-"/>
    <x v="45"/>
    <s v="-"/>
    <x v="242"/>
    <n v="0"/>
    <n v="0"/>
    <n v="0"/>
    <n v="0"/>
    <n v="0"/>
    <n v="0"/>
    <s v="Reserva importada do Sistema TMS. OS: 39207"/>
    <s v="Fornecedor não preenchido! (ACC01)"/>
    <x v="1"/>
    <x v="1"/>
    <s v="Campo Fornecedor"/>
    <x v="0"/>
    <s v="Qualidade dos dados"/>
    <s v="KONTIK BUSINESS TRAVEL"/>
    <x v="1"/>
  </r>
  <r>
    <n v="22703416"/>
    <n v="23505515"/>
    <s v="ACC01"/>
    <x v="318"/>
    <d v="2025-08-07T19:25:41"/>
    <x v="0"/>
    <x v="1"/>
    <s v="5GUFYE"/>
    <s v="TMS"/>
    <s v="CAROLINA MASA COELHO"/>
    <s v="Tms"/>
    <s v="Tms"/>
    <d v="2025-08-07T15:54:00"/>
    <n v="39204"/>
    <s v="Guarulhos / GRU"/>
    <s v="ON LINE"/>
    <s v="Invoice"/>
    <s v="Faturado"/>
    <x v="3"/>
    <s v="N"/>
    <x v="58"/>
    <s v="Motiva Filial"/>
    <s v="-"/>
    <s v="-"/>
    <s v="-"/>
    <x v="45"/>
    <s v="-"/>
    <x v="243"/>
    <n v="0"/>
    <n v="0"/>
    <n v="0"/>
    <n v="0"/>
    <n v="0"/>
    <n v="0"/>
    <s v="Reserva importada do Sistema TMS. OS: 39204"/>
    <s v="Fornecedor não preenchido! (ACC01)"/>
    <x v="1"/>
    <x v="1"/>
    <s v="Campo Fornecedor"/>
    <x v="0"/>
    <s v="Qualidade dos dados"/>
    <s v="KONTIK BUSINESS TRAVEL"/>
    <x v="1"/>
  </r>
  <r>
    <n v="22703417"/>
    <n v="23505516"/>
    <s v="ACC01"/>
    <x v="319"/>
    <d v="2025-08-07T19:25:41"/>
    <x v="0"/>
    <x v="1"/>
    <s v="5G8FY3"/>
    <s v="TMS"/>
    <s v="IGOR BONIN MORENO"/>
    <s v="Tms"/>
    <s v="Tms"/>
    <d v="2025-08-07T17:07:00"/>
    <n v="39203"/>
    <s v="Campo Grande / CGR"/>
    <s v="ON LINE"/>
    <s v="Invoice"/>
    <s v="Faturado"/>
    <x v="3"/>
    <s v="N"/>
    <x v="58"/>
    <s v="Motiva Filial"/>
    <s v="-"/>
    <s v="-"/>
    <s v="-"/>
    <x v="45"/>
    <s v="-"/>
    <x v="244"/>
    <n v="0"/>
    <n v="0"/>
    <n v="0"/>
    <n v="0"/>
    <n v="0"/>
    <n v="0"/>
    <s v="Reserva importada do Sistema TMS. OS: 39203"/>
    <s v="Fornecedor não preenchido! (ACC01)"/>
    <x v="1"/>
    <x v="1"/>
    <s v="Campo Fornecedor"/>
    <x v="0"/>
    <s v="Qualidade dos dados"/>
    <s v="KONTIK BUSINESS TRAVEL"/>
    <x v="1"/>
  </r>
  <r>
    <n v="22543021"/>
    <n v="23369176"/>
    <s v="ACC01"/>
    <x v="320"/>
    <d v="2025-07-10T12:40:29"/>
    <x v="5"/>
    <x v="6"/>
    <s v="5C5569"/>
    <s v="TMS"/>
    <s v="FELIPE DELMIRO PEREIRA"/>
    <s v="Tms"/>
    <s v="Tms"/>
    <d v="2025-07-10T09:35:00"/>
    <n v="36965"/>
    <s v="Araucaria / CWB"/>
    <s v="ON LINE"/>
    <s v="Invoice"/>
    <s v="Faturado"/>
    <x v="3"/>
    <s v="N"/>
    <x v="58"/>
    <s v="Bloco Sul"/>
    <s v="-"/>
    <s v="-"/>
    <s v="-"/>
    <x v="45"/>
    <s v="-"/>
    <x v="245"/>
    <n v="0"/>
    <n v="0"/>
    <n v="0"/>
    <n v="0"/>
    <n v="0"/>
    <n v="0"/>
    <s v="Reserva importada do Sistema TMS. OS: 36965"/>
    <s v="Fornecedor não preenchido! (ACC01)"/>
    <x v="1"/>
    <x v="1"/>
    <s v="Campo Fornecedor"/>
    <x v="0"/>
    <s v="Qualidade dos dados"/>
    <s v="KONTIK BUSINESS TRAVEL"/>
    <x v="1"/>
  </r>
  <r>
    <n v="22585270"/>
    <n v="23406972"/>
    <s v="ACC01"/>
    <x v="321"/>
    <d v="2025-08-04T13:10:19"/>
    <x v="1"/>
    <x v="5"/>
    <s v="5DY96L"/>
    <s v="TMS"/>
    <s v="LUIS ANTONIO GONCALVES"/>
    <s v="Tms"/>
    <s v="Tms"/>
    <d v="2025-07-18T12:05:00"/>
    <n v="37762"/>
    <s v="-"/>
    <s v="ON LINE"/>
    <s v="Invoice"/>
    <s v="Faturado"/>
    <x v="1"/>
    <s v="S"/>
    <x v="58"/>
    <s v="Motiva Filial"/>
    <s v="-"/>
    <s v="Mercure Curitiba Sete de Setembro Inativo"/>
    <s v="-"/>
    <x v="45"/>
    <s v="-"/>
    <x v="246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x v="1"/>
    <x v="0"/>
    <s v="Análise Cadastro"/>
    <x v="0"/>
    <s v="Qualidade dos dados"/>
    <s v="KONTIK BUSINESS TRAVEL"/>
    <x v="1"/>
  </r>
  <r>
    <n v="22693219"/>
    <n v="23496159"/>
    <s v="ACC01"/>
    <x v="322"/>
    <d v="2025-08-06T13:03:41"/>
    <x v="0"/>
    <x v="1"/>
    <s v="5G7SZ1"/>
    <s v="TMS"/>
    <s v="MAURO RAMOS CARNEIRO"/>
    <s v="Tms"/>
    <s v="Tms"/>
    <d v="2025-08-06T10:57:00"/>
    <n v="39067"/>
    <s v="-"/>
    <s v="ON LINE"/>
    <s v="Cartão de crédito"/>
    <s v="Cartão de crédito"/>
    <x v="1"/>
    <s v="N"/>
    <x v="58"/>
    <s v="Concessionaria da Rodovia dos Lagos S/a"/>
    <s v="-"/>
    <s v="-"/>
    <s v="-"/>
    <x v="45"/>
    <s v="-"/>
    <x v="247"/>
    <n v="0"/>
    <n v="0"/>
    <n v="0"/>
    <n v="0"/>
    <n v="17"/>
    <n v="0"/>
    <s v="Reserva importada do Sistema TMS. OS: 39067"/>
    <s v="Fornecedor não preenchido! (ACC01)"/>
    <x v="1"/>
    <x v="1"/>
    <s v="Campo Fornecedor"/>
    <x v="0"/>
    <s v="Sistêmico"/>
    <s v="GRUPO KONTIK"/>
    <x v="8"/>
  </r>
  <r>
    <n v="22647132"/>
    <n v="23457207"/>
    <s v="ACC01"/>
    <x v="323"/>
    <d v="2025-07-29T23:41:24"/>
    <x v="2"/>
    <x v="2"/>
    <s v="5FTJTA"/>
    <s v="TMS"/>
    <s v="FERNAO CAMARGO"/>
    <s v="Flavio Roberto Ferreira"/>
    <s v="Flavio Roberto Ferreira"/>
    <d v="2025-07-29T15:02:00"/>
    <n v="38477"/>
    <s v="-"/>
    <s v="OFF LINE"/>
    <s v="Invoice"/>
    <s v="Faturado"/>
    <x v="0"/>
    <s v="N"/>
    <x v="58"/>
    <s v="Motiva Matriz"/>
    <s v="-"/>
    <s v="-"/>
    <s v="-"/>
    <x v="45"/>
    <s v="-"/>
    <x v="248"/>
    <n v="0"/>
    <n v="0"/>
    <n v="0"/>
    <n v="0"/>
    <n v="0"/>
    <n v="0"/>
    <s v="Reserva importada do Sistema TMS. OS: 38477"/>
    <s v="Fornecedor não preenchido! (ACC01)"/>
    <x v="1"/>
    <x v="1"/>
    <s v="Campo Fornecedor"/>
    <x v="0"/>
    <s v="Qualidade dos dados"/>
    <s v="KONTIK BUSINESS TRAVEL"/>
    <x v="1"/>
  </r>
  <r>
    <n v="22627061"/>
    <n v="23441593"/>
    <s v="ACC01"/>
    <x v="324"/>
    <d v="2025-07-25T19:06:04"/>
    <x v="2"/>
    <x v="2"/>
    <s v="5EJS4K"/>
    <s v="TMS"/>
    <s v="FERNAO CAMARGO"/>
    <s v="Flavio Roberto Ferreira"/>
    <s v="Flavio Roberto Ferreira"/>
    <d v="2025-07-25T17:51:00"/>
    <n v="38265"/>
    <s v="-"/>
    <s v="OFF LINE"/>
    <s v="Invoice"/>
    <s v="Faturado"/>
    <x v="0"/>
    <s v="N"/>
    <x v="58"/>
    <s v="Motiva Matriz"/>
    <s v="-"/>
    <s v="-"/>
    <s v="-"/>
    <x v="45"/>
    <s v="-"/>
    <x v="249"/>
    <n v="0"/>
    <n v="0"/>
    <n v="0"/>
    <n v="0"/>
    <n v="0"/>
    <n v="0"/>
    <s v="Reserva importada do Sistema TMS. OS: 38265"/>
    <s v="Fornecedor não preenchido! (ACC01)"/>
    <x v="1"/>
    <x v="1"/>
    <s v="Campo Fornecedor"/>
    <x v="0"/>
    <s v="Qualidade dos dados"/>
    <s v="KONTIK BUSINESS TRAVEL"/>
    <x v="1"/>
  </r>
  <r>
    <n v="22651123"/>
    <n v="23460705"/>
    <s v="ACC01"/>
    <x v="325"/>
    <d v="2025-07-30T13:06:39"/>
    <x v="2"/>
    <x v="2"/>
    <s v="5F2WCX"/>
    <s v="TMS"/>
    <s v="DIOGO ALVES RIOS"/>
    <s v="Catia Leite Oliveira"/>
    <s v="Catia Leite Oliveira"/>
    <d v="2025-07-29T18:11:00"/>
    <n v="38484"/>
    <s v="-"/>
    <s v="OFF LINE"/>
    <s v="Invoice"/>
    <s v="Faturado"/>
    <x v="0"/>
    <s v="N"/>
    <x v="58"/>
    <s v="Motiva Matriz"/>
    <s v="-"/>
    <s v="-"/>
    <s v="-"/>
    <x v="45"/>
    <s v="-"/>
    <x v="250"/>
    <n v="0"/>
    <n v="0"/>
    <n v="0"/>
    <n v="0"/>
    <n v="0"/>
    <n v="0"/>
    <s v="Reserva importada do Sistema TMS. OS: 38484"/>
    <s v="Fornecedor não preenchido! (ACC01)"/>
    <x v="1"/>
    <x v="1"/>
    <s v="Campo Fornecedor"/>
    <x v="0"/>
    <s v="Qualidade dos dados"/>
    <s v="KONTIK BUSINESS TRAVEL"/>
    <x v="1"/>
  </r>
  <r>
    <n v="22696337"/>
    <n v="23499186"/>
    <s v="ACC01"/>
    <x v="326"/>
    <d v="2025-08-06T20:10:40"/>
    <x v="0"/>
    <x v="1"/>
    <s v="5GK2AW"/>
    <s v="TMS"/>
    <s v="PAULO FERNANDO DA SILVA"/>
    <s v="Tms"/>
    <s v="Tms"/>
    <d v="2025-08-06T13:46:00"/>
    <n v="25436"/>
    <s v="-"/>
    <s v="ON LINE"/>
    <s v="Cartão de crédito"/>
    <s v="Cartão de crédito"/>
    <x v="1"/>
    <s v="N"/>
    <x v="59"/>
    <s v="Colt - Compass. Uol Tecnologia"/>
    <s v="-"/>
    <s v="-"/>
    <s v="-"/>
    <x v="46"/>
    <s v="-"/>
    <x v="251"/>
    <n v="0"/>
    <n v="0"/>
    <n v="0"/>
    <n v="0"/>
    <n v="0"/>
    <n v="0"/>
    <s v="Reserva importada do Sistema TMS. OS: 25436"/>
    <s v="Fornecedor não preenchido! (ACC01)"/>
    <x v="1"/>
    <x v="1"/>
    <s v="Campo Fornecedor"/>
    <x v="0"/>
    <s v="Sistêmico"/>
    <s v="GRUPO KONTIK"/>
    <x v="8"/>
  </r>
  <r>
    <n v="22705178"/>
    <n v="23507119"/>
    <s v="ACC01"/>
    <x v="327"/>
    <d v="2025-08-08T00:26:16"/>
    <x v="0"/>
    <x v="1"/>
    <s v="5G540R"/>
    <s v="TMS"/>
    <s v="RODRIGO MATIAS DOS SANTOS"/>
    <s v="Tms"/>
    <s v="Tms"/>
    <d v="2025-08-07T18:43:00"/>
    <n v="25570"/>
    <s v="Campo Grande / CGR"/>
    <s v="ON LINE"/>
    <s v="Invoice"/>
    <s v="Faturado"/>
    <x v="3"/>
    <s v="N"/>
    <x v="59"/>
    <s v="Pagseguro Internet Instituicao de Pagamento S.a."/>
    <s v="-"/>
    <s v="-"/>
    <s v="-"/>
    <x v="46"/>
    <s v="-"/>
    <x v="252"/>
    <n v="0"/>
    <n v="0"/>
    <n v="0"/>
    <n v="0"/>
    <n v="0"/>
    <n v="0"/>
    <s v="Reserva importada do Sistema TMS. OS: 25570"/>
    <s v="Fornecedor não preenchido! (ACC01)"/>
    <x v="1"/>
    <x v="1"/>
    <s v="Campo Fornecedor"/>
    <x v="0"/>
    <s v="Qualidade dos dados"/>
    <s v="KONTIK BUSINESS TRAVEL"/>
    <x v="1"/>
  </r>
  <r>
    <n v="22705184"/>
    <n v="23507125"/>
    <s v="ACC01"/>
    <x v="328"/>
    <d v="2025-08-08T00:26:16"/>
    <x v="0"/>
    <x v="1"/>
    <s v="5G6VM4"/>
    <s v="TMS"/>
    <s v="SILVANO RODRIGUES FILHO"/>
    <s v="Tms"/>
    <s v="Tms"/>
    <d v="2025-08-07T18:12:00"/>
    <n v="25555"/>
    <s v="São Paulo / SAO"/>
    <s v="ON LINE"/>
    <s v="Invoice"/>
    <s v="Faturado"/>
    <x v="3"/>
    <s v="N"/>
    <x v="59"/>
    <s v="Pagseguro Internet Instituicao de Pagamento S.a."/>
    <s v="-"/>
    <s v="-"/>
    <s v="-"/>
    <x v="46"/>
    <s v="-"/>
    <x v="253"/>
    <n v="0"/>
    <n v="0"/>
    <n v="0"/>
    <n v="0"/>
    <n v="0"/>
    <n v="0"/>
    <s v="Reserva importada do Sistema TMS. OS: 25555"/>
    <s v="Fornecedor não preenchido! (ACC01)"/>
    <x v="1"/>
    <x v="1"/>
    <s v="Campo Fornecedor"/>
    <x v="0"/>
    <s v="Qualidade dos dados"/>
    <s v="KONTIK BUSINESS TRAVEL"/>
    <x v="1"/>
  </r>
  <r>
    <n v="22703897"/>
    <n v="23505980"/>
    <s v="ACC01"/>
    <x v="329"/>
    <d v="2025-08-07T20:16:45"/>
    <x v="0"/>
    <x v="1"/>
    <s v="5GQOK3"/>
    <s v="TMS"/>
    <s v="JANNSEN ARAUJO DE OLIVEIRA"/>
    <s v="Tms"/>
    <s v="Tms"/>
    <d v="2025-08-07T17:24:00"/>
    <n v="25565"/>
    <s v="Maceio / MCZ"/>
    <s v="ON LINE"/>
    <s v="Invoice"/>
    <s v="Faturado"/>
    <x v="3"/>
    <s v="N"/>
    <x v="59"/>
    <s v="Pagseguro Internet Instituicao de Pagamento S.a."/>
    <s v="-"/>
    <s v="-"/>
    <s v="-"/>
    <x v="46"/>
    <s v="-"/>
    <x v="254"/>
    <n v="0"/>
    <n v="0"/>
    <n v="0"/>
    <n v="0"/>
    <n v="0"/>
    <n v="0"/>
    <s v="Reserva importada do Sistema TMS. OS: 25565"/>
    <s v="Fornecedor não preenchido! (ACC01)"/>
    <x v="1"/>
    <x v="1"/>
    <s v="Campo Fornecedor"/>
    <x v="0"/>
    <s v="Qualidade dos dados"/>
    <s v="KONTIK BUSINESS TRAVEL"/>
    <x v="1"/>
  </r>
  <r>
    <n v="22693466"/>
    <n v="23496391"/>
    <s v="ACC01"/>
    <x v="330"/>
    <d v="2025-08-06T13:47:42"/>
    <x v="0"/>
    <x v="1"/>
    <s v="5GOG2Q"/>
    <s v="TMS"/>
    <s v="MARCELA TARACHUCK ANDRADE"/>
    <s v="Tms"/>
    <s v="Tms"/>
    <d v="2025-08-06T09:29:00"/>
    <n v="25344"/>
    <s v="Nova Lima / BHZ"/>
    <s v="ON LINE"/>
    <s v="Invoice"/>
    <s v="Faturado"/>
    <x v="3"/>
    <s v="N"/>
    <x v="59"/>
    <s v="Pagseguro Internet Instituicao de Pagamento S.a."/>
    <s v="-"/>
    <s v="-"/>
    <s v="-"/>
    <x v="46"/>
    <s v="-"/>
    <x v="255"/>
    <n v="0"/>
    <n v="0"/>
    <n v="0"/>
    <n v="0"/>
    <n v="0"/>
    <n v="0"/>
    <s v="Reserva importada do Sistema TMS. OS: 25344"/>
    <s v="Fornecedor não preenchido! (ACC01)"/>
    <x v="1"/>
    <x v="1"/>
    <s v="Campo Fornecedor"/>
    <x v="0"/>
    <s v="Qualidade dos dados"/>
    <s v="KONTIK BUSINESS TRAVEL"/>
    <x v="1"/>
  </r>
  <r>
    <n v="22688920"/>
    <n v="23492546"/>
    <s v="ACC01"/>
    <x v="331"/>
    <d v="2025-08-05T20:25:45"/>
    <x v="1"/>
    <x v="0"/>
    <s v="5GZZCP"/>
    <s v="TMS"/>
    <s v="FRANCISCO BATISTA"/>
    <s v="NATALIA BARRAL DE OLIVEIRA"/>
    <s v="NATALIA BARRAL DE OLIVEIRA"/>
    <d v="2025-08-05T13:45:00"/>
    <n v="24266"/>
    <s v="-"/>
    <s v="OFF LINE"/>
    <s v="Cartão de crédito"/>
    <s v="Cartão de crédito"/>
    <x v="1"/>
    <s v="N"/>
    <x v="59"/>
    <s v="Pagseguro Internet Instituicao de Pagamento S.a."/>
    <s v="-"/>
    <s v="-"/>
    <s v="-"/>
    <x v="46"/>
    <s v="-"/>
    <x v="256"/>
    <n v="0"/>
    <n v="0"/>
    <n v="0"/>
    <n v="0"/>
    <n v="0"/>
    <n v="0"/>
    <s v="Reserva importada do Sistema TMS. OS: 24266"/>
    <s v="Fornecedor não preenchido! (ACC01)"/>
    <x v="1"/>
    <x v="1"/>
    <s v="Campo Fornecedor"/>
    <x v="0"/>
    <s v="Qualidade dos dados"/>
    <s v="KONTIK BUSINESS TRAVEL"/>
    <x v="1"/>
  </r>
  <r>
    <n v="22666001"/>
    <n v="23473868"/>
    <s v="ACC01"/>
    <x v="332"/>
    <d v="2025-08-05T09:30:04"/>
    <x v="1"/>
    <x v="4"/>
    <s v="HVNNBV"/>
    <s v="GOVER"/>
    <s v="Camila Robinson"/>
    <s v="Gover"/>
    <s v="Gover"/>
    <d v="2025-08-01T12:47:00"/>
    <n v="4575821"/>
    <s v="-"/>
    <s v="OFF LINE"/>
    <s v="Invoice"/>
    <s v="Faturado"/>
    <x v="1"/>
    <s v="N"/>
    <x v="6"/>
    <s v="Souza Cruz"/>
    <s v="-"/>
    <s v="-"/>
    <s v="-"/>
    <x v="47"/>
    <s v="-"/>
    <x v="257"/>
    <n v="310.60000000000002"/>
    <n v="0"/>
    <n v="0"/>
    <n v="0"/>
    <n v="0"/>
    <n v="0"/>
    <s v="Reserva importada do sistema Gover. Id: 4575821"/>
    <s v="Fornecedor não preenchido! (ACC01)"/>
    <x v="6"/>
    <x v="1"/>
    <s v="Campo Fornecedor"/>
    <x v="0"/>
    <s v="Sistêmico"/>
    <s v="GRUPO KONTIK"/>
    <x v="8"/>
  </r>
  <r>
    <n v="22625813"/>
    <n v="23440422"/>
    <s v="ACC01"/>
    <x v="333"/>
    <d v="2025-07-30T08:14:30"/>
    <x v="2"/>
    <x v="2"/>
    <n v="19314360"/>
    <s v="GOVER"/>
    <s v="Renata Vanni de Lima"/>
    <s v="Gover"/>
    <s v="Gover"/>
    <d v="2025-07-25T15:33:00"/>
    <n v="4572443"/>
    <s v="-"/>
    <s v="ON LINE"/>
    <s v="Cartão de crédito"/>
    <s v="Cartão de crédito"/>
    <x v="1"/>
    <s v="N"/>
    <x v="6"/>
    <s v="Fundacao Albino Souza Cruz"/>
    <s v="-"/>
    <s v="Radisson Oscar Freire"/>
    <s v="-"/>
    <x v="47"/>
    <s v="-"/>
    <x v="258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x v="6"/>
    <x v="7"/>
    <s v="Falta de informação Gerencial"/>
    <x v="0"/>
    <s v="Qualidade dos dados"/>
    <s v="KONTIK BUSINESS TRAVEL"/>
    <x v="1"/>
  </r>
  <r>
    <n v="22702666"/>
    <n v="23504790"/>
    <s v="ACC01"/>
    <x v="334"/>
    <d v="2025-08-08T04:15:22"/>
    <x v="0"/>
    <x v="1"/>
    <s v="RES019617-7037"/>
    <s v="GOVER"/>
    <s v="Andre  Luciano Ribeiro de  Almeida"/>
    <s v="Gover"/>
    <s v="Gover"/>
    <d v="2025-08-06T11:04:00"/>
    <n v="4577876"/>
    <s v="-"/>
    <s v="OFF LINE"/>
    <s v="Invoice"/>
    <s v="Faturado"/>
    <x v="1"/>
    <s v="N"/>
    <x v="6"/>
    <s v="Souza Cruz"/>
    <s v="-"/>
    <s v="-"/>
    <s v="-"/>
    <x v="47"/>
    <s v="-"/>
    <x v="259"/>
    <n v="0"/>
    <n v="0"/>
    <n v="0"/>
    <n v="0"/>
    <n v="0"/>
    <n v="0"/>
    <s v="Reserva importada do sistema Gover. Id: 4577876"/>
    <s v="Fornecedor não preenchido! (ACC01)"/>
    <x v="6"/>
    <x v="1"/>
    <s v="Campo Fornecedor"/>
    <x v="0"/>
    <s v="Sistêmico"/>
    <s v="GRUPO KONTIK"/>
    <x v="8"/>
  </r>
  <r>
    <n v="22684233"/>
    <n v="23488139"/>
    <s v="ACC01"/>
    <x v="335"/>
    <d v="2025-08-05T12:08:26"/>
    <x v="1"/>
    <x v="0"/>
    <s v="ESQAIZ"/>
    <s v="GOVER"/>
    <s v="Ana Carolina Neu"/>
    <s v="Gover"/>
    <s v="Gover"/>
    <d v="2025-08-04T17:39:00"/>
    <n v="4576964"/>
    <s v="-"/>
    <s v="ON LINE"/>
    <s v="Cartão de crédito"/>
    <s v="Cartão de crédito"/>
    <x v="1"/>
    <s v="N"/>
    <x v="6"/>
    <s v="Souza Cruz"/>
    <s v="-"/>
    <s v="-"/>
    <s v="-"/>
    <x v="47"/>
    <s v="-"/>
    <x v="260"/>
    <n v="39.5"/>
    <n v="0"/>
    <n v="0"/>
    <n v="0"/>
    <n v="0"/>
    <n v="0"/>
    <s v="Reserva importada do sistema Gover. Id: 4576964"/>
    <s v="Fornecedor não preenchido! (ACC01)"/>
    <x v="6"/>
    <x v="1"/>
    <s v="Campo Fornecedor"/>
    <x v="0"/>
    <s v="Sistêmico"/>
    <s v="GRUPO KONTIK"/>
    <x v="8"/>
  </r>
  <r>
    <n v="22699083"/>
    <n v="23501381"/>
    <s v="ACC01"/>
    <x v="336"/>
    <d v="2025-08-08T03:10:18"/>
    <x v="0"/>
    <x v="1"/>
    <s v="FBLUHN"/>
    <s v="GOVER"/>
    <s v="Cleverson Lucas Da Silva Costa"/>
    <s v="Gover"/>
    <s v="Gover"/>
    <d v="2025-08-07T08:20:00"/>
    <n v="4578311"/>
    <s v="-"/>
    <s v="ON LINE"/>
    <s v="Cartão de crédito"/>
    <s v="Cartão de crédito"/>
    <x v="1"/>
    <s v="N"/>
    <x v="6"/>
    <s v="Souza Cruz"/>
    <s v="-"/>
    <s v="-"/>
    <s v="-"/>
    <x v="47"/>
    <s v="-"/>
    <x v="261"/>
    <n v="33.64"/>
    <n v="0"/>
    <n v="0"/>
    <n v="0"/>
    <n v="0"/>
    <n v="0"/>
    <s v="Reserva importada do sistema Gover. Id: 4578311"/>
    <s v="Fornecedor não preenchido! (ACC01)"/>
    <x v="6"/>
    <x v="1"/>
    <s v="Campo Fornecedor"/>
    <x v="0"/>
    <s v="Sistêmico"/>
    <s v="GRUPO KONTIK"/>
    <x v="8"/>
  </r>
  <r>
    <n v="22699084"/>
    <n v="23501382"/>
    <s v="ACC01"/>
    <x v="337"/>
    <d v="2025-08-08T03:10:18"/>
    <x v="0"/>
    <x v="1"/>
    <s v="NMVUEO"/>
    <s v="GOVER"/>
    <s v="Daniel Faria De Souza"/>
    <s v="Gover"/>
    <s v="Gover"/>
    <d v="2025-08-07T08:20:00"/>
    <n v="4578311"/>
    <s v="-"/>
    <s v="ON LINE"/>
    <s v="Cartão de crédito"/>
    <s v="Cartão de crédito"/>
    <x v="1"/>
    <s v="N"/>
    <x v="6"/>
    <s v="Souza Cruz"/>
    <s v="-"/>
    <s v="-"/>
    <s v="-"/>
    <x v="47"/>
    <s v="-"/>
    <x v="261"/>
    <n v="33.64"/>
    <n v="0"/>
    <n v="0"/>
    <n v="0"/>
    <n v="0"/>
    <n v="0"/>
    <s v="Reserva importada do sistema Gover. Id: 4578311"/>
    <s v="Fornecedor não preenchido! (ACC01)"/>
    <x v="6"/>
    <x v="1"/>
    <s v="Campo Fornecedor"/>
    <x v="0"/>
    <s v="Sistêmico"/>
    <s v="GRUPO KONTIK"/>
    <x v="8"/>
  </r>
  <r>
    <n v="22681663"/>
    <n v="23486127"/>
    <s v="ACC01"/>
    <x v="338"/>
    <d v="2025-08-05T11:57:45"/>
    <x v="1"/>
    <x v="0"/>
    <s v="JZNUTV"/>
    <s v="GOVER"/>
    <s v="Diego Antunes Campos"/>
    <s v="Gover"/>
    <s v="Gover"/>
    <d v="2025-08-04T15:45:00"/>
    <n v="4576775"/>
    <s v="-"/>
    <s v="OFF LINE"/>
    <s v="Invoice"/>
    <s v="Faturado"/>
    <x v="1"/>
    <s v="N"/>
    <x v="6"/>
    <s v="Souza Cruz"/>
    <s v="-"/>
    <s v="-"/>
    <s v="-"/>
    <x v="47"/>
    <s v="-"/>
    <x v="262"/>
    <n v="13.2"/>
    <n v="0"/>
    <n v="0"/>
    <n v="0"/>
    <n v="0"/>
    <n v="0"/>
    <s v="Reserva importada do sistema Gover. Id: 4576775"/>
    <s v="Fornecedor não preenchido! (ACC01)"/>
    <x v="6"/>
    <x v="1"/>
    <s v="Campo Fornecedor"/>
    <x v="0"/>
    <s v="Sistêmico"/>
    <s v="GRUPO KONTIK"/>
    <x v="8"/>
  </r>
  <r>
    <n v="22686934"/>
    <n v="23490619"/>
    <s v="ACC01"/>
    <x v="339"/>
    <d v="2025-08-06T03:35:07"/>
    <x v="0"/>
    <x v="0"/>
    <n v="19418900"/>
    <s v="GOVER"/>
    <s v="Joeliton De Jesus Santos"/>
    <s v="Gover"/>
    <s v="Gover"/>
    <d v="2025-08-04T08:13:00"/>
    <n v="4576232"/>
    <s v="-"/>
    <s v="ON LINE"/>
    <s v="Cartão de crédito"/>
    <s v="Cartão de crédito"/>
    <x v="1"/>
    <s v="N"/>
    <x v="6"/>
    <s v="Souza Cruz"/>
    <s v="-"/>
    <s v="-"/>
    <s v="-"/>
    <x v="47"/>
    <s v="-"/>
    <x v="263"/>
    <n v="0"/>
    <n v="0"/>
    <n v="0"/>
    <n v="0"/>
    <n v="0"/>
    <n v="0"/>
    <s v="Reserva importada do sistema Gover. Id: 4576232"/>
    <s v="Fornecedor não preenchido! (ACC01)"/>
    <x v="6"/>
    <x v="1"/>
    <s v="Campo Fornecedor"/>
    <x v="0"/>
    <s v="Sistêmico"/>
    <s v="GRUPO KONTIK"/>
    <x v="8"/>
  </r>
  <r>
    <n v="22686935"/>
    <n v="23490620"/>
    <s v="ACC01"/>
    <x v="340"/>
    <d v="2025-08-06T03:35:07"/>
    <x v="0"/>
    <x v="0"/>
    <n v="19418901"/>
    <s v="GOVER"/>
    <s v="Joeliton De Jesus Santos"/>
    <s v="Gover"/>
    <s v="Gover"/>
    <d v="2025-08-04T08:13:00"/>
    <n v="4576232"/>
    <s v="-"/>
    <s v="ON LINE"/>
    <s v="Cartão de crédito"/>
    <s v="Cartão de crédito"/>
    <x v="1"/>
    <s v="N"/>
    <x v="6"/>
    <s v="Souza Cruz"/>
    <s v="-"/>
    <s v="-"/>
    <s v="-"/>
    <x v="47"/>
    <s v="-"/>
    <x v="263"/>
    <n v="0"/>
    <n v="0"/>
    <n v="0"/>
    <n v="0"/>
    <n v="0"/>
    <n v="0"/>
    <s v="Reserva importada do sistema Gover. Id: 4576232"/>
    <s v="Fornecedor não preenchido! (ACC01)"/>
    <x v="6"/>
    <x v="1"/>
    <s v="Campo Fornecedor"/>
    <x v="0"/>
    <s v="Sistêmico"/>
    <s v="GRUPO KONTIK"/>
    <x v="8"/>
  </r>
  <r>
    <n v="22686936"/>
    <n v="23490621"/>
    <s v="ACC01"/>
    <x v="341"/>
    <d v="2025-08-06T03:35:07"/>
    <x v="0"/>
    <x v="0"/>
    <n v="19418902"/>
    <s v="GOVER"/>
    <s v="Joeliton De Jesus Santos"/>
    <s v="Gover"/>
    <s v="Gover"/>
    <d v="2025-08-04T08:13:00"/>
    <n v="4576232"/>
    <s v="-"/>
    <s v="ON LINE"/>
    <s v="Cartão de crédito"/>
    <s v="Cartão de crédito"/>
    <x v="1"/>
    <s v="N"/>
    <x v="6"/>
    <s v="Souza Cruz"/>
    <s v="-"/>
    <s v="-"/>
    <s v="-"/>
    <x v="47"/>
    <s v="-"/>
    <x v="263"/>
    <n v="0"/>
    <n v="0"/>
    <n v="0"/>
    <n v="0"/>
    <n v="0"/>
    <n v="0"/>
    <s v="Reserva importada do sistema Gover. Id: 4576232"/>
    <s v="Fornecedor não preenchido! (ACC01)"/>
    <x v="6"/>
    <x v="1"/>
    <s v="Campo Fornecedor"/>
    <x v="0"/>
    <s v="Sistêmico"/>
    <s v="GRUPO KONTIK"/>
    <x v="8"/>
  </r>
  <r>
    <n v="22686937"/>
    <n v="23490622"/>
    <s v="ACC01"/>
    <x v="342"/>
    <d v="2025-08-06T03:35:07"/>
    <x v="0"/>
    <x v="0"/>
    <n v="19418903"/>
    <s v="GOVER"/>
    <s v="Joeliton De Jesus Santos"/>
    <s v="Gover"/>
    <s v="Gover"/>
    <d v="2025-08-04T08:13:00"/>
    <n v="4576232"/>
    <s v="-"/>
    <s v="ON LINE"/>
    <s v="Cartão de crédito"/>
    <s v="Cartão de crédito"/>
    <x v="1"/>
    <s v="N"/>
    <x v="6"/>
    <s v="Souza Cruz"/>
    <s v="-"/>
    <s v="-"/>
    <s v="-"/>
    <x v="47"/>
    <s v="-"/>
    <x v="263"/>
    <n v="0"/>
    <n v="0"/>
    <n v="0"/>
    <n v="0"/>
    <n v="0"/>
    <n v="0"/>
    <s v="Reserva importada do sistema Gover. Id: 4576232"/>
    <s v="Fornecedor não preenchido! (ACC01)"/>
    <x v="6"/>
    <x v="1"/>
    <s v="Campo Fornecedor"/>
    <x v="0"/>
    <s v="Sistêmico"/>
    <s v="GRUPO KONTIK"/>
    <x v="8"/>
  </r>
  <r>
    <n v="22686939"/>
    <n v="23490623"/>
    <s v="ACC01"/>
    <x v="343"/>
    <d v="2025-08-06T03:35:07"/>
    <x v="0"/>
    <x v="0"/>
    <n v="19418904"/>
    <s v="GOVER"/>
    <s v="Joeliton De Jesus Santos"/>
    <s v="Gover"/>
    <s v="Gover"/>
    <d v="2025-08-04T08:13:00"/>
    <n v="4576232"/>
    <s v="-"/>
    <s v="ON LINE"/>
    <s v="Cartão de crédito"/>
    <s v="Cartão de crédito"/>
    <x v="1"/>
    <s v="N"/>
    <x v="6"/>
    <s v="Souza Cruz"/>
    <s v="-"/>
    <s v="-"/>
    <s v="-"/>
    <x v="47"/>
    <s v="-"/>
    <x v="263"/>
    <n v="0"/>
    <n v="0"/>
    <n v="0"/>
    <n v="0"/>
    <n v="0"/>
    <n v="0"/>
    <s v="Reserva importada do sistema Gover. Id: 4576232"/>
    <s v="Fornecedor não preenchido! (ACC01)"/>
    <x v="6"/>
    <x v="1"/>
    <s v="Campo Fornecedor"/>
    <x v="0"/>
    <s v="Sistêmico"/>
    <s v="GRUPO KONTIK"/>
    <x v="8"/>
  </r>
  <r>
    <n v="22687042"/>
    <n v="23490724"/>
    <s v="ACC01"/>
    <x v="344"/>
    <d v="2025-08-06T03:41:53"/>
    <x v="0"/>
    <x v="0"/>
    <s v="IQCDKV"/>
    <s v="GOVER"/>
    <s v="Carlos Gustavo Rocha Laranjeira"/>
    <s v="Gover"/>
    <s v="Gover"/>
    <d v="2025-08-05T15:00:00"/>
    <n v="4577471"/>
    <s v="-"/>
    <s v="ON LINE"/>
    <s v="Cartão de crédito"/>
    <s v="Cartão de crédito"/>
    <x v="1"/>
    <s v="N"/>
    <x v="6"/>
    <s v="Souza Cruz"/>
    <s v="-"/>
    <s v="Ibis Styles Boa Vista - Inativo"/>
    <s v="-"/>
    <x v="47"/>
    <s v="-"/>
    <x v="264"/>
    <n v="36.72"/>
    <n v="0"/>
    <n v="0"/>
    <n v="0"/>
    <n v="0"/>
    <n v="0"/>
    <s v="Reserva importada do sistema Gover. Id: 4577471"/>
    <s v="Não foi possível encontrar um contrato válido para o fornecedor 49032 (Código fornecedor) "/>
    <x v="6"/>
    <x v="0"/>
    <s v="Análise Cadastro"/>
    <x v="0"/>
    <s v="Qualidade dos dados"/>
    <s v="KONTIK BUSINESS TRAVEL"/>
    <x v="1"/>
  </r>
  <r>
    <n v="22652259"/>
    <n v="23461782"/>
    <s v="ACC01"/>
    <x v="345"/>
    <d v="2025-07-31T13:05:51"/>
    <x v="3"/>
    <x v="2"/>
    <s v="H4574134"/>
    <s v="GOVER"/>
    <s v="Lucas Polese Correa"/>
    <s v="Francisca Maria Mangueira"/>
    <s v="Francisca Maria Mangueira"/>
    <d v="2025-07-30T00:00:00"/>
    <n v="4574134"/>
    <s v="-"/>
    <s v="OFF LINE"/>
    <s v="Cartão de crédito"/>
    <s v="Cartão de crédito"/>
    <x v="1"/>
    <s v="N"/>
    <x v="6"/>
    <s v="Souza Cruz"/>
    <s v="-"/>
    <s v="Pousada Afonso Claudio"/>
    <s v="-"/>
    <x v="47"/>
    <s v="-"/>
    <x v="265"/>
    <n v="0"/>
    <n v="0"/>
    <n v="0"/>
    <n v="0"/>
    <n v="0"/>
    <n v="0"/>
    <s v="Reserva importada do sistema Gover. Id: 4574134"/>
    <s v="Fornecedor não preenchido! (ACC02)"/>
    <x v="6"/>
    <x v="1"/>
    <s v="Campo Fornecedor"/>
    <x v="0"/>
    <s v="Sistêmico"/>
    <s v="GRUPO KONTIK"/>
    <x v="8"/>
  </r>
  <r>
    <n v="22652259"/>
    <n v="23461783"/>
    <s v="ACC02"/>
    <x v="345"/>
    <d v="2025-07-31T13:05:51"/>
    <x v="3"/>
    <x v="2"/>
    <s v="H4574134"/>
    <s v="GOVER"/>
    <s v="Carlos Eduardo Lima Gomes"/>
    <s v="Francisca Maria Mangueira"/>
    <s v="Francisca Maria Mangueira"/>
    <d v="2025-07-30T00:00:00"/>
    <n v="4574134"/>
    <s v="-"/>
    <s v="OFF LINE"/>
    <s v="Cartão de crédito"/>
    <s v="Cartão de crédito"/>
    <x v="1"/>
    <s v="N"/>
    <x v="6"/>
    <s v="Souza Cruz"/>
    <s v="-"/>
    <s v="-"/>
    <s v="-"/>
    <x v="47"/>
    <s v="-"/>
    <x v="265"/>
    <n v="0"/>
    <n v="0"/>
    <n v="0"/>
    <n v="0"/>
    <n v="0"/>
    <n v="0"/>
    <s v="Reserva importada do sistema Gover. Id: 4574134"/>
    <s v="Fornecedor não preenchido! (ACC02)"/>
    <x v="6"/>
    <x v="1"/>
    <s v="Campo Fornecedor"/>
    <x v="0"/>
    <s v="Sistêmico"/>
    <s v="GRUPO KONTIK"/>
    <x v="8"/>
  </r>
  <r>
    <n v="22700889"/>
    <n v="23503100"/>
    <s v="ACC01"/>
    <x v="346"/>
    <d v="2025-08-07T13:03:24"/>
    <x v="0"/>
    <x v="1"/>
    <s v="HHDBPMT"/>
    <s v="SABRE"/>
    <s v="PINHEIRO/ALANA"/>
    <s v="Ana Clara Brime"/>
    <s v="Ana Clara Brime"/>
    <d v="2025-08-07T10:41:00"/>
    <s v="L9P9"/>
    <s v="-"/>
    <s v="OFF LINE"/>
    <s v="Cartão de crédito"/>
    <s v="Cartão de crédito"/>
    <x v="1"/>
    <s v="N"/>
    <x v="60"/>
    <s v="Grupo Casas Bahia S.a."/>
    <s v="-"/>
    <s v="-"/>
    <s v="-"/>
    <x v="48"/>
    <s v="-"/>
    <x v="26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2276"/>
    <n v="23504414"/>
    <s v="ACC01"/>
    <x v="347"/>
    <d v="2025-08-07T17:15:48"/>
    <x v="0"/>
    <x v="1"/>
    <s v="AJOJHOT"/>
    <s v="SABRE"/>
    <s v="FREITAS NETO/JOSE"/>
    <s v="Ana Clara Brime"/>
    <s v="Ana Clara Brime"/>
    <d v="2025-08-07T14:57:00"/>
    <s v="L9MK"/>
    <s v="-"/>
    <s v="OFF LINE"/>
    <s v="Cartão de crédito"/>
    <s v="Cartão de crédito"/>
    <x v="1"/>
    <s v="N"/>
    <x v="60"/>
    <s v="Grupo Casas Bahia S.a."/>
    <s v="-"/>
    <s v="-"/>
    <s v="-"/>
    <x v="48"/>
    <s v="-"/>
    <x v="267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51596"/>
    <n v="23461155"/>
    <s v="ACC01"/>
    <x v="348"/>
    <d v="2025-07-30T13:30:32"/>
    <x v="2"/>
    <x v="2"/>
    <s v="NINLCFT"/>
    <s v="SABRE"/>
    <s v="JACINTO/ALESSANDRA"/>
    <s v="Ana Clara Brime"/>
    <s v="Ana Clara Brime"/>
    <d v="2025-07-30T11:11:00"/>
    <s v="L969"/>
    <s v="-"/>
    <s v="OFF LINE"/>
    <s v="Cartão de crédito"/>
    <s v="Cartão de crédito"/>
    <x v="1"/>
    <s v="N"/>
    <x v="60"/>
    <s v="Grupo Casas Bahia S.a."/>
    <s v="-"/>
    <s v="-"/>
    <s v="-"/>
    <x v="48"/>
    <s v="-"/>
    <x v="26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44219"/>
    <n v="23454435"/>
    <s v="ACC01"/>
    <x v="349"/>
    <d v="2025-07-29T11:15:50"/>
    <x v="2"/>
    <x v="2"/>
    <s v="UATHIXT"/>
    <s v="SABRE"/>
    <s v="MADRUGA/ADENILSON"/>
    <s v="Ana Clara Brime"/>
    <s v="Ana Clara Brime"/>
    <d v="2025-07-29T08:53:00"/>
    <s v="L96C"/>
    <s v="-"/>
    <s v="OFF LINE"/>
    <s v="Cartão de crédito"/>
    <s v="Cartão de crédito"/>
    <x v="1"/>
    <s v="N"/>
    <x v="60"/>
    <s v="Grupo Casas Bahia S.a."/>
    <s v="-"/>
    <s v="-"/>
    <s v="-"/>
    <x v="48"/>
    <s v="-"/>
    <x v="26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9258"/>
    <n v="23501528"/>
    <s v="ACC01"/>
    <x v="350"/>
    <d v="2025-08-07T09:27:13"/>
    <x v="0"/>
    <x v="1"/>
    <s v="GFLVWET"/>
    <s v="SABRE"/>
    <s v="BERGELT/LISIA"/>
    <s v="Ana Clara Brime"/>
    <s v="Ana Clara Brime"/>
    <d v="2025-08-07T07:12:00"/>
    <s v="L9PG"/>
    <s v="-"/>
    <s v="OFF LINE"/>
    <s v="Cartão de crédito"/>
    <s v="Cartão de crédito"/>
    <x v="1"/>
    <s v="N"/>
    <x v="60"/>
    <s v="Grupo Casas Bahia S.a."/>
    <s v="-"/>
    <s v="-"/>
    <s v="-"/>
    <x v="48"/>
    <s v="-"/>
    <x v="269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694343"/>
    <n v="23497197"/>
    <s v="ACC01"/>
    <x v="351"/>
    <d v="2025-08-06T15:46:09"/>
    <x v="0"/>
    <x v="1"/>
    <s v="MGOUWQT"/>
    <s v="SABRE"/>
    <s v="SILVA/WELLINGTON"/>
    <s v="Ana Clara Brime"/>
    <s v="Ana Clara Brime"/>
    <d v="2025-08-06T13:25:00"/>
    <s v="L9K3"/>
    <s v="-"/>
    <s v="OFF LINE"/>
    <s v="Invoice"/>
    <s v="Faturado"/>
    <x v="1"/>
    <s v="N"/>
    <x v="60"/>
    <s v="Grupo Casas Bahia S.a."/>
    <s v="-"/>
    <s v="-"/>
    <s v="-"/>
    <x v="48"/>
    <s v="-"/>
    <x v="27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1"/>
  </r>
  <r>
    <n v="22703008"/>
    <n v="23505125"/>
    <s v="ACC01"/>
    <x v="352"/>
    <d v="2025-08-07T18:36:47"/>
    <x v="0"/>
    <x v="1"/>
    <s v="SPLCVC"/>
    <s v="SABRE"/>
    <s v="ANTONINI LOURENCO/LUIS CESAR"/>
    <s v="Flavia Constanzi do Nascimento"/>
    <s v="CORA TORLAI CIRINO"/>
    <d v="2025-08-07T15:13:00"/>
    <s v="SPLCVC"/>
    <s v="-"/>
    <s v="ON LINE"/>
    <s v="Invoice"/>
    <s v="Faturado"/>
    <x v="2"/>
    <s v="N"/>
    <x v="61"/>
    <s v="Consulado Geral da Nova Zelandia"/>
    <s v="-"/>
    <s v="Latam Airlines Brasil"/>
    <n v="2971592839"/>
    <x v="49"/>
    <s v="-"/>
    <x v="271"/>
    <n v="59.54"/>
    <n v="403.65"/>
    <n v="0"/>
    <n v="59.54"/>
    <n v="0"/>
    <n v="0"/>
    <s v="Reserva importada por HubTravel"/>
    <s v="Empenho/departamento não preenchido! (ACC01)"/>
    <x v="4"/>
    <x v="18"/>
    <s v="Falta de informação Gerencial"/>
    <x v="0"/>
    <s v="Qualidade dos dados"/>
    <s v="KONTIK BUSINESS TRAVEL"/>
    <x v="6"/>
  </r>
  <r>
    <n v="22703334"/>
    <n v="23505442"/>
    <s v="ACC01"/>
    <x v="353"/>
    <d v="2025-08-07T19:21:22"/>
    <x v="0"/>
    <x v="1"/>
    <s v="5GCXYC"/>
    <s v="TMS"/>
    <s v="CARLOS OLIVEIRA"/>
    <s v="Tms"/>
    <s v="Tms"/>
    <d v="2025-08-07T12:44:00"/>
    <n v="386"/>
    <s v="Taubate / QHP"/>
    <s v="ON LINE"/>
    <s v="Invoice"/>
    <s v="Faturado"/>
    <x v="3"/>
    <s v="N"/>
    <x v="5"/>
    <s v="Zupper Viagens Internas"/>
    <s v="-"/>
    <s v="-"/>
    <s v="-"/>
    <x v="50"/>
    <s v="-"/>
    <x v="272"/>
    <n v="0"/>
    <n v="0"/>
    <n v="0"/>
    <n v="0"/>
    <n v="0"/>
    <n v="0"/>
    <s v="Reserva importada do Sistema TMS. OS: 386"/>
    <s v="Fornecedor não preenchido! (ACC01)"/>
    <x v="3"/>
    <x v="1"/>
    <s v="Campo Fornecedor"/>
    <x v="0"/>
    <s v="Qualidade dos dados"/>
    <s v="ZUPPER VIAGENS"/>
    <x v="3"/>
  </r>
  <r>
    <n v="22694934"/>
    <n v="23497788"/>
    <s v="ACC01"/>
    <x v="354"/>
    <d v="2025-08-06T17:24:45"/>
    <x v="0"/>
    <x v="1"/>
    <s v="LXVMIH"/>
    <s v="SABRE"/>
    <s v="SOUZA/RODRIGO GENTIL GONCALVES DE"/>
    <s v="WS"/>
    <s v="WS"/>
    <d v="2025-08-05T15:44:00"/>
    <s v="LXVMIH"/>
    <s v="-"/>
    <s v="ON LINE"/>
    <s v="Cartão de crédito"/>
    <s v="Cartão AMEX"/>
    <x v="2"/>
    <s v="N"/>
    <x v="62"/>
    <s v="Atento Brasil S/a"/>
    <s v="-"/>
    <s v="Gol Linhas Aereas"/>
    <n v="2142757360"/>
    <x v="51"/>
    <s v="-"/>
    <x v="273"/>
    <n v="120.57"/>
    <n v="0"/>
    <n v="0"/>
    <n v="0"/>
    <n v="0"/>
    <n v="0"/>
    <s v="Reserva importada por HubTravel"/>
    <s v="Projeto não preenchido! (ACC01)"/>
    <x v="4"/>
    <x v="19"/>
    <s v="Falta de informação Gerencial"/>
    <x v="0"/>
    <s v="Qualidade dos dados"/>
    <s v="KONTIK BUSINESS TRAVEL"/>
    <x v="1"/>
  </r>
  <r>
    <n v="22700754"/>
    <n v="23502970"/>
    <s v="ACC01"/>
    <x v="355"/>
    <d v="2025-08-07T12:53:08"/>
    <x v="0"/>
    <x v="1"/>
    <s v="DOTTHU1"/>
    <s v="TMS"/>
    <s v="SUELMA ROSA DOS SANTOS"/>
    <s v="Tami Maron"/>
    <s v="Tami Maron"/>
    <d v="2025-08-07T10:19:00"/>
    <n v="1293"/>
    <s v="-"/>
    <s v="OFF LINE"/>
    <s v="Cartão de crédito"/>
    <s v="Cartão AMEX"/>
    <x v="2"/>
    <s v="N"/>
    <x v="63"/>
    <s v="Pepsico"/>
    <s v="-"/>
    <s v="Latam Airlines Brasil"/>
    <n v="2971585096"/>
    <x v="52"/>
    <s v="-"/>
    <x v="1"/>
    <n v="30.95"/>
    <n v="0"/>
    <n v="0"/>
    <n v="0"/>
    <n v="0"/>
    <n v="0"/>
    <s v="Reserva importada do Sistema TMS. OS: 1293"/>
    <s v="Verificação de bilhetes: Bilhete 2971585096 já sendo utilizado para este fornecedor."/>
    <x v="1"/>
    <x v="3"/>
    <s v="Bilhete Já Contabilizado"/>
    <x v="1"/>
    <s v="Qualidade dos dados"/>
    <s v="GRUPO KONTIK"/>
    <x v="4"/>
  </r>
  <r>
    <n v="22693310"/>
    <n v="23496252"/>
    <s v="ACC01"/>
    <x v="356"/>
    <d v="2025-08-06T13:20:50"/>
    <x v="0"/>
    <x v="1"/>
    <s v="5GSKQQ"/>
    <s v="TMS"/>
    <s v="RAPHAEL WOREK CYJON"/>
    <s v="Thais Matte Andreis"/>
    <s v="Thais Matte Andreis"/>
    <d v="2025-08-06T09:45:00"/>
    <n v="1251"/>
    <s v="-"/>
    <s v="OFF LINE"/>
    <s v="Cartão de crédito"/>
    <s v="Cartão de crédito"/>
    <x v="1"/>
    <s v="N"/>
    <x v="63"/>
    <s v="Pepsico"/>
    <s v="-"/>
    <s v="-"/>
    <s v="-"/>
    <x v="52"/>
    <s v="-"/>
    <x v="274"/>
    <n v="0"/>
    <n v="0"/>
    <n v="0"/>
    <n v="0"/>
    <n v="0"/>
    <n v="0"/>
    <s v="Reserva importada do Sistema TMS. OS: 1251"/>
    <s v="Fornecedor não preenchido! (ACC01)"/>
    <x v="1"/>
    <x v="1"/>
    <s v="Campo Fornecedor"/>
    <x v="0"/>
    <s v="Qualidade dos dados"/>
    <s v="KONTIK BUSINESS TRAVEL"/>
    <x v="1"/>
  </r>
  <r>
    <n v="22678475"/>
    <n v="23483048"/>
    <s v="ACC01"/>
    <x v="357"/>
    <d v="2025-08-04T12:58:59"/>
    <x v="1"/>
    <x v="0"/>
    <s v="5F6KG7"/>
    <s v="TMS"/>
    <s v="RAPHAEL WOREK CYJON"/>
    <s v="Thais Matte Andreis"/>
    <s v="Thais Matte Andreis"/>
    <d v="2025-08-04T11:07:00"/>
    <n v="1136"/>
    <s v="-"/>
    <s v="OFF LINE"/>
    <s v="Cartão de crédito"/>
    <s v="Cartão de crédito"/>
    <x v="1"/>
    <s v="N"/>
    <x v="63"/>
    <s v="Pepsico"/>
    <s v="-"/>
    <s v="-"/>
    <s v="-"/>
    <x v="52"/>
    <s v="-"/>
    <x v="275"/>
    <n v="0"/>
    <n v="0"/>
    <n v="0"/>
    <n v="0"/>
    <n v="0"/>
    <n v="0"/>
    <s v="Reserva importada do Sistema TMS. OS: 1136"/>
    <s v="Fornecedor não preenchido! (ACC01)"/>
    <x v="1"/>
    <x v="1"/>
    <s v="Campo Fornecedor"/>
    <x v="0"/>
    <s v="Qualidade dos dados"/>
    <s v="KONTIK BUSINESS TRAVEL"/>
    <x v="1"/>
  </r>
  <r>
    <n v="22678480"/>
    <n v="23483052"/>
    <s v="ACC01"/>
    <x v="358"/>
    <d v="2025-08-04T13:02:47"/>
    <x v="1"/>
    <x v="0"/>
    <s v="5FNIGJ"/>
    <s v="TMS"/>
    <s v="PRISCILA SILVEIRA"/>
    <s v="Tms"/>
    <s v="Tms"/>
    <d v="2025-08-04T10:34:00"/>
    <n v="1133"/>
    <s v="-"/>
    <s v="ON LINE"/>
    <s v="Cartão de crédito"/>
    <s v="Cartão de crédito"/>
    <x v="1"/>
    <s v="N"/>
    <x v="63"/>
    <s v="Pepsico do Brasil Industria e Comercio de Alimentos Ltda."/>
    <s v="-"/>
    <s v="-"/>
    <s v="-"/>
    <x v="52"/>
    <s v="-"/>
    <x v="276"/>
    <n v="0"/>
    <n v="0"/>
    <n v="0"/>
    <n v="0"/>
    <n v="29.86"/>
    <n v="0"/>
    <s v="Reserva importada do Sistema TMS. OS: 1133"/>
    <s v="Fornecedor não preenchido! (ACC01)"/>
    <x v="1"/>
    <x v="1"/>
    <s v="Campo Fornecedor"/>
    <x v="0"/>
    <s v="Sistêmico"/>
    <s v="GRUPO KONTIK"/>
    <x v="8"/>
  </r>
  <r>
    <n v="22678488"/>
    <n v="23483060"/>
    <s v="ACC01"/>
    <x v="359"/>
    <d v="2025-08-04T13:03:00"/>
    <x v="1"/>
    <x v="0"/>
    <s v="5FGLGU"/>
    <s v="TMS"/>
    <s v="MARCELA SILVEIRA"/>
    <s v="Tms"/>
    <s v="Tms"/>
    <d v="2025-08-04T10:58:00"/>
    <n v="1108"/>
    <s v="-"/>
    <s v="ON LINE"/>
    <s v="Cartão de crédito"/>
    <s v="Cartão de crédito"/>
    <x v="1"/>
    <s v="N"/>
    <x v="63"/>
    <s v="Pepsico do Brasil Industria e Comercio de Alimentos Ltda."/>
    <s v="-"/>
    <s v="-"/>
    <s v="-"/>
    <x v="52"/>
    <s v="-"/>
    <x v="277"/>
    <n v="0"/>
    <n v="0"/>
    <n v="0"/>
    <n v="0"/>
    <n v="902.5"/>
    <n v="0"/>
    <s v="Reserva importada do Sistema TMS. OS: 1108"/>
    <s v="Fornecedor não preenchido! (ACC01)"/>
    <x v="1"/>
    <x v="1"/>
    <s v="Campo Fornecedor"/>
    <x v="0"/>
    <s v="Sistêmico"/>
    <s v="GRUPO KONTIK"/>
    <x v="8"/>
  </r>
  <r>
    <n v="22702799"/>
    <n v="23504923"/>
    <s v="ACC01"/>
    <x v="360"/>
    <d v="2025-08-07T18:35:50"/>
    <x v="0"/>
    <x v="1"/>
    <s v="5GH7ED"/>
    <s v="TMS"/>
    <s v="SILVIO ROBERTO CAMPOS"/>
    <s v="Tms"/>
    <s v="Tms"/>
    <d v="2025-08-07T17:50:00"/>
    <n v="2724"/>
    <s v="Natal / NAT"/>
    <s v="ON LINE"/>
    <s v="Invoice"/>
    <s v="Faturado"/>
    <x v="3"/>
    <s v="N"/>
    <x v="64"/>
    <s v="Bernoulli Sistema de Ensino - Belo Horizonte"/>
    <s v="-"/>
    <s v="-"/>
    <s v="-"/>
    <x v="53"/>
    <s v="-"/>
    <x v="278"/>
    <n v="0"/>
    <n v="0"/>
    <n v="0"/>
    <n v="0"/>
    <n v="0"/>
    <n v="0"/>
    <s v="Reserva importada do Sistema TMS. OS: 2724"/>
    <s v="Fornecedor não preenchido! (ACC01)"/>
    <x v="1"/>
    <x v="1"/>
    <s v="Campo Fornecedor"/>
    <x v="0"/>
    <s v="Qualidade dos dados"/>
    <s v="KONTIK BUSINESS TRAVEL"/>
    <x v="1"/>
  </r>
  <r>
    <n v="22702811"/>
    <n v="23504934"/>
    <s v="ACC01"/>
    <x v="361"/>
    <d v="2025-08-07T18:36:11"/>
    <x v="0"/>
    <x v="1"/>
    <s v="5GWK3E"/>
    <s v="TMS"/>
    <s v="IGOR CAMPOS"/>
    <s v="Tms"/>
    <s v="Tms"/>
    <d v="2025-08-07T17:52:00"/>
    <n v="2706"/>
    <s v="Belo Horizonte / BHZ"/>
    <s v="ON LINE"/>
    <s v="Invoice"/>
    <s v="Faturado"/>
    <x v="3"/>
    <s v="N"/>
    <x v="64"/>
    <s v="Bernoulli Sistema de Ensino - Belo Horizonte"/>
    <s v="-"/>
    <s v="-"/>
    <s v="-"/>
    <x v="53"/>
    <s v="-"/>
    <x v="279"/>
    <n v="0"/>
    <n v="0"/>
    <n v="0"/>
    <n v="0"/>
    <n v="0"/>
    <n v="0"/>
    <s v="Reserva importada do Sistema TMS. OS: 2706"/>
    <s v="Fornecedor não preenchido! (ACC01)"/>
    <x v="1"/>
    <x v="1"/>
    <s v="Campo Fornecedor"/>
    <x v="0"/>
    <s v="Qualidade dos dados"/>
    <s v="KONTIK BUSINESS TRAVEL"/>
    <x v="1"/>
  </r>
  <r>
    <n v="22702819"/>
    <n v="23504941"/>
    <s v="ACC01"/>
    <x v="362"/>
    <d v="2025-08-07T18:36:32"/>
    <x v="0"/>
    <x v="1"/>
    <s v="5GTKEC"/>
    <s v="TMS"/>
    <s v="LILIANA BUSCA"/>
    <s v="Tms"/>
    <s v="Tms"/>
    <d v="2025-08-07T17:52:00"/>
    <n v="2701"/>
    <s v="Jundiaí / QDV"/>
    <s v="ON LINE"/>
    <s v="Invoice"/>
    <s v="Faturado"/>
    <x v="3"/>
    <s v="N"/>
    <x v="64"/>
    <s v="Bernoulli Sistema de Ensino - Belo Horizonte"/>
    <s v="-"/>
    <s v="-"/>
    <s v="-"/>
    <x v="53"/>
    <s v="-"/>
    <x v="280"/>
    <n v="0"/>
    <n v="0"/>
    <n v="0"/>
    <n v="0"/>
    <n v="0"/>
    <n v="0"/>
    <s v="Reserva importada do Sistema TMS. OS: 2701"/>
    <s v="Fornecedor não preenchido! (ACC01)"/>
    <x v="1"/>
    <x v="1"/>
    <s v="Campo Fornecedor"/>
    <x v="0"/>
    <s v="Qualidade dos dados"/>
    <s v="KONTIK BUSINESS TRAVEL"/>
    <x v="1"/>
  </r>
  <r>
    <n v="22702841"/>
    <n v="23504957"/>
    <s v="ACC01"/>
    <x v="363"/>
    <d v="2025-08-07T18:36:51"/>
    <x v="0"/>
    <x v="1"/>
    <s v="5GZL3D"/>
    <s v="TMS"/>
    <s v="RODRIGO MARQUES"/>
    <s v="Tms"/>
    <s v="Tms"/>
    <d v="2025-08-07T17:51:00"/>
    <n v="2680"/>
    <s v="Vitoria / VIX"/>
    <s v="ON LINE"/>
    <s v="Invoice"/>
    <s v="Faturado"/>
    <x v="3"/>
    <s v="N"/>
    <x v="64"/>
    <s v="Bernoulli Sistema de Ensino - Belo Horizonte"/>
    <s v="-"/>
    <s v="-"/>
    <s v="-"/>
    <x v="53"/>
    <s v="-"/>
    <x v="281"/>
    <n v="0"/>
    <n v="0"/>
    <n v="0"/>
    <n v="0"/>
    <n v="0"/>
    <n v="0"/>
    <s v="Reserva importada do Sistema TMS. OS: 2680"/>
    <s v="Fornecedor não preenchido! (ACC01)"/>
    <x v="1"/>
    <x v="1"/>
    <s v="Campo Fornecedor"/>
    <x v="0"/>
    <s v="Qualidade dos dados"/>
    <s v="KONTIK BUSINESS TRAVEL"/>
    <x v="1"/>
  </r>
  <r>
    <n v="22702843"/>
    <n v="23504959"/>
    <s v="ACC01"/>
    <x v="364"/>
    <d v="2025-08-07T18:36:52"/>
    <x v="0"/>
    <x v="1"/>
    <s v="5GX933"/>
    <s v="TMS"/>
    <s v="REBECA TEIXEIRA"/>
    <s v="Tms"/>
    <s v="Tms"/>
    <d v="2025-08-07T17:49:00"/>
    <n v="2677"/>
    <s v="Juiz de Fora - Zona da Mata / IZA"/>
    <s v="ON LINE"/>
    <s v="Invoice"/>
    <s v="Faturado"/>
    <x v="3"/>
    <s v="N"/>
    <x v="64"/>
    <s v="Bernoulli Sistema de Ensino - Belo Horizonte"/>
    <s v="-"/>
    <s v="-"/>
    <s v="-"/>
    <x v="53"/>
    <s v="-"/>
    <x v="282"/>
    <n v="0"/>
    <n v="0"/>
    <n v="0"/>
    <n v="0"/>
    <n v="0"/>
    <n v="0"/>
    <s v="Reserva importada do Sistema TMS. OS: 2677"/>
    <s v="Fornecedor não preenchido! (ACC01)"/>
    <x v="1"/>
    <x v="1"/>
    <s v="Campo Fornecedor"/>
    <x v="0"/>
    <s v="Qualidade dos dados"/>
    <s v="KONTIK BUSINESS TRAVEL"/>
    <x v="1"/>
  </r>
  <r>
    <n v="22702859"/>
    <n v="23504975"/>
    <s v="ACC01"/>
    <x v="365"/>
    <d v="2025-08-07T18:37:05"/>
    <x v="0"/>
    <x v="1"/>
    <s v="5G5NDC"/>
    <s v="TMS"/>
    <s v="MAYSA SILVA"/>
    <s v="Tms"/>
    <s v="Tms"/>
    <d v="2025-08-07T15:17:00"/>
    <n v="2669"/>
    <s v="Campo Grande / CGR"/>
    <s v="ON LINE"/>
    <s v="Invoice"/>
    <s v="Faturado"/>
    <x v="3"/>
    <s v="N"/>
    <x v="64"/>
    <s v="Bernoulli Sistema de Ensino - Belo Horizonte"/>
    <s v="-"/>
    <s v="-"/>
    <s v="-"/>
    <x v="53"/>
    <s v="-"/>
    <x v="283"/>
    <n v="0"/>
    <n v="0"/>
    <n v="0"/>
    <n v="0"/>
    <n v="0"/>
    <n v="0"/>
    <s v="Reserva importada do Sistema TMS. OS: 2669"/>
    <s v="Fornecedor não preenchido! (ACC01)"/>
    <x v="1"/>
    <x v="1"/>
    <s v="Campo Fornecedor"/>
    <x v="0"/>
    <s v="Qualidade dos dados"/>
    <s v="KONTIK BUSINESS TRAVEL"/>
    <x v="1"/>
  </r>
  <r>
    <n v="22702870"/>
    <n v="23504986"/>
    <s v="ACC01"/>
    <x v="366"/>
    <d v="2025-08-07T18:40:37"/>
    <x v="0"/>
    <x v="1"/>
    <s v="5GUNDE"/>
    <s v="TMS"/>
    <s v="ADRIANO MARTHI"/>
    <s v="Tms"/>
    <s v="Tms"/>
    <d v="2025-08-07T17:49:00"/>
    <n v="2660"/>
    <s v="Sorocaba / SOD"/>
    <s v="ON LINE"/>
    <s v="Invoice"/>
    <s v="Faturado"/>
    <x v="3"/>
    <s v="N"/>
    <x v="64"/>
    <s v="Bernoulli Sistema de Ensino - Belo Horizonte"/>
    <s v="-"/>
    <s v="-"/>
    <s v="-"/>
    <x v="53"/>
    <s v="-"/>
    <x v="284"/>
    <n v="0"/>
    <n v="0"/>
    <n v="0"/>
    <n v="0"/>
    <n v="0"/>
    <n v="0"/>
    <s v="Reserva importada do Sistema TMS. OS: 2660"/>
    <s v="Fornecedor não preenchido! (ACC01)"/>
    <x v="1"/>
    <x v="1"/>
    <s v="Campo Fornecedor"/>
    <x v="0"/>
    <s v="Qualidade dos dados"/>
    <s v="KONTIK BUSINESS TRAVEL"/>
    <x v="1"/>
  </r>
  <r>
    <n v="22702871"/>
    <n v="23504987"/>
    <s v="ACC01"/>
    <x v="367"/>
    <d v="2025-08-07T18:40:38"/>
    <x v="0"/>
    <x v="1"/>
    <s v="5GK9ED"/>
    <s v="TMS"/>
    <s v="JULIANO COELHO"/>
    <s v="Tms"/>
    <s v="Tms"/>
    <d v="2025-08-07T17:48:00"/>
    <n v="2650"/>
    <s v="Uberaba / UBA"/>
    <s v="ON LINE"/>
    <s v="Invoice"/>
    <s v="Faturado"/>
    <x v="3"/>
    <s v="N"/>
    <x v="64"/>
    <s v="Bernoulli Sistema de Ensino - Belo Horizonte"/>
    <s v="-"/>
    <s v="-"/>
    <s v="-"/>
    <x v="53"/>
    <s v="-"/>
    <x v="285"/>
    <n v="0"/>
    <n v="0"/>
    <n v="0"/>
    <n v="0"/>
    <n v="0"/>
    <n v="0"/>
    <s v="Reserva importada do Sistema TMS. OS: 2650"/>
    <s v="Fornecedor não preenchido! (ACC01)"/>
    <x v="1"/>
    <x v="1"/>
    <s v="Campo Fornecedor"/>
    <x v="0"/>
    <s v="Qualidade dos dados"/>
    <s v="KONTIK BUSINESS TRAVEL"/>
    <x v="1"/>
  </r>
  <r>
    <n v="22702833"/>
    <n v="23504952"/>
    <s v="ACC01"/>
    <x v="368"/>
    <d v="2025-08-07T18:36:48"/>
    <x v="0"/>
    <x v="1"/>
    <s v="5GO83D"/>
    <s v="TMS"/>
    <s v="WILDER FERNANDES"/>
    <s v="Thais Peixoto de Melo"/>
    <s v="Thais Peixoto de Melo"/>
    <d v="2025-08-07T17:51:00"/>
    <n v="2691"/>
    <s v="Ribeirão Preto / RAO"/>
    <s v="ON LINE"/>
    <s v="Invoice"/>
    <s v="Faturado"/>
    <x v="3"/>
    <s v="N"/>
    <x v="64"/>
    <s v="Bernoulli Sistema de Ensino - Belo Horizonte"/>
    <s v="-"/>
    <s v="-"/>
    <s v="-"/>
    <x v="53"/>
    <s v="-"/>
    <x v="286"/>
    <n v="0"/>
    <n v="0"/>
    <n v="0"/>
    <n v="0"/>
    <n v="0"/>
    <n v="0"/>
    <s v="Reserva importada do Sistema TMS. OS: 2691"/>
    <s v="Fornecedor não preenchido! (ACC01)"/>
    <x v="1"/>
    <x v="1"/>
    <s v="Campo Fornecedor"/>
    <x v="0"/>
    <s v="Qualidade dos dados"/>
    <s v="KONTIK BUSINESS TRAVEL"/>
    <x v="1"/>
  </r>
  <r>
    <n v="22702836"/>
    <n v="23504954"/>
    <s v="ACC01"/>
    <x v="369"/>
    <d v="2025-08-07T18:36:49"/>
    <x v="0"/>
    <x v="1"/>
    <s v="5GMNEE"/>
    <s v="TMS"/>
    <s v="WILDER FERNANDES"/>
    <s v="Thais Peixoto de Melo"/>
    <s v="Thais Peixoto de Melo"/>
    <d v="2025-08-07T17:51:00"/>
    <n v="2688"/>
    <s v="Ribeirão Preto / RAO"/>
    <s v="ON LINE"/>
    <s v="Invoice"/>
    <s v="Faturado"/>
    <x v="3"/>
    <s v="N"/>
    <x v="64"/>
    <s v="Bernoulli Sistema de Ensino - Belo Horizonte"/>
    <s v="-"/>
    <s v="-"/>
    <s v="-"/>
    <x v="53"/>
    <s v="-"/>
    <x v="282"/>
    <n v="0"/>
    <n v="0"/>
    <n v="0"/>
    <n v="0"/>
    <n v="0"/>
    <n v="0"/>
    <s v="Reserva importada do Sistema TMS. OS: 2688"/>
    <s v="Fornecedor não preenchido! (ACC01)"/>
    <x v="1"/>
    <x v="1"/>
    <s v="Campo Fornecedor"/>
    <x v="0"/>
    <s v="Qualidade dos dados"/>
    <s v="KONTIK BUSINESS TRAVEL"/>
    <x v="1"/>
  </r>
  <r>
    <n v="22702806"/>
    <n v="23504930"/>
    <s v="ACC01"/>
    <x v="370"/>
    <d v="2025-08-07T18:36:10"/>
    <x v="0"/>
    <x v="1"/>
    <s v="5G1KE3"/>
    <s v="TMS"/>
    <s v="LUCIANA NUNES"/>
    <s v="Thais Peixoto de Melo"/>
    <s v="Thais Peixoto de Melo"/>
    <d v="2025-08-07T17:49:00"/>
    <n v="2710"/>
    <s v="Maraba / MAB"/>
    <s v="ON LINE"/>
    <s v="Invoice"/>
    <s v="Faturado"/>
    <x v="3"/>
    <s v="N"/>
    <x v="64"/>
    <s v="Bernoulli Sistema de Ensino - Belo Horizonte"/>
    <s v="-"/>
    <s v="-"/>
    <s v="-"/>
    <x v="53"/>
    <s v="-"/>
    <x v="287"/>
    <n v="0"/>
    <n v="0"/>
    <n v="0"/>
    <n v="0"/>
    <n v="0"/>
    <n v="0"/>
    <s v="Reserva importada do Sistema TMS. OS: 2710"/>
    <s v="Fornecedor não preenchido! (ACC01)"/>
    <x v="1"/>
    <x v="1"/>
    <s v="Campo Fornecedor"/>
    <x v="0"/>
    <s v="Qualidade dos dados"/>
    <s v="KONTIK BUSINESS TRAVEL"/>
    <x v="1"/>
  </r>
  <r>
    <n v="22692949"/>
    <n v="23495893"/>
    <s v="ACC01"/>
    <x v="371"/>
    <d v="2025-08-06T12:31:43"/>
    <x v="0"/>
    <x v="1"/>
    <s v="5GU8NM"/>
    <s v="TMS"/>
    <s v="BRAULIO UCHOA"/>
    <s v="Thais Peixoto de Melo"/>
    <s v="Thais Peixoto de Melo"/>
    <d v="2025-08-06T08:53:00"/>
    <n v="2186"/>
    <s v="-"/>
    <s v="OFF LINE"/>
    <s v="Invoice"/>
    <s v="Faturado"/>
    <x v="0"/>
    <s v="N"/>
    <x v="64"/>
    <s v="Bernoulli Sistema de Ensino - Belo Horizonte"/>
    <s v="-"/>
    <s v="-"/>
    <s v="-"/>
    <x v="53"/>
    <s v="-"/>
    <x v="288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1"/>
  </r>
  <r>
    <n v="22692950"/>
    <n v="23495894"/>
    <s v="ACC01"/>
    <x v="371"/>
    <d v="2025-08-06T12:31:44"/>
    <x v="0"/>
    <x v="1"/>
    <s v="5GIK90"/>
    <s v="TMS"/>
    <s v="BRAULIO UCHOA"/>
    <s v="Thais Peixoto de Melo"/>
    <s v="Thais Peixoto de Melo"/>
    <d v="2025-08-06T08:53:00"/>
    <n v="2186"/>
    <s v="-"/>
    <s v="OFF LINE"/>
    <s v="Invoice"/>
    <s v="Faturado"/>
    <x v="0"/>
    <s v="N"/>
    <x v="64"/>
    <s v="Bernoulli Sistema de Ensino - Belo Horizonte"/>
    <s v="-"/>
    <s v="-"/>
    <s v="-"/>
    <x v="53"/>
    <s v="-"/>
    <x v="289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1"/>
  </r>
  <r>
    <n v="22692951"/>
    <n v="23495895"/>
    <s v="ACC01"/>
    <x v="371"/>
    <d v="2025-08-06T12:31:45"/>
    <x v="0"/>
    <x v="1"/>
    <s v="5GNKNB"/>
    <s v="TMS"/>
    <s v="BRAULIO UCHOA"/>
    <s v="Thais Peixoto de Melo"/>
    <s v="Thais Peixoto de Melo"/>
    <d v="2025-08-06T08:53:00"/>
    <n v="2186"/>
    <s v="-"/>
    <s v="OFF LINE"/>
    <s v="Invoice"/>
    <s v="Faturado"/>
    <x v="0"/>
    <s v="N"/>
    <x v="64"/>
    <s v="Bernoulli Sistema de Ensino - Belo Horizonte"/>
    <s v="-"/>
    <s v="-"/>
    <s v="-"/>
    <x v="53"/>
    <s v="-"/>
    <x v="288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1"/>
  </r>
  <r>
    <n v="22692952"/>
    <n v="23495896"/>
    <s v="ACC01"/>
    <x v="372"/>
    <d v="2025-08-06T12:31:45"/>
    <x v="0"/>
    <x v="1"/>
    <s v="5GMLOM"/>
    <s v="TMS"/>
    <s v="MOZART RAMOS"/>
    <s v="Thais Peixoto de Melo"/>
    <s v="Thais Peixoto de Melo"/>
    <d v="2025-08-06T08:51:00"/>
    <n v="2179"/>
    <s v="-"/>
    <s v="OFF LINE"/>
    <s v="Invoice"/>
    <s v="Faturado"/>
    <x v="0"/>
    <s v="N"/>
    <x v="64"/>
    <s v="Bernoulli Sistema de Ensino - Belo Horizonte"/>
    <s v="-"/>
    <s v="-"/>
    <s v="-"/>
    <x v="53"/>
    <s v="-"/>
    <x v="288"/>
    <n v="0"/>
    <n v="0"/>
    <n v="0"/>
    <n v="0"/>
    <n v="0"/>
    <n v="0"/>
    <s v="Reserva importada do Sistema TMS. OS: 2179"/>
    <s v="Fornecedor não preenchido! (ACC01)"/>
    <x v="1"/>
    <x v="1"/>
    <s v="Campo Fornecedor"/>
    <x v="0"/>
    <s v="Qualidade dos dados"/>
    <s v="KONTIK BUSINESS TRAVEL"/>
    <x v="1"/>
  </r>
  <r>
    <n v="22692953"/>
    <n v="23495897"/>
    <s v="ACC01"/>
    <x v="373"/>
    <d v="2025-08-06T12:31:46"/>
    <x v="0"/>
    <x v="1"/>
    <s v="5G1N9P"/>
    <s v="TMS"/>
    <s v="MOZART RAMOS"/>
    <s v="Thais Peixoto de Melo"/>
    <s v="Thais Peixoto de Melo"/>
    <d v="2025-08-06T08:51:00"/>
    <n v="2179"/>
    <s v="-"/>
    <s v="OFF LINE"/>
    <s v="Invoice"/>
    <s v="Faturado"/>
    <x v="0"/>
    <s v="N"/>
    <x v="64"/>
    <s v="Bernoulli Sistema de Ensino - Belo Horizonte"/>
    <s v="-"/>
    <s v="-"/>
    <s v="-"/>
    <x v="53"/>
    <s v="-"/>
    <x v="289"/>
    <n v="0"/>
    <n v="0"/>
    <n v="0"/>
    <n v="0"/>
    <n v="0"/>
    <n v="0"/>
    <s v="Reserva importada do Sistema TMS. OS: 2179"/>
    <s v="Fornecedor não preenchido! (ACC01)"/>
    <x v="1"/>
    <x v="1"/>
    <s v="Campo Fornecedor"/>
    <x v="0"/>
    <s v="Qualidade dos dados"/>
    <s v="KONTIK BUSINESS TRAVEL"/>
    <x v="1"/>
  </r>
  <r>
    <n v="22685436"/>
    <n v="23489251"/>
    <s v="ACC01"/>
    <x v="374"/>
    <d v="2025-08-05T12:21:44"/>
    <x v="1"/>
    <x v="0"/>
    <s v="5F1DW9"/>
    <s v="TMS"/>
    <s v="ALESSANDRA ABREU"/>
    <s v="Tms"/>
    <s v="Tms"/>
    <d v="2025-08-05T10:21:00"/>
    <n v="2554"/>
    <s v="-"/>
    <s v="ON LINE"/>
    <s v="Cartão de crédito"/>
    <s v="Faturado"/>
    <x v="1"/>
    <s v="N"/>
    <x v="64"/>
    <s v="Bernoulli Sistema de Ensino - Belo Horizonte"/>
    <s v="-"/>
    <s v="-"/>
    <s v="-"/>
    <x v="53"/>
    <s v="-"/>
    <x v="290"/>
    <n v="0"/>
    <n v="0"/>
    <n v="0"/>
    <n v="0"/>
    <n v="62"/>
    <n v="0"/>
    <s v="Reserva importada do Sistema TMS. OS: 2554"/>
    <s v="Fornecedor não preenchido! (ACC01)"/>
    <x v="1"/>
    <x v="1"/>
    <s v="Campo Fornecedor"/>
    <x v="0"/>
    <s v="Sistêmico"/>
    <s v="GRUPO KONTIK"/>
    <x v="8"/>
  </r>
  <r>
    <n v="22685449"/>
    <n v="23489263"/>
    <s v="ACC01"/>
    <x v="375"/>
    <d v="2025-08-05T12:26:46"/>
    <x v="1"/>
    <x v="0"/>
    <s v="5FUD29"/>
    <s v="TMS"/>
    <s v="CRISTINA LIBARDI"/>
    <s v="Tms"/>
    <s v="Tms"/>
    <d v="2025-08-05T06:44:00"/>
    <n v="2474"/>
    <s v="Vila Velha / VIX"/>
    <s v="ON LINE"/>
    <s v="Invoice"/>
    <s v="Faturado"/>
    <x v="3"/>
    <s v="N"/>
    <x v="64"/>
    <s v="Bernoulli Sistema de Ensino - Belo Horizonte"/>
    <s v="-"/>
    <s v="-"/>
    <s v="-"/>
    <x v="53"/>
    <s v="-"/>
    <x v="291"/>
    <n v="0"/>
    <n v="0"/>
    <n v="0"/>
    <n v="0"/>
    <n v="0"/>
    <n v="0"/>
    <s v="Reserva importada do Sistema TMS. OS: 2474"/>
    <s v="Fornecedor não preenchido! (ACC01)"/>
    <x v="1"/>
    <x v="1"/>
    <s v="Campo Fornecedor"/>
    <x v="0"/>
    <s v="Qualidade dos dados"/>
    <s v="KONTIK BUSINESS TRAVEL"/>
    <x v="1"/>
  </r>
  <r>
    <n v="22701250"/>
    <n v="23503436"/>
    <s v="ACC"/>
    <x v="376"/>
    <d v="2025-08-07T14:10:06"/>
    <x v="0"/>
    <x v="1"/>
    <s v="5GQDP3"/>
    <s v="MANUAL"/>
    <s v="DEBORA TUREK"/>
    <s v="Claudia Lucia Stella"/>
    <s v="Claudia Lucia Stella"/>
    <d v="2025-08-07T13:57:00"/>
    <s v="-"/>
    <s v="-"/>
    <s v="OFF LINE"/>
    <s v="Cartão de crédito"/>
    <s v="Cartão de crédito"/>
    <x v="2"/>
    <s v="N"/>
    <x v="65"/>
    <s v="Genial Investimentos Corretora"/>
    <s v="-"/>
    <s v="Latam Airlines Brasil"/>
    <n v="4453300183"/>
    <x v="54"/>
    <s v="-"/>
    <x v="119"/>
    <n v="0"/>
    <n v="0"/>
    <n v="0"/>
    <n v="0"/>
    <n v="0"/>
    <n v="0"/>
    <s v="-"/>
    <s v="Verificação de bilhetes: Bilhete 4453300183 já sendo utilizado para este fornecedor."/>
    <x v="0"/>
    <x v="3"/>
    <s v="Bilhete Já Contabilizado"/>
    <x v="1"/>
    <s v="Qualidade dos dados"/>
    <s v="GRUPO KONTIK"/>
    <x v="4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  <r>
    <m/>
    <m/>
    <m/>
    <x v="377"/>
    <m/>
    <x v="7"/>
    <x v="7"/>
    <m/>
    <m/>
    <m/>
    <m/>
    <m/>
    <m/>
    <m/>
    <m/>
    <m/>
    <m/>
    <m/>
    <x v="4"/>
    <m/>
    <x v="66"/>
    <m/>
    <m/>
    <m/>
    <m/>
    <x v="55"/>
    <m/>
    <x v="292"/>
    <m/>
    <m/>
    <m/>
    <m/>
    <m/>
    <m/>
    <m/>
    <m/>
    <x v="8"/>
    <x v="20"/>
    <m/>
    <x v="5"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2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3:K89" firstHeaderRow="1" firstDataRow="2" firstDataCol="1"/>
  <pivotFields count="45">
    <pivotField showAll="0"/>
    <pivotField showAll="0"/>
    <pivotField showAll="0"/>
    <pivotField numFmtId="164"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2"/>
        <item x="3"/>
        <item x="1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7"/>
        <item x="4"/>
        <item x="2"/>
        <item x="6"/>
        <item x="5"/>
        <item x="3"/>
        <item m="1" x="10"/>
        <item x="8"/>
        <item x="1"/>
        <item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3"/>
    </i>
    <i>
      <x v="1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5">
    <format dxfId="34">
      <pivotArea outline="0" collapsedLevelsAreSubtotals="1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dataOnly="0" labelOnly="1" grandCol="1" outline="0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type="origin" dataOnly="0" labelOnly="1" outline="0" fieldPosition="0"/>
    </format>
    <format dxfId="27">
      <pivotArea type="topRight" dataOnly="0" labelOnly="1" outline="0" fieldPosition="0"/>
    </format>
    <format dxfId="26">
      <pivotArea field="18" type="button" dataOnly="0" labelOnly="1" outline="0" axis="axisRow" fieldPosition="0"/>
    </format>
    <format dxfId="25">
      <pivotArea dataOnly="0" labelOnly="1" fieldPosition="0">
        <references count="1">
          <reference field="18" count="0"/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18" type="button" dataOnly="0" labelOnly="1" outline="0" axis="axisRow" fieldPosition="0"/>
    </format>
    <format dxfId="16">
      <pivotArea dataOnly="0" labelOnly="1" fieldPosition="0">
        <references count="1">
          <reference field="18" count="0"/>
        </references>
      </pivotArea>
    </format>
    <format dxfId="15">
      <pivotArea dataOnly="0" labelOnly="1" grandRow="1" outline="0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4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8" type="button" dataOnly="0" labelOnly="1" outline="0" axis="axisRow" fieldPosition="0"/>
    </format>
    <format dxfId="8">
      <pivotArea dataOnly="0" labelOnly="1" fieldPosition="0">
        <references count="1">
          <reference field="18" count="0"/>
        </references>
      </pivotArea>
    </format>
    <format dxfId="7">
      <pivotArea dataOnly="0" labelOnly="1" grandRow="1" outline="0" fieldPosition="0"/>
    </format>
    <format dxfId="6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5">
      <pivotArea dataOnly="0" labelOnly="1" grandCol="1" outline="0" fieldPosition="0"/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dataOnly="0" labelOnly="1" grandCol="1" outline="0" fieldPosition="0"/>
    </format>
    <format dxfId="4">
      <pivotArea type="origin" dataOnly="0" labelOnly="1" outline="0" fieldPosition="0"/>
    </format>
    <format dxfId="3">
      <pivotArea field="18" type="button" dataOnly="0" labelOnly="1" outline="0" axis="axisRow" fieldPosition="0"/>
    </format>
    <format dxfId="2">
      <pivotArea dataOnly="0" labelOnly="1" fieldPosition="0">
        <references count="1">
          <reference field="18" count="0"/>
        </references>
      </pivotArea>
    </format>
    <format dxfId="1">
      <pivotArea dataOnly="0" labelOnly="1" grandRow="1" outline="0" fieldPosition="0"/>
    </format>
    <format dxfId="0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3" cacheId="154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>
  <location ref="A5:F14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compact="0" showAll="0"/>
    <pivotField axis="axisRow" compact="0" showAll="0">
      <items count="9">
        <item x="0"/>
        <item x="1"/>
        <item x="3"/>
        <item x="2"/>
        <item x="4"/>
        <item x="5"/>
        <item x="6"/>
        <item x="7"/>
        <item t="default"/>
      </items>
    </pivotField>
    <pivotField dataField="1" compact="0" showAll="0">
      <items count="9">
        <item x="1"/>
        <item x="0"/>
        <item x="4"/>
        <item x="2"/>
        <item x="5"/>
        <item x="6"/>
        <item x="3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2"/>
        <item x="3"/>
        <item x="1"/>
        <item x="0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6">
    <format dxfId="127">
      <pivotArea outline="0" collapsedLevelsAreSubtotals="1" fieldPosition="0"/>
    </format>
    <format dxfId="126">
      <pivotArea dataOnly="0" labelOnly="1" grandCol="1" outline="0" fieldPosition="0"/>
    </format>
    <format dxfId="125">
      <pivotArea type="all" dataOnly="0" outline="0" fieldPosition="0"/>
    </format>
    <format dxfId="124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23">
      <pivotArea dataOnly="0" labelOnly="1" grandCol="1" outline="0" fieldPosition="0"/>
    </format>
    <format dxfId="122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21">
      <pivotArea dataOnly="0" labelOnly="1" grandCol="1" outline="0" fieldPosition="0"/>
    </format>
    <format dxfId="120">
      <pivotArea type="origin" dataOnly="0" labelOnly="1" outline="0" fieldPosition="0"/>
    </format>
    <format dxfId="119">
      <pivotArea field="18" type="button" dataOnly="0" labelOnly="1" outline="0" axis="axisCol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type="origin" dataOnly="0" labelOnly="1" outline="0" fieldPosition="0"/>
    </format>
    <format dxfId="115">
      <pivotArea field="18" type="button" dataOnly="0" labelOnly="1" outline="0" axis="axisCol" fieldPosition="0"/>
    </format>
    <format dxfId="114">
      <pivotArea type="topRight" dataOnly="0" labelOnly="1" outline="0" fieldPosition="0"/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11">
      <pivotArea dataOnly="0" labelOnly="1" grandCol="1" outline="0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type="origin" dataOnly="0" labelOnly="1" outline="0" fieldPosition="0"/>
    </format>
    <format dxfId="107">
      <pivotArea field="18" type="button" dataOnly="0" labelOnly="1" outline="0" axis="axisCol" fieldPosition="0"/>
    </format>
    <format dxfId="106">
      <pivotArea type="topRight" dataOnly="0" labelOnly="1" outline="0" fieldPosition="0"/>
    </format>
    <format dxfId="105">
      <pivotArea dataOnly="0" labelOnly="1" grandRow="1" outline="0" fieldPosition="0"/>
    </format>
    <format dxfId="10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3">
      <pivotArea dataOnly="0" labelOnly="1" grandCol="1" outline="0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type="origin" dataOnly="0" labelOnly="1" outline="0" fieldPosition="0"/>
    </format>
    <format dxfId="99">
      <pivotArea field="18" type="button" dataOnly="0" labelOnly="1" outline="0" axis="axisCol" fieldPosition="0"/>
    </format>
    <format dxfId="98">
      <pivotArea type="topRight" dataOnly="0" labelOnly="1" outline="0" fieldPosition="0"/>
    </format>
    <format dxfId="97">
      <pivotArea dataOnly="0" labelOnly="1" grandRow="1" outline="0" fieldPosition="0"/>
    </format>
    <format dxfId="9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5">
      <pivotArea dataOnly="0" labelOnly="1" grandCol="1" outline="0" fieldPosition="0"/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type="origin" dataOnly="0" labelOnly="1" outline="0" fieldPosition="0"/>
    </format>
    <format dxfId="91">
      <pivotArea field="18" type="button" dataOnly="0" labelOnly="1" outline="0" axis="axisCol" fieldPosition="0"/>
    </format>
    <format dxfId="90">
      <pivotArea type="topRight" dataOnly="0" labelOnly="1" outline="0" fieldPosition="0"/>
    </format>
    <format dxfId="89">
      <pivotArea dataOnly="0" labelOnly="1" grandRow="1" outline="0" fieldPosition="0"/>
    </format>
    <format dxfId="8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7">
      <pivotArea dataOnly="0" labelOnly="1" grandCol="1" outline="0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dataOnly="0" labelOnly="1" grandRow="1" outline="0" fieldPosition="0"/>
    </format>
    <format dxfId="8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1">
      <pivotArea dataOnly="0" labelOnly="1" grandCol="1" outline="0" fieldPosition="0"/>
    </format>
    <format dxfId="80">
      <pivotArea outline="0" collapsedLevelsAreSubtotals="1" fieldPosition="0"/>
    </format>
    <format dxfId="7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8">
      <pivotArea dataOnly="0" labelOnly="1" grandCol="1" outline="0" fieldPosition="0"/>
    </format>
    <format dxfId="77">
      <pivotArea type="origin" dataOnly="0" labelOnly="1" outline="0" fieldPosition="0"/>
    </format>
    <format dxfId="76">
      <pivotArea dataOnly="0" labelOnly="1" grandRow="1" outline="0" fieldPosition="0"/>
    </format>
    <format dxfId="75">
      <pivotArea outline="0" collapsedLevelsAreSubtotals="1" fieldPosition="0"/>
    </format>
    <format dxfId="7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3">
      <pivotArea dataOnly="0" labelOnly="1" grandCol="1" outline="0" fieldPosition="0"/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type="origin" dataOnly="0" labelOnly="1" outline="0" fieldPosition="0"/>
    </format>
    <format dxfId="69">
      <pivotArea field="18" type="button" dataOnly="0" labelOnly="1" outline="0" axis="axisCol" fieldPosition="0"/>
    </format>
    <format dxfId="68">
      <pivotArea type="topRight" dataOnly="0" labelOnly="1" outline="0" fieldPosition="0"/>
    </format>
    <format dxfId="67">
      <pivotArea dataOnly="0" labelOnly="1" grandRow="1" outline="0" fieldPosition="0"/>
    </format>
    <format dxfId="6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5">
      <pivotArea dataOnly="0" labelOnly="1" grandCol="1" outline="0" fieldPosition="0"/>
    </format>
    <format>
      <pivotArea type="all" dataOnly="0" outline="0" fieldPosition="0"/>
    </format>
    <format dxfId="64">
      <pivotArea type="origin" dataOnly="0" labelOnly="1" outline="0" fieldPosition="0"/>
    </format>
    <format dxfId="63">
      <pivotArea field="18" type="button" dataOnly="0" labelOnly="1" outline="0" axis="axisCol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8" type="button" dataOnly="0" labelOnly="1" outline="0" axis="axisCol" fieldPosition="0"/>
    </format>
    <format dxfId="59">
      <pivotArea type="topRight" dataOnly="0" labelOnly="1" outline="0" fieldPosition="0"/>
    </format>
    <format dxfId="5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7">
      <pivotArea dataOnly="0" labelOnly="1" grandCol="1" outline="0" fieldPosition="0"/>
    </format>
    <format dxfId="56">
      <pivotArea type="origin" dataOnly="0" labelOnly="1" outline="0" fieldPosition="0"/>
    </format>
    <format dxfId="55">
      <pivotArea dataOnly="0" labelOnly="1" grandRow="1" outline="0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type="origin" dataOnly="0" labelOnly="1" outline="0" fieldPosition="0"/>
    </format>
    <format dxfId="51">
      <pivotArea field="18" type="button" dataOnly="0" labelOnly="1" outline="0" axis="axisCol" fieldPosition="0"/>
    </format>
    <format dxfId="50">
      <pivotArea type="topRight" dataOnly="0" labelOnly="1" outline="0" fieldPosition="0"/>
    </format>
    <format dxfId="49">
      <pivotArea dataOnly="0" labelOnly="1" grandRow="1" outline="0" fieldPosition="0"/>
    </format>
    <format dxfId="4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47">
      <pivotArea dataOnly="0" labelOnly="1" grandCol="1" outline="0" fieldPosition="0"/>
    </format>
    <format dxfId="46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45">
      <pivotArea grandRow="1" grandCol="1" outline="0" collapsedLevelsAreSubtotals="1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44">
      <pivotArea field="6" type="button" dataOnly="0" labelOnly="1" outline="0"/>
    </format>
    <format dxfId="43">
      <pivotArea fieldPosition="0">
        <references count="1">
          <reference field="5" count="2">
            <x v="5"/>
            <x v="6"/>
          </reference>
        </references>
      </pivotArea>
    </format>
    <format dxfId="42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41">
      <pivotArea type="origin" dataOnly="0" labelOnly="1" outline="0" fieldPosition="0"/>
    </format>
    <format dxfId="40">
      <pivotArea field="5" type="button" dataOnly="0" labelOnly="1" outline="0" axis="axisRow" fieldPosition="0"/>
    </format>
    <format dxfId="39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38">
      <pivotArea dataOnly="0" labelOnly="1" grandRow="1" outline="0" fieldPosition="0"/>
    </format>
    <format dxfId="37">
      <pivotArea fieldPosition="0">
        <references count="1">
          <reference field="5" count="1">
            <x v="4"/>
          </reference>
        </references>
      </pivotArea>
    </format>
    <format dxfId="36">
      <pivotArea dataOnly="0" labelOnly="1" outline="0" fieldPosition="0">
        <references count="1">
          <reference field="5" count="1">
            <x v="4"/>
          </reference>
        </references>
      </pivotArea>
    </format>
    <format dxfId="35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1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I39" firstHeaderRow="1" firstDataRow="2" firstDataCol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6"/>
        <item x="5"/>
        <item x="7"/>
        <item x="0"/>
        <item x="4"/>
        <item h="1" x="2"/>
        <item x="3"/>
        <item h="1" x="8"/>
        <item t="default"/>
      </items>
    </pivotField>
    <pivotField showAll="0"/>
    <pivotField showAll="0"/>
    <pivotField axis="axisRow" dataField="1" showAll="0" sortType="descending">
      <items count="7">
        <item x="5"/>
        <item x="0"/>
        <item x="2"/>
        <item x="3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6">
    <i>
      <x v="1"/>
    </i>
    <i>
      <x v="4"/>
    </i>
    <i>
      <x v="3"/>
    </i>
    <i>
      <x v="2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TIPO DE ERRO" fld="39" subtotal="count" baseField="0" baseItem="0" numFmtId="3"/>
  </dataFields>
  <formats count="107">
    <format dxfId="224">
      <pivotArea type="origin" dataOnly="0" labelOnly="1" outline="0" fieldPosition="0"/>
    </format>
    <format dxfId="223">
      <pivotArea field="36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39" type="button" dataOnly="0" labelOnly="1" outline="0" axis="axisRow" fieldPosition="0"/>
    </format>
    <format dxfId="220">
      <pivotArea dataOnly="0" labelOnly="1" fieldPosition="0">
        <references count="1">
          <reference field="36" count="0"/>
        </references>
      </pivotArea>
    </format>
    <format dxfId="219">
      <pivotArea dataOnly="0" labelOnly="1" grandCol="1" outline="0" fieldPosition="0"/>
    </format>
    <format dxfId="218">
      <pivotArea grandRow="1" outline="0" collapsedLevelsAreSubtotals="1" fieldPosition="0"/>
    </format>
    <format dxfId="217">
      <pivotArea outline="0" collapsedLevelsAreSubtotals="1" fieldPosition="0"/>
    </format>
    <format dxfId="216">
      <pivotArea dataOnly="0" labelOnly="1" fieldPosition="0">
        <references count="1">
          <reference field="36" count="0"/>
        </references>
      </pivotArea>
    </format>
    <format dxfId="215">
      <pivotArea dataOnly="0" labelOnly="1" grandCol="1" outline="0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type="origin" dataOnly="0" labelOnly="1" outline="0" fieldPosition="0"/>
    </format>
    <format dxfId="211">
      <pivotArea field="36" type="button" dataOnly="0" labelOnly="1" outline="0" axis="axisCol" fieldPosition="0"/>
    </format>
    <format dxfId="210">
      <pivotArea type="topRight" dataOnly="0" labelOnly="1" outline="0" fieldPosition="0"/>
    </format>
    <format dxfId="209">
      <pivotArea field="39" type="button" dataOnly="0" labelOnly="1" outline="0" axis="axisRow" fieldPosition="0"/>
    </format>
    <format dxfId="208">
      <pivotArea dataOnly="0" labelOnly="1" grandRow="1" outline="0" fieldPosition="0"/>
    </format>
    <format dxfId="207">
      <pivotArea dataOnly="0" labelOnly="1" fieldPosition="0">
        <references count="1">
          <reference field="36" count="0"/>
        </references>
      </pivotArea>
    </format>
    <format dxfId="206">
      <pivotArea dataOnly="0" labelOnly="1" grandCol="1" outline="0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type="origin" dataOnly="0" labelOnly="1" outline="0" fieldPosition="0"/>
    </format>
    <format dxfId="202">
      <pivotArea field="36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39" type="button" dataOnly="0" labelOnly="1" outline="0" axis="axisRow" fieldPosition="0"/>
    </format>
    <format dxfId="199">
      <pivotArea dataOnly="0" labelOnly="1" grandRow="1" outline="0" fieldPosition="0"/>
    </format>
    <format dxfId="198">
      <pivotArea dataOnly="0" labelOnly="1" fieldPosition="0">
        <references count="1">
          <reference field="36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36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39" type="button" dataOnly="0" labelOnly="1" outline="0" axis="axisRow" fieldPosition="0"/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36" count="0"/>
        </references>
      </pivotArea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36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39" type="button" dataOnly="0" labelOnly="1" outline="0" axis="axisRow" fieldPosition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36" count="0"/>
        </references>
      </pivotArea>
    </format>
    <format dxfId="179">
      <pivotArea dataOnly="0" labelOnly="1" grandCol="1" outline="0" fieldPosition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type="origin" dataOnly="0" labelOnly="1" outline="0" fieldPosition="0"/>
    </format>
    <format dxfId="175">
      <pivotArea field="39" type="button" dataOnly="0" labelOnly="1" outline="0" axis="axisRow" fieldPosition="0"/>
    </format>
    <format dxfId="174">
      <pivotArea dataOnly="0" labelOnly="1" grandRow="1" outline="0" fieldPosition="0"/>
    </format>
    <format dxfId="173">
      <pivotArea dataOnly="0" labelOnly="1" fieldPosition="0">
        <references count="1">
          <reference field="36" count="0"/>
        </references>
      </pivotArea>
    </format>
    <format dxfId="172">
      <pivotArea dataOnly="0" labelOnly="1" grandCol="1" outline="0" fieldPosition="0"/>
    </format>
    <format dxfId="171">
      <pivotArea type="origin" dataOnly="0" labelOnly="1" outline="0" fieldPosition="0"/>
    </format>
    <format dxfId="170">
      <pivotArea field="39" type="button" dataOnly="0" labelOnly="1" outline="0" axis="axisRow" fieldPosition="0"/>
    </format>
    <format dxfId="169">
      <pivotArea dataOnly="0" labelOnly="1" grandRow="1" outline="0" fieldPosition="0"/>
    </format>
    <format dxfId="168">
      <pivotArea outline="0" collapsedLevelsAreSubtotals="1" fieldPosition="0"/>
    </format>
    <format dxfId="167">
      <pivotArea dataOnly="0" labelOnly="1" fieldPosition="0">
        <references count="1">
          <reference field="36" count="0"/>
        </references>
      </pivotArea>
    </format>
    <format dxfId="166">
      <pivotArea dataOnly="0" labelOnly="1" grandCol="1" outline="0" fieldPosition="0"/>
    </format>
    <format dxfId="165">
      <pivotArea outline="0" collapsedLevelsAreSubtotals="1" fieldPosition="0"/>
    </format>
    <format dxfId="164">
      <pivotArea dataOnly="0" labelOnly="1" fieldPosition="0">
        <references count="1">
          <reference field="36" count="0"/>
        </references>
      </pivotArea>
    </format>
    <format dxfId="163">
      <pivotArea dataOnly="0" labelOnly="1" grandCol="1" outline="0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type="origin" dataOnly="0" labelOnly="1" outline="0" fieldPosition="0"/>
    </format>
    <format dxfId="159">
      <pivotArea field="36" type="button" dataOnly="0" labelOnly="1" outline="0" axis="axisCol" fieldPosition="0"/>
    </format>
    <format dxfId="158">
      <pivotArea type="topRight" dataOnly="0" labelOnly="1" outline="0" fieldPosition="0"/>
    </format>
    <format dxfId="157">
      <pivotArea field="39" type="button" dataOnly="0" labelOnly="1" outline="0" axis="axisRow" fieldPosition="0"/>
    </format>
    <format dxfId="156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36" count="0"/>
        </references>
      </pivotArea>
    </format>
    <format dxfId="153">
      <pivotArea dataOnly="0" labelOnly="1" grandCol="1" outline="0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36" type="button" dataOnly="0" labelOnly="1" outline="0" axis="axisCol" fieldPosition="0"/>
    </format>
    <format dxfId="149">
      <pivotArea type="topRight" dataOnly="0" labelOnly="1" outline="0" fieldPosition="0"/>
    </format>
    <format dxfId="148">
      <pivotArea dataOnly="0" labelOnly="1" fieldPosition="0">
        <references count="1">
          <reference field="36" count="0"/>
        </references>
      </pivotArea>
    </format>
    <format dxfId="147">
      <pivotArea dataOnly="0" labelOnly="1" grandCol="1" outline="0" fieldPosition="0"/>
    </format>
    <format dxfId="146">
      <pivotArea type="origin" dataOnly="0" labelOnly="1" outline="0" fieldPosition="0"/>
    </format>
    <format dxfId="145">
      <pivotArea field="39" type="button" dataOnly="0" labelOnly="1" outline="0" axis="axisRow" fieldPosition="0"/>
    </format>
    <format dxfId="144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43">
      <pivotArea dataOnly="0" labelOnly="1" grandRow="1" outline="0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36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39" type="button" dataOnly="0" labelOnly="1" outline="0" axis="axisRow" fieldPosition="0"/>
    </format>
    <format dxfId="136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36" count="0"/>
        </references>
      </pivotArea>
    </format>
    <format dxfId="133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32">
      <pivotArea type="origin" dataOnly="0" labelOnly="1" outline="0" fieldPosition="0"/>
    </format>
    <format dxfId="131">
      <pivotArea field="39" type="button" dataOnly="0" labelOnly="1" outline="0" axis="axisRow" fieldPosition="0"/>
    </format>
    <format dxfId="130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29">
      <pivotArea dataOnly="0" labelOnly="1" grandRow="1" outline="0" fieldPosition="0"/>
    </format>
    <format dxfId="128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5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70:K79" firstHeaderRow="1" firstDataRow="2" firstDataCol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axis="axisRow" showAll="0">
      <items count="9">
        <item x="0"/>
        <item x="1"/>
        <item x="3"/>
        <item x="2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7"/>
        <item x="4"/>
        <item x="2"/>
        <item x="6"/>
        <item x="5"/>
        <item x="3"/>
        <item m="1" x="10"/>
        <item x="8"/>
        <item x="1"/>
        <item h="1"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293">
      <pivotArea outline="0" collapsedLevelsAreSubtotals="1" fieldPosition="0"/>
    </format>
    <format dxfId="292">
      <pivotArea dataOnly="0" labelOnly="1" grandCol="1" outline="0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type="origin" dataOnly="0" labelOnly="1" outline="0" fieldPosition="0"/>
    </format>
    <format dxfId="288">
      <pivotArea type="topRight" dataOnly="0" labelOnly="1" outline="0" fieldPosition="0"/>
    </format>
    <format dxfId="287">
      <pivotArea dataOnly="0" labelOnly="1" grandRow="1" outline="0" fieldPosition="0"/>
    </format>
    <format dxfId="286">
      <pivotArea dataOnly="0" labelOnly="1" grandCol="1" outline="0" fieldPosition="0"/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type="origin" dataOnly="0" labelOnly="1" outline="0" fieldPosition="0"/>
    </format>
    <format dxfId="282">
      <pivotArea type="topRight" dataOnly="0" labelOnly="1" outline="0" fieldPosition="0"/>
    </format>
    <format dxfId="281">
      <pivotArea dataOnly="0" labelOnly="1" grandRow="1" outline="0" fieldPosition="0"/>
    </format>
    <format dxfId="280">
      <pivotArea dataOnly="0" labelOnly="1" grandCol="1" outline="0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type="origin" dataOnly="0" labelOnly="1" outline="0" fieldPosition="0"/>
    </format>
    <format dxfId="276">
      <pivotArea type="topRight" dataOnly="0" labelOnly="1" outline="0" fieldPosition="0"/>
    </format>
    <format dxfId="275">
      <pivotArea dataOnly="0" labelOnly="1" grandRow="1" outline="0" fieldPosition="0"/>
    </format>
    <format dxfId="274">
      <pivotArea dataOnly="0" labelOnly="1" grandCol="1" outline="0" fieldPosition="0"/>
    </format>
    <format dxfId="273">
      <pivotArea type="all" dataOnly="0" outline="0" fieldPosition="0"/>
    </format>
    <format dxfId="272">
      <pivotArea outline="0" collapsedLevelsAreSubtotals="1" fieldPosition="0"/>
    </format>
    <format dxfId="271">
      <pivotArea type="origin" dataOnly="0" labelOnly="1" outline="0" fieldPosition="0"/>
    </format>
    <format dxfId="270">
      <pivotArea type="topRight" dataOnly="0" labelOnly="1" outline="0" fieldPosition="0"/>
    </format>
    <format dxfId="269">
      <pivotArea dataOnly="0" labelOnly="1" grandRow="1" outline="0" fieldPosition="0"/>
    </format>
    <format dxfId="268">
      <pivotArea dataOnly="0" labelOnly="1" grandCol="1" outline="0" fieldPosition="0"/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type="origin" dataOnly="0" labelOnly="1" outline="0" fieldPosition="0"/>
    </format>
    <format dxfId="264">
      <pivotArea dataOnly="0" labelOnly="1" grandRow="1" outline="0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dataOnly="0" labelOnly="1" grandRow="1" outline="0" fieldPosition="0"/>
    </format>
    <format dxfId="260">
      <pivotArea outline="0" collapsedLevelsAreSubtotals="1" fieldPosition="0"/>
    </format>
    <format dxfId="259">
      <pivotArea dataOnly="0" labelOnly="1" grandCol="1" outline="0" fieldPosition="0"/>
    </format>
    <format dxfId="258">
      <pivotArea outline="0" collapsedLevelsAreSubtotals="1" fieldPosition="0"/>
    </format>
    <format dxfId="257">
      <pivotArea dataOnly="0" labelOnly="1" grandCol="1" outline="0" fieldPosition="0"/>
    </format>
    <format>
      <pivotArea dataOnly="0" labelOnly="1" grandCol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dataOnly="0" labelOnly="1" grandCol="1" outline="0" fieldPosition="0"/>
    </format>
    <format dxfId="253">
      <pivotArea type="all" dataOnly="0" outline="0" fieldPosition="0"/>
    </format>
    <format dxfId="252">
      <pivotArea outline="0" collapsedLevelsAreSubtotals="1" fieldPosition="0"/>
    </format>
    <format dxfId="251">
      <pivotArea type="origin" dataOnly="0" labelOnly="1" outline="0" fieldPosition="0"/>
    </format>
    <format dxfId="250">
      <pivotArea type="topRight" dataOnly="0" labelOnly="1" outline="0" fieldPosition="0"/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topRight" dataOnly="0" labelOnly="1" outline="0" fieldPosition="0"/>
    </format>
    <format dxfId="244">
      <pivotArea dataOnly="0" labelOnly="1" grandCol="1" outline="0" fieldPosition="0"/>
    </format>
    <format dxfId="243">
      <pivotArea type="origin" dataOnly="0" labelOnly="1" outline="0" fieldPosition="0"/>
    </format>
    <format dxfId="242">
      <pivotArea dataOnly="0" labelOnly="1" grandRow="1" outline="0" fieldPosition="0"/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42" type="button" dataOnly="0" labelOnly="1" outline="0" axis="axisCol" fieldPosition="0"/>
    </format>
    <format dxfId="237">
      <pivotArea type="topRight" dataOnly="0" labelOnly="1" outline="0" fieldPosition="0"/>
    </format>
    <format dxfId="236">
      <pivotArea dataOnly="0" labelOnly="1" grandRow="1" outline="0" fieldPosition="0"/>
    </format>
    <format dxfId="235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234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 dxfId="233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32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231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230">
      <pivotArea collapsedLevelsAreSubtotals="1" fieldPosition="0">
        <references count="1">
          <reference field="5" count="1">
            <x v="4"/>
          </reference>
        </references>
      </pivotArea>
    </format>
    <format dxfId="229">
      <pivotArea dataOnly="0" labelOnly="1" fieldPosition="0">
        <references count="1">
          <reference field="5" count="1">
            <x v="4"/>
          </reference>
        </references>
      </pivotArea>
    </format>
    <format dxfId="228">
      <pivotArea type="origin" dataOnly="0" labelOnly="1" outline="0" fieldPosition="0"/>
    </format>
    <format dxfId="227">
      <pivotArea field="5" type="button" dataOnly="0" labelOnly="1" outline="0" axis="axisRow" fieldPosition="0"/>
    </format>
    <format dxfId="226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2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13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N138:O142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axis="axisRow" showAll="0">
      <items count="9">
        <item x="1"/>
        <item x="0"/>
        <item x="4"/>
        <item x="2"/>
        <item x="5"/>
        <item x="6"/>
        <item x="3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"/>
        <item x="25"/>
        <item x="265"/>
        <item m="1" x="393"/>
        <item m="1" x="2291"/>
        <item m="1" x="739"/>
        <item x="163"/>
        <item m="1" x="1556"/>
        <item m="1" x="1125"/>
        <item m="1" x="1265"/>
        <item m="1" x="1582"/>
        <item m="1" x="499"/>
        <item m="1" x="869"/>
        <item m="1" x="7722"/>
        <item m="1" x="1224"/>
        <item x="152"/>
        <item m="1" x="301"/>
        <item x="130"/>
        <item x="269"/>
        <item x="256"/>
        <item m="1" x="3132"/>
        <item x="186"/>
        <item m="1" x="4801"/>
        <item x="292"/>
        <item m="1" x="779"/>
        <item m="1" x="1033"/>
        <item m="1" x="2342"/>
        <item m="1" x="2810"/>
        <item m="1" x="412"/>
        <item m="1" x="1114"/>
        <item m="1" x="408"/>
        <item m="1" x="7363"/>
        <item m="1" x="1132"/>
        <item m="1" x="5822"/>
        <item m="1" x="2001"/>
        <item m="1" x="6614"/>
        <item m="1" x="599"/>
        <item m="1" x="2077"/>
        <item m="1" x="4464"/>
        <item m="1" x="4146"/>
        <item m="1" x="2571"/>
        <item m="1" x="3675"/>
        <item m="1" x="6447"/>
        <item m="1" x="4241"/>
        <item x="121"/>
        <item x="290"/>
        <item m="1" x="3746"/>
        <item m="1" x="2328"/>
        <item m="1" x="3854"/>
        <item x="266"/>
        <item m="1" x="2099"/>
        <item m="1" x="1212"/>
        <item m="1" x="1059"/>
        <item m="1" x="1126"/>
        <item m="1" x="3087"/>
        <item h="1" m="1" x="1377"/>
        <item h="1" x="173"/>
        <item h="1" x="210"/>
        <item h="1" m="1" x="376"/>
        <item h="1" m="1" x="2049"/>
        <item h="1" x="274"/>
        <item h="1" x="247"/>
        <item h="1" x="10"/>
        <item h="1" x="223"/>
        <item h="1" m="1" x="1149"/>
        <item h="1" m="1" x="2669"/>
        <item h="1" m="1" x="4884"/>
        <item h="1" m="1" x="1966"/>
        <item h="1" m="1" x="2691"/>
        <item h="1" m="1" x="3383"/>
        <item h="1" m="1" x="5876"/>
        <item h="1" x="144"/>
        <item h="1" m="1" x="6174"/>
        <item h="1" m="1" x="1489"/>
        <item h="1" m="1" x="488"/>
        <item h="1" m="1" x="2082"/>
        <item h="1" m="1" x="1579"/>
        <item h="1" m="1" x="1117"/>
        <item h="1" m="1" x="3274"/>
        <item h="1" x="142"/>
        <item h="1" m="1" x="848"/>
        <item h="1" x="227"/>
        <item h="1" m="1" x="1515"/>
        <item h="1" m="1" x="1915"/>
        <item h="1" x="133"/>
        <item h="1" x="79"/>
        <item h="1" m="1" x="1202"/>
        <item h="1" m="1" x="5645"/>
        <item h="1" m="1" x="1862"/>
        <item h="1" m="1" x="4244"/>
        <item h="1" m="1" x="971"/>
        <item h="1" m="1" x="2580"/>
        <item h="1" x="156"/>
        <item h="1" m="1" x="5123"/>
        <item h="1" x="29"/>
        <item h="1" m="1" x="2171"/>
        <item h="1" m="1" x="1665"/>
        <item h="1" m="1" x="5242"/>
        <item h="1" m="1" x="459"/>
        <item h="1" m="1" x="318"/>
        <item h="1" m="1" x="520"/>
        <item h="1" m="1" x="1108"/>
        <item h="1" m="1" x="1032"/>
        <item h="1" m="1" x="5630"/>
        <item h="1" m="1" x="6624"/>
        <item h="1" m="1" x="3365"/>
        <item h="1" m="1" x="3658"/>
        <item h="1" m="1" x="3501"/>
        <item h="1" m="1" x="1941"/>
        <item h="1" m="1" x="780"/>
        <item h="1" m="1" x="6920"/>
        <item h="1" m="1" x="2063"/>
        <item h="1" x="161"/>
        <item h="1" m="1" x="5871"/>
        <item h="1" m="1" x="4023"/>
        <item h="1" m="1" x="4476"/>
        <item h="1" m="1" x="5394"/>
        <item h="1" m="1" x="3831"/>
        <item h="1" m="1" x="6759"/>
        <item h="1" x="226"/>
        <item h="1" m="1" x="805"/>
        <item h="1" m="1" x="7913"/>
        <item h="1" m="1" x="5240"/>
        <item h="1" x="2"/>
        <item h="1" m="1" x="4906"/>
        <item h="1" m="1" x="5553"/>
        <item h="1" m="1" x="429"/>
        <item h="1" m="1" x="4253"/>
        <item h="1" m="1" x="2909"/>
        <item h="1" m="1" x="7142"/>
        <item h="1" m="1" x="3055"/>
        <item h="1" m="1" x="2439"/>
        <item h="1" m="1" x="3795"/>
        <item h="1" m="1" x="4257"/>
        <item h="1" m="1" x="4983"/>
        <item h="1" m="1" x="2449"/>
        <item h="1" m="1" x="3949"/>
        <item h="1" m="1" x="820"/>
        <item h="1" m="1" x="4242"/>
        <item h="1" x="155"/>
        <item h="1" m="1" x="3952"/>
        <item h="1" m="1" x="3987"/>
        <item h="1" m="1" x="7839"/>
        <item h="1" m="1" x="6225"/>
        <item h="1" m="1" x="5953"/>
        <item h="1" m="1" x="1451"/>
        <item h="1" m="1" x="6605"/>
        <item h="1" m="1" x="5586"/>
        <item h="1" m="1" x="6432"/>
        <item h="1" m="1" x="6468"/>
        <item h="1" m="1" x="747"/>
        <item h="1" m="1" x="7260"/>
        <item h="1" m="1" x="6511"/>
        <item h="1" m="1" x="4726"/>
        <item h="1" m="1" x="7569"/>
        <item h="1" m="1" x="5638"/>
        <item h="1" m="1" x="5189"/>
        <item h="1" m="1" x="2624"/>
        <item h="1" m="1" x="486"/>
        <item h="1" m="1" x="1046"/>
        <item h="1" m="1" x="7601"/>
        <item h="1" x="131"/>
        <item h="1" m="1" x="4391"/>
        <item h="1" m="1" x="4390"/>
        <item h="1" m="1" x="3394"/>
        <item h="1" m="1" x="7743"/>
        <item h="1" m="1" x="2559"/>
        <item h="1" m="1" x="5792"/>
        <item h="1" m="1" x="5793"/>
        <item h="1" m="1" x="6244"/>
        <item h="1" m="1" x="4613"/>
        <item h="1" m="1" x="5952"/>
        <item h="1" m="1" x="6538"/>
        <item h="1" m="1" x="3514"/>
        <item h="1" m="1" x="3057"/>
        <item h="1" m="1" x="7594"/>
        <item h="1" m="1" x="7623"/>
        <item h="1" m="1" x="5803"/>
        <item h="1" m="1" x="4831"/>
        <item h="1" m="1" x="3766"/>
        <item h="1" m="1" x="1253"/>
        <item h="1" m="1" x="6311"/>
        <item h="1" m="1" x="2759"/>
        <item h="1" m="1" x="2157"/>
        <item h="1" m="1" x="2625"/>
        <item h="1" m="1" x="332"/>
        <item h="1" m="1" x="7848"/>
        <item h="1" m="1" x="3389"/>
        <item h="1" m="1" x="4869"/>
        <item h="1" m="1" x="5580"/>
        <item h="1" m="1" x="1022"/>
        <item h="1" m="1" x="7478"/>
        <item h="1" x="116"/>
        <item h="1" m="1" x="6743"/>
        <item h="1" m="1" x="5536"/>
        <item h="1" m="1" x="7593"/>
        <item h="1" m="1" x="6322"/>
        <item h="1" m="1" x="1130"/>
        <item h="1" m="1" x="2232"/>
        <item h="1" m="1" x="5194"/>
        <item h="1" m="1" x="7646"/>
        <item h="1" m="1" x="7108"/>
        <item h="1" m="1" x="7109"/>
        <item h="1" m="1" x="6396"/>
        <item h="1" x="264"/>
        <item h="1" m="1" x="7927"/>
        <item h="1" m="1" x="5830"/>
        <item h="1" m="1" x="7345"/>
        <item h="1" m="1" x="1803"/>
        <item h="1" m="1" x="7595"/>
        <item h="1" m="1" x="5883"/>
        <item h="1" m="1" x="987"/>
        <item h="1" m="1" x="3049"/>
        <item h="1" m="1" x="3381"/>
        <item h="1" m="1" x="7488"/>
        <item h="1" m="1" x="5050"/>
        <item h="1" m="1" x="2454"/>
        <item h="1" x="81"/>
        <item h="1" x="180"/>
        <item h="1" m="1" x="4509"/>
        <item h="1" m="1" x="847"/>
        <item h="1" m="1" x="2787"/>
        <item h="1" m="1" x="4484"/>
        <item h="1" m="1" x="2798"/>
        <item h="1" m="1" x="2802"/>
        <item h="1" m="1" x="7649"/>
        <item h="1" m="1" x="7097"/>
        <item h="1" m="1" x="6190"/>
        <item h="1" m="1" x="4078"/>
        <item h="1" m="1" x="385"/>
        <item h="1" m="1" x="469"/>
        <item h="1" m="1" x="7475"/>
        <item h="1" m="1" x="2484"/>
        <item h="1" x="275"/>
        <item h="1" m="1" x="6886"/>
        <item h="1" m="1" x="2443"/>
        <item h="1" x="170"/>
        <item h="1" m="1" x="7816"/>
        <item h="1" m="1" x="4394"/>
        <item h="1" m="1" x="4395"/>
        <item h="1" m="1" x="4393"/>
        <item h="1" m="1" x="4392"/>
        <item h="1" m="1" x="4402"/>
        <item h="1" m="1" x="4399"/>
        <item h="1" m="1" x="1210"/>
        <item h="1" m="1" x="5690"/>
        <item h="1" m="1" x="6780"/>
        <item h="1" m="1" x="905"/>
        <item h="1" m="1" x="606"/>
        <item h="1" x="140"/>
        <item h="1" m="1" x="4958"/>
        <item h="1" m="1" x="5932"/>
        <item h="1" m="1" x="5070"/>
        <item h="1" m="1" x="3617"/>
        <item h="1" x="236"/>
        <item h="1" m="1" x="5609"/>
        <item h="1" m="1" x="6936"/>
        <item h="1" m="1" x="7720"/>
        <item h="1" m="1" x="7648"/>
        <item h="1" m="1" x="5545"/>
        <item h="1" m="1" x="6592"/>
        <item h="1" m="1" x="6670"/>
        <item h="1" m="1" x="6237"/>
        <item h="1" m="1" x="6907"/>
        <item h="1" x="119"/>
        <item h="1" m="1" x="3842"/>
        <item h="1" m="1" x="5514"/>
        <item h="1" m="1" x="4333"/>
        <item h="1" m="1" x="1670"/>
        <item h="1" m="1" x="784"/>
        <item h="1" m="1" x="4863"/>
        <item h="1" m="1" x="1566"/>
        <item h="1" m="1" x="1328"/>
        <item h="1" m="1" x="501"/>
        <item h="1" m="1" x="1163"/>
        <item h="1" m="1" x="6931"/>
        <item h="1" m="1" x="2172"/>
        <item h="1" m="1" x="1856"/>
        <item h="1" m="1" x="481"/>
        <item h="1" m="1" x="4810"/>
        <item h="1" m="1" x="7154"/>
        <item h="1" m="1" x="2709"/>
        <item h="1" m="1" x="1591"/>
        <item h="1" m="1" x="2214"/>
        <item h="1" x="129"/>
        <item h="1" m="1" x="1879"/>
        <item h="1" m="1" x="4779"/>
        <item h="1" m="1" x="7212"/>
        <item h="1" m="1" x="6748"/>
        <item h="1" m="1" x="4126"/>
        <item h="1" m="1" x="6459"/>
        <item h="1" m="1" x="4148"/>
        <item h="1" m="1" x="5595"/>
        <item h="1" m="1" x="994"/>
        <item h="1" x="174"/>
        <item h="1" m="1" x="1213"/>
        <item h="1" m="1" x="738"/>
        <item h="1" x="248"/>
        <item h="1" m="1" x="4400"/>
        <item h="1" m="1" x="4396"/>
        <item h="1" m="1" x="4397"/>
        <item h="1" m="1" x="4398"/>
        <item h="1" x="168"/>
        <item h="1" m="1" x="3085"/>
        <item h="1" m="1" x="740"/>
        <item h="1" x="230"/>
        <item h="1" m="1" x="7144"/>
        <item h="1" m="1" x="7624"/>
        <item h="1" m="1" x="6226"/>
        <item h="1" m="1" x="5037"/>
        <item h="1" m="1" x="2131"/>
        <item h="1" m="1" x="3778"/>
        <item h="1" m="1" x="5199"/>
        <item h="1" m="1" x="7328"/>
        <item h="1" m="1" x="7042"/>
        <item h="1" m="1" x="4628"/>
        <item h="1" x="75"/>
        <item h="1" m="1" x="1681"/>
        <item h="1" x="222"/>
        <item h="1" m="1" x="5888"/>
        <item h="1" m="1" x="3619"/>
        <item h="1" m="1" x="4682"/>
        <item h="1" m="1" x="3654"/>
        <item h="1" m="1" x="2458"/>
        <item h="1" m="1" x="3839"/>
        <item h="1" m="1" x="3477"/>
        <item h="1" m="1" x="663"/>
        <item h="1" m="1" x="2799"/>
        <item h="1" m="1" x="7768"/>
        <item h="1" m="1" x="5243"/>
        <item h="1" m="1" x="5244"/>
        <item h="1" m="1" x="6652"/>
        <item h="1" m="1" x="640"/>
        <item h="1" m="1" x="1509"/>
        <item h="1" x="183"/>
        <item h="1" m="1" x="6158"/>
        <item h="1" x="4"/>
        <item h="1" m="1" x="6140"/>
        <item h="1" m="1" x="3296"/>
        <item h="1" m="1" x="1931"/>
        <item h="1" m="1" x="4129"/>
        <item h="1" m="1" x="339"/>
        <item h="1" m="1" x="7600"/>
        <item h="1" m="1" x="4915"/>
        <item h="1" m="1" x="3508"/>
        <item h="1" m="1" x="7303"/>
        <item h="1" m="1" x="5605"/>
        <item h="1" m="1" x="7814"/>
        <item h="1" m="1" x="7609"/>
        <item h="1" m="1" x="3492"/>
        <item h="1" m="1" x="6291"/>
        <item h="1" m="1" x="3552"/>
        <item h="1" m="1" x="7709"/>
        <item h="1" m="1" x="6475"/>
        <item h="1" m="1" x="4401"/>
        <item h="1" m="1" x="2408"/>
        <item h="1" m="1" x="4413"/>
        <item h="1" m="1" x="4409"/>
        <item h="1" m="1" x="4411"/>
        <item h="1" m="1" x="4410"/>
        <item h="1" m="1" x="6753"/>
        <item h="1" m="1" x="6910"/>
        <item h="1" m="1" x="4412"/>
        <item h="1" m="1" x="4406"/>
        <item h="1" m="1" x="4415"/>
        <item h="1" m="1" x="4407"/>
        <item h="1" m="1" x="4408"/>
        <item h="1" m="1" x="4376"/>
        <item h="1" m="1" x="7506"/>
        <item h="1" m="1" x="5972"/>
        <item h="1" x="143"/>
        <item h="1" m="1" x="5788"/>
        <item h="1" m="1" x="5063"/>
        <item h="1" m="1" x="5251"/>
        <item h="1" m="1" x="5804"/>
        <item h="1" m="1" x="560"/>
        <item h="1" m="1" x="7772"/>
        <item h="1" m="1" x="7614"/>
        <item h="1" m="1" x="5318"/>
        <item h="1" m="1" x="1600"/>
        <item h="1" m="1" x="7232"/>
        <item h="1" m="1" x="7359"/>
        <item h="1" m="1" x="4418"/>
        <item h="1" m="1" x="4414"/>
        <item h="1" m="1" x="4733"/>
        <item h="1" m="1" x="4404"/>
        <item h="1" m="1" x="4403"/>
        <item h="1" m="1" x="4405"/>
        <item h="1" m="1" x="4416"/>
        <item h="1" m="1" x="4417"/>
        <item h="1" m="1" x="4419"/>
        <item h="1" m="1" x="5035"/>
        <item h="1" m="1" x="4267"/>
        <item h="1" m="1" x="3789"/>
        <item h="1" m="1" x="3702"/>
        <item h="1" m="1" x="3861"/>
        <item h="1" m="1" x="3792"/>
        <item h="1" m="1" x="2109"/>
        <item h="1" m="1" x="2505"/>
        <item h="1" m="1" x="7627"/>
        <item h="1" m="1" x="7626"/>
        <item h="1" m="1" x="1219"/>
        <item h="1" m="1" x="3765"/>
        <item h="1" m="1" x="504"/>
        <item h="1" m="1" x="4886"/>
        <item h="1" m="1" x="2215"/>
        <item h="1" m="1" x="4905"/>
        <item h="1" m="1" x="4743"/>
        <item h="1" m="1" x="5791"/>
        <item h="1" m="1" x="706"/>
        <item h="1" m="1" x="6095"/>
        <item h="1" m="1" x="3980"/>
        <item h="1" m="1" x="6056"/>
        <item h="1" m="1" x="1375"/>
        <item h="1" m="1" x="6996"/>
        <item h="1" m="1" x="4487"/>
        <item h="1" m="1" x="7555"/>
        <item h="1" m="1" x="5061"/>
        <item h="1" m="1" x="5671"/>
        <item h="1" m="1" x="5523"/>
        <item h="1" m="1" x="1211"/>
        <item h="1" m="1" x="5378"/>
        <item h="1" m="1" x="7602"/>
        <item h="1" m="1" x="1583"/>
        <item h="1" m="1" x="5925"/>
        <item h="1" m="1" x="7327"/>
        <item h="1" m="1" x="7069"/>
        <item h="1" m="1" x="3064"/>
        <item h="1" m="1" x="7928"/>
        <item h="1" m="1" x="5858"/>
        <item h="1" m="1" x="5679"/>
        <item h="1" m="1" x="7106"/>
        <item h="1" m="1" x="3475"/>
        <item h="1" m="1" x="4526"/>
        <item h="1" m="1" x="3538"/>
        <item h="1" m="1" x="3318"/>
        <item h="1" m="1" x="3827"/>
        <item h="1" m="1" x="4082"/>
        <item h="1" m="1" x="5266"/>
        <item h="1" m="1" x="1639"/>
        <item h="1" m="1" x="3875"/>
        <item h="1" m="1" x="7565"/>
        <item h="1" m="1" x="3559"/>
        <item h="1" m="1" x="3924"/>
        <item h="1" m="1" x="5034"/>
        <item h="1" m="1" x="4130"/>
        <item h="1" m="1" x="3884"/>
        <item h="1" m="1" x="2595"/>
        <item h="1" m="1" x="5353"/>
        <item h="1" m="1" x="672"/>
        <item h="1" m="1" x="973"/>
        <item h="1" m="1" x="2502"/>
        <item h="1" m="1" x="4691"/>
        <item h="1" m="1" x="4238"/>
        <item h="1" m="1" x="7925"/>
        <item h="1" m="1" x="5025"/>
        <item h="1" m="1" x="7964"/>
        <item h="1" m="1" x="5472"/>
        <item h="1" m="1" x="4528"/>
        <item h="1" m="1" x="5607"/>
        <item h="1" m="1" x="3291"/>
        <item h="1" m="1" x="7796"/>
        <item h="1" m="1" x="4739"/>
        <item h="1" m="1" x="3125"/>
        <item h="1" m="1" x="6861"/>
        <item h="1" m="1" x="3390"/>
        <item h="1" m="1" x="850"/>
        <item h="1" m="1" x="7906"/>
        <item h="1" m="1" x="7914"/>
        <item h="1" m="1" x="7561"/>
        <item h="1" m="1" x="5445"/>
        <item h="1" m="1" x="4095"/>
        <item h="1" m="1" x="7789"/>
        <item h="1" m="1" x="7522"/>
        <item h="1" m="1" x="7572"/>
        <item h="1" m="1" x="1943"/>
        <item h="1" m="1" x="1431"/>
        <item h="1" m="1" x="7917"/>
        <item h="1" m="1" x="7926"/>
        <item h="1" m="1" x="7575"/>
        <item h="1" m="1" x="7576"/>
        <item h="1" m="1" x="479"/>
        <item h="1" m="1" x="7163"/>
        <item h="1" m="1" x="4490"/>
        <item h="1" m="1" x="5059"/>
        <item h="1" m="1" x="6045"/>
        <item h="1" m="1" x="4225"/>
        <item h="1" m="1" x="2556"/>
        <item h="1" m="1" x="7075"/>
        <item h="1" m="1" x="3275"/>
        <item h="1" m="1" x="3620"/>
        <item h="1" m="1" x="3880"/>
        <item h="1" m="1" x="7628"/>
        <item h="1" m="1" x="465"/>
        <item h="1" m="1" x="6921"/>
        <item h="1" m="1" x="1927"/>
        <item h="1" m="1" x="3527"/>
        <item h="1" m="1" x="3885"/>
        <item h="1" m="1" x="7177"/>
        <item h="1" x="199"/>
        <item h="1" m="1" x="7978"/>
        <item h="1" m="1" x="4859"/>
        <item h="1" m="1" x="5064"/>
        <item h="1" m="1" x="5575"/>
        <item h="1" m="1" x="7911"/>
        <item h="1" m="1" x="7916"/>
        <item h="1" m="1" x="7775"/>
        <item h="1" m="1" x="1368"/>
        <item h="1" m="1" x="1893"/>
        <item h="1" m="1" x="3072"/>
        <item h="1" m="1" x="4648"/>
        <item h="1" m="1" x="4674"/>
        <item h="1" m="1" x="2404"/>
        <item h="1" m="1" x="6831"/>
        <item h="1" m="1" x="6189"/>
        <item h="1" m="1" x="4548"/>
        <item h="1" m="1" x="7951"/>
        <item h="1" m="1" x="6044"/>
        <item h="1" m="1" x="7954"/>
        <item h="1" m="1" x="7943"/>
        <item h="1" x="91"/>
        <item h="1" m="1" x="1052"/>
        <item h="1" m="1" x="5922"/>
        <item h="1" m="1" x="4610"/>
        <item h="1" m="1" x="4752"/>
        <item h="1" m="1" x="7659"/>
        <item h="1" m="1" x="4420"/>
        <item h="1" m="1" x="7935"/>
        <item h="1" m="1" x="3879"/>
        <item h="1" m="1" x="5154"/>
        <item h="1" m="1" x="7963"/>
        <item h="1" m="1" x="4814"/>
        <item h="1" m="1" x="2631"/>
        <item h="1" m="1" x="2145"/>
        <item h="1" m="1" x="6137"/>
        <item h="1" m="1" x="7952"/>
        <item h="1" m="1" x="7949"/>
        <item h="1" m="1" x="7999"/>
        <item h="1" m="1" x="7748"/>
        <item h="1" x="62"/>
        <item h="1" m="1" x="5518"/>
        <item h="1" m="1" x="5877"/>
        <item h="1" m="1" x="7426"/>
        <item h="1" m="1" x="7406"/>
        <item h="1" m="1" x="3677"/>
        <item h="1" m="1" x="4614"/>
        <item h="1" m="1" x="3773"/>
        <item h="1" m="1" x="2476"/>
        <item h="1" m="1" x="7571"/>
        <item h="1" m="1" x="5056"/>
        <item h="1" m="1" x="7120"/>
        <item h="1" m="1" x="1756"/>
        <item h="1" m="1" x="2233"/>
        <item h="1" m="1" x="1381"/>
        <item h="1" m="1" x="367"/>
        <item h="1" m="1" x="596"/>
        <item h="1" m="1" x="7969"/>
        <item h="1" m="1" x="5769"/>
        <item h="1" m="1" x="1119"/>
        <item h="1" m="1" x="7921"/>
        <item h="1" m="1" x="2918"/>
        <item h="1" m="1" x="4441"/>
        <item h="1" m="1" x="6957"/>
        <item h="1" m="1" x="2632"/>
        <item h="1" m="1" x="4813"/>
        <item h="1" m="1" x="5686"/>
        <item h="1" m="1" x="6726"/>
        <item h="1" m="1" x="2019"/>
        <item h="1" m="1" x="2924"/>
        <item h="1" m="1" x="4132"/>
        <item h="1" m="1" x="7929"/>
        <item h="1" m="1" x="1615"/>
        <item h="1" m="1" x="7532"/>
        <item h="1" m="1" x="5778"/>
        <item h="1" m="1" x="3657"/>
        <item h="1" m="1" x="2514"/>
        <item h="1" m="1" x="4815"/>
        <item h="1" m="1" x="1291"/>
        <item h="1" m="1" x="7950"/>
        <item h="1" m="1" x="7955"/>
        <item h="1" m="1" x="1752"/>
        <item h="1" m="1" x="5163"/>
        <item h="1" m="1" x="4587"/>
        <item h="1" m="1" x="7959"/>
        <item h="1" m="1" x="6141"/>
        <item h="1" m="1" x="5188"/>
        <item h="1" m="1" x="1889"/>
        <item h="1" m="1" x="2246"/>
        <item h="1" m="1" x="564"/>
        <item h="1" m="1" x="4109"/>
        <item h="1" x="89"/>
        <item h="1" m="1" x="348"/>
        <item h="1" m="1" x="350"/>
        <item h="1" m="1" x="1521"/>
        <item h="1" m="1" x="2999"/>
        <item h="1" m="1" x="1448"/>
        <item h="1" m="1" x="600"/>
        <item h="1" m="1" x="7910"/>
        <item h="1" m="1" x="6955"/>
        <item h="1" m="1" x="2107"/>
        <item h="1" m="1" x="7918"/>
        <item h="1" m="1" x="7534"/>
        <item h="1" m="1" x="4315"/>
        <item h="1" m="1" x="1969"/>
        <item h="1" m="1" x="2313"/>
        <item h="1" m="1" x="7524"/>
        <item h="1" m="1" x="3845"/>
        <item h="1" m="1" x="3841"/>
        <item h="1" m="1" x="2912"/>
        <item h="1" m="1" x="4212"/>
        <item h="1" m="1" x="7323"/>
        <item h="1" m="1" x="7931"/>
        <item h="1" m="1" x="7947"/>
        <item h="1" m="1" x="7972"/>
        <item h="1" m="1" x="7973"/>
        <item h="1" m="1" x="7970"/>
        <item h="1" m="1" x="7971"/>
        <item h="1" m="1" x="4165"/>
        <item h="1" m="1" x="2872"/>
        <item h="1" m="1" x="6654"/>
        <item h="1" m="1" x="7915"/>
        <item h="1" m="1" x="4373"/>
        <item h="1" m="1" x="808"/>
        <item h="1" m="1" x="4140"/>
        <item h="1" m="1" x="3919"/>
        <item h="1" m="1" x="487"/>
        <item h="1" m="1" x="7027"/>
        <item h="1" m="1" x="7937"/>
        <item h="1" m="1" x="4798"/>
        <item h="1" m="1" x="5476"/>
        <item h="1" m="1" x="2000"/>
        <item h="1" m="1" x="7678"/>
        <item h="1" m="1" x="343"/>
        <item h="1" m="1" x="6510"/>
        <item h="1" m="1" x="2033"/>
        <item h="1" m="1" x="5767"/>
        <item h="1" m="1" x="6691"/>
        <item h="1" m="1" x="5768"/>
        <item h="1" m="1" x="5770"/>
        <item h="1" m="1" x="5771"/>
        <item h="1" m="1" x="5772"/>
        <item h="1" m="1" x="5773"/>
        <item h="1" m="1" x="5774"/>
        <item h="1" m="1" x="5775"/>
        <item h="1" m="1" x="5776"/>
        <item h="1" m="1" x="5777"/>
        <item h="1" m="1" x="5779"/>
        <item h="1" m="1" x="5780"/>
        <item h="1" m="1" x="5781"/>
        <item h="1" m="1" x="5933"/>
        <item h="1" m="1" x="732"/>
        <item h="1" m="1" x="7713"/>
        <item h="1" x="185"/>
        <item h="1" m="1" x="4134"/>
        <item h="1" m="1" x="7717"/>
        <item h="1" m="1" x="5759"/>
        <item h="1" m="1" x="7696"/>
        <item h="1" m="1" x="2452"/>
        <item h="1" m="1" x="7962"/>
        <item h="1" m="1" x="2567"/>
        <item h="1" m="1" x="7299"/>
        <item h="1" m="1" x="4878"/>
        <item h="1" m="1" x="7651"/>
        <item h="1" m="1" x="7587"/>
        <item h="1" m="1" x="6579"/>
        <item h="1" m="1" x="5764"/>
        <item h="1" m="1" x="6690"/>
        <item h="1" m="1" x="6692"/>
        <item h="1" m="1" x="6576"/>
        <item h="1" m="1" x="402"/>
        <item h="1" m="1" x="3431"/>
        <item h="1" m="1" x="2574"/>
        <item h="1" m="1" x="7403"/>
        <item h="1" m="1" x="7939"/>
        <item h="1" m="1" x="7697"/>
        <item h="1" m="1" x="5872"/>
        <item h="1" m="1" x="7961"/>
        <item h="1" x="84"/>
        <item h="1" m="1" x="7794"/>
        <item h="1" m="1" x="7711"/>
        <item h="1" m="1" x="1104"/>
        <item h="1" m="1" x="5055"/>
        <item h="1" m="1" x="4341"/>
        <item h="1" m="1" x="5297"/>
        <item h="1" m="1" x="7028"/>
        <item h="1" m="1" x="6786"/>
        <item h="1" m="1" x="1768"/>
        <item h="1" m="1" x="5762"/>
        <item h="1" m="1" x="5789"/>
        <item h="1" m="1" x="5790"/>
        <item h="1" m="1" x="5760"/>
        <item h="1" m="1" x="7683"/>
        <item h="1" m="1" x="4832"/>
        <item h="1" m="1" x="7046"/>
        <item h="1" m="1" x="2252"/>
        <item h="1" m="1" x="7938"/>
        <item h="1" m="1" x="7942"/>
        <item h="1" m="1" x="7940"/>
        <item h="1" m="1" x="7941"/>
        <item h="1" m="1" x="5028"/>
        <item h="1" m="1" x="7966"/>
        <item h="1" m="1" x="2633"/>
        <item h="1" m="1" x="3040"/>
        <item h="1" m="1" x="3940"/>
        <item h="1" m="1" x="3678"/>
        <item h="1" m="1" x="7976"/>
        <item h="1" m="1" x="7987"/>
        <item h="1" m="1" x="7993"/>
        <item h="1" m="1" x="7985"/>
        <item h="1" m="1" x="7986"/>
        <item h="1" m="1" x="7984"/>
        <item h="1" m="1" x="7988"/>
        <item h="1" m="1" x="7990"/>
        <item h="1" m="1" x="7992"/>
        <item h="1" m="1" x="7994"/>
        <item h="1" m="1" x="7995"/>
        <item h="1" m="1" x="7996"/>
        <item h="1" m="1" x="1105"/>
        <item h="1" m="1" x="2858"/>
        <item h="1" m="1" x="7840"/>
        <item h="1" m="1" x="6938"/>
        <item h="1" m="1" x="5819"/>
        <item h="1" m="1" x="2336"/>
        <item h="1" m="1" x="6152"/>
        <item h="1" m="1" x="1610"/>
        <item h="1" x="63"/>
        <item h="1" m="1" x="568"/>
        <item h="1" m="1" x="7611"/>
        <item h="1" m="1" x="2177"/>
        <item h="1" m="1" x="1203"/>
        <item h="1" m="1" x="6001"/>
        <item h="1" m="1" x="3522"/>
        <item h="1" m="1" x="7395"/>
        <item h="1" m="1" x="7902"/>
        <item h="1" m="1" x="7903"/>
        <item h="1" m="1" x="7468"/>
        <item h="1" m="1" x="6312"/>
        <item h="1" m="1" x="7684"/>
        <item h="1" m="1" x="7679"/>
        <item h="1" m="1" x="4695"/>
        <item h="1" m="1" x="7773"/>
        <item h="1" m="1" x="3015"/>
        <item h="1" m="1" x="4031"/>
        <item h="1" m="1" x="3852"/>
        <item h="1" m="1" x="2074"/>
        <item h="1" m="1" x="7862"/>
        <item h="1" m="1" x="5963"/>
        <item h="1" m="1" x="7265"/>
        <item h="1" m="1" x="1501"/>
        <item h="1" m="1" x="3118"/>
        <item h="1" m="1" x="6412"/>
        <item h="1" m="1" x="533"/>
        <item h="1" m="1" x="5763"/>
        <item h="1" m="1" x="5766"/>
        <item h="1" m="1" x="7552"/>
        <item h="1" m="1" x="7113"/>
        <item h="1" m="1" x="2054"/>
        <item h="1" m="1" x="1289"/>
        <item h="1" m="1" x="6973"/>
        <item h="1" m="1" x="6484"/>
        <item h="1" m="1" x="4020"/>
        <item h="1" m="1" x="5479"/>
        <item h="1" m="1" x="7715"/>
        <item h="1" m="1" x="7667"/>
        <item h="1" m="1" x="7355"/>
        <item h="1" m="1" x="7230"/>
        <item h="1" m="1" x="1809"/>
        <item h="1" m="1" x="5516"/>
        <item h="1" m="1" x="2743"/>
        <item h="1" m="1" x="7694"/>
        <item h="1" m="1" x="5831"/>
        <item h="1" m="1" x="7845"/>
        <item h="1" m="1" x="6832"/>
        <item h="1" m="1" x="7390"/>
        <item h="1" m="1" x="7803"/>
        <item h="1" m="1" x="4629"/>
        <item h="1" m="1" x="6363"/>
        <item h="1" m="1" x="3712"/>
        <item h="1" m="1" x="1267"/>
        <item h="1" m="1" x="4128"/>
        <item h="1" m="1" x="6882"/>
        <item h="1" m="1" x="7693"/>
        <item h="1" m="1" x="1868"/>
        <item h="1" m="1" x="7904"/>
        <item h="1" m="1" x="5460"/>
        <item h="1" m="1" x="2811"/>
        <item h="1" m="1" x="2300"/>
        <item h="1" m="1" x="1266"/>
        <item h="1" m="1" x="6634"/>
        <item h="1" m="1" x="1137"/>
        <item h="1" m="1" x="7053"/>
        <item h="1" m="1" x="5636"/>
        <item h="1" m="1" x="603"/>
        <item h="1" m="1" x="7199"/>
        <item h="1" m="1" x="7983"/>
        <item h="1" m="1" x="6230"/>
        <item h="1" m="1" x="7958"/>
        <item h="1" m="1" x="5988"/>
        <item h="1" m="1" x="7975"/>
        <item h="1" m="1" x="4465"/>
        <item h="1" m="1" x="2075"/>
        <item h="1" m="1" x="7691"/>
        <item h="1" m="1" x="2149"/>
        <item h="1" m="1" x="7606"/>
        <item h="1" m="1" x="7804"/>
        <item h="1" m="1" x="7805"/>
        <item h="1" m="1" x="7806"/>
        <item h="1" m="1" x="7707"/>
        <item h="1" m="1" x="7608"/>
        <item h="1" m="1" x="6941"/>
        <item h="1" m="1" x="2506"/>
        <item h="1" m="1" x="5021"/>
        <item h="1" m="1" x="7967"/>
        <item h="1" m="1" x="5417"/>
        <item h="1" m="1" x="7641"/>
        <item h="1" m="1" x="7640"/>
        <item h="1" m="1" x="6992"/>
        <item h="1" m="1" x="5854"/>
        <item h="1" m="1" x="7957"/>
        <item h="1" m="1" x="7604"/>
        <item h="1" m="1" x="7923"/>
        <item h="1" m="1" x="7998"/>
        <item h="1" m="1" x="5164"/>
        <item h="1" m="1" x="1056"/>
        <item h="1" m="1" x="7948"/>
        <item h="1" m="1" x="2424"/>
        <item h="1" m="1" x="7846"/>
        <item h="1" m="1" x="7809"/>
        <item h="1" m="1" x="7808"/>
        <item h="1" m="1" x="7392"/>
        <item h="1" m="1" x="6836"/>
        <item h="1" m="1" x="6834"/>
        <item h="1" m="1" x="6835"/>
        <item h="1" m="1" x="6833"/>
        <item h="1" m="1" x="5785"/>
        <item h="1" m="1" x="5786"/>
        <item h="1" m="1" x="5787"/>
        <item h="1" m="1" x="7605"/>
        <item h="1" m="1" x="7708"/>
        <item h="1" m="1" x="7501"/>
        <item h="1" m="1" x="5701"/>
        <item h="1" x="61"/>
        <item h="1" m="1" x="7714"/>
        <item h="1" m="1" x="7932"/>
        <item h="1" x="125"/>
        <item h="1" m="1" x="4136"/>
        <item h="1" m="1" x="7692"/>
        <item h="1" m="1" x="7047"/>
        <item h="1" m="1" x="1325"/>
        <item h="1" m="1" x="7573"/>
        <item h="1" m="1" x="5991"/>
        <item h="1" m="1" x="365"/>
        <item h="1" m="1" x="7374"/>
        <item h="1" m="1" x="3680"/>
        <item h="1" m="1" x="7404"/>
        <item h="1" m="1" x="7523"/>
        <item h="1" m="1" x="7982"/>
        <item h="1" m="1" x="5930"/>
        <item h="1" m="1" x="5927"/>
        <item h="1" m="1" x="5926"/>
        <item h="1" m="1" x="7847"/>
        <item h="1" m="1" x="7863"/>
        <item h="1" m="1" x="5813"/>
        <item h="1" m="1" x="6828"/>
        <item h="1" m="1" x="7391"/>
        <item h="1" m="1" x="6535"/>
        <item h="1" m="1" x="4375"/>
        <item h="1" m="1" x="7744"/>
        <item h="1" m="1" x="7880"/>
        <item h="1" m="1" x="7879"/>
        <item h="1" m="1" x="7872"/>
        <item h="1" m="1" x="7882"/>
        <item h="1" m="1" x="7869"/>
        <item h="1" m="1" x="7887"/>
        <item h="1" m="1" x="7878"/>
        <item h="1" m="1" x="7870"/>
        <item h="1" m="1" x="7890"/>
        <item h="1" m="1" x="7888"/>
        <item h="1" m="1" x="7875"/>
        <item h="1" m="1" x="7871"/>
        <item h="1" m="1" x="7873"/>
        <item h="1" m="1" x="7874"/>
        <item h="1" m="1" x="7876"/>
        <item h="1" m="1" x="7889"/>
        <item h="1" m="1" x="7877"/>
        <item h="1" m="1" x="7881"/>
        <item h="1" m="1" x="7883"/>
        <item h="1" m="1" x="7884"/>
        <item h="1" m="1" x="7886"/>
        <item h="1" m="1" x="7885"/>
        <item h="1" m="1" x="7669"/>
        <item h="1" m="1" x="7894"/>
        <item h="1" m="1" x="7895"/>
        <item h="1" m="1" x="6575"/>
        <item h="1" m="1" x="7398"/>
        <item h="1" m="1" x="7397"/>
        <item h="1" m="1" x="7905"/>
        <item h="1" m="1" x="338"/>
        <item h="1" m="1" x="7409"/>
        <item h="1" m="1" x="7410"/>
        <item h="1" m="1" x="6868"/>
        <item h="1" m="1" x="7682"/>
        <item h="1" m="1" x="7930"/>
        <item h="1" x="268"/>
        <item h="1" m="1" x="7760"/>
        <item h="1" m="1" x="4069"/>
        <item h="1" m="1" x="2121"/>
        <item h="1" m="1" x="7758"/>
        <item h="1" m="1" x="7934"/>
        <item h="1" m="1" x="7052"/>
        <item h="1" m="1" x="2093"/>
        <item h="1" m="1" x="7057"/>
        <item h="1" m="1" x="1650"/>
        <item h="1" m="1" x="4123"/>
        <item h="1" m="1" x="7457"/>
        <item h="1" m="1" x="2789"/>
        <item h="1" m="1" x="7974"/>
        <item h="1" m="1" x="7977"/>
        <item h="1" m="1" x="7981"/>
        <item h="1" m="1" x="7798"/>
        <item h="1" m="1" x="7797"/>
        <item h="1" m="1" x="7799"/>
        <item h="1" m="1" x="2302"/>
        <item h="1" m="1" x="4550"/>
        <item h="1" m="1" x="7801"/>
        <item h="1" m="1" x="4108"/>
        <item h="1" m="1" x="7813"/>
        <item h="1" m="1" x="1116"/>
        <item h="1" x="93"/>
        <item h="1" m="1" x="6221"/>
        <item h="1" m="1" x="7497"/>
        <item h="1" m="1" x="5937"/>
        <item h="1" m="1" x="1447"/>
        <item h="1" m="1" x="386"/>
        <item h="1" m="1" x="5225"/>
        <item h="1" m="1" x="4478"/>
        <item h="1" m="1" x="2772"/>
        <item h="1" m="1" x="3044"/>
        <item h="1" m="1" x="7650"/>
        <item h="1" m="1" x="7536"/>
        <item h="1" m="1" x="7537"/>
        <item h="1" m="1" x="7859"/>
        <item h="1" m="1" x="7858"/>
        <item h="1" m="1" x="7860"/>
        <item h="1" m="1" x="7857"/>
        <item h="1" m="1" x="1875"/>
        <item h="1" m="1" x="7111"/>
        <item h="1" m="1" x="7263"/>
        <item h="1" m="1" x="7728"/>
        <item h="1" m="1" x="7729"/>
        <item h="1" m="1" x="7732"/>
        <item h="1" m="1" x="7731"/>
        <item h="1" m="1" x="7670"/>
        <item h="1" m="1" x="7891"/>
        <item h="1" m="1" x="7892"/>
        <item h="1" m="1" x="7893"/>
        <item h="1" m="1" x="5082"/>
        <item h="1" m="1" x="7671"/>
        <item h="1" m="1" x="7896"/>
        <item h="1" m="1" x="7897"/>
        <item h="1" m="1" x="6827"/>
        <item h="1" m="1" x="7898"/>
        <item h="1" m="1" x="7899"/>
        <item h="1" m="1" x="7900"/>
        <item h="1" m="1" x="7901"/>
        <item h="1" m="1" x="7677"/>
        <item h="1" m="1" x="7399"/>
        <item h="1" m="1" x="337"/>
        <item h="1" m="1" x="7907"/>
        <item h="1" m="1" x="7908"/>
        <item h="1" m="1" x="7909"/>
        <item h="1" m="1" x="7407"/>
        <item h="1" m="1" x="7408"/>
        <item h="1" m="1" x="7912"/>
        <item h="1" m="1" x="7402"/>
        <item h="1" m="1" x="5812"/>
        <item h="1" m="1" x="7043"/>
        <item h="1" m="1" x="7919"/>
        <item h="1" m="1" x="7920"/>
        <item h="1" m="1" x="7922"/>
        <item h="1" m="1" x="5525"/>
        <item h="1" m="1" x="7924"/>
        <item h="1" m="1" x="5832"/>
        <item h="1" m="1" x="5833"/>
        <item h="1" m="1" x="7755"/>
        <item h="1" m="1" x="7933"/>
        <item h="1" m="1" x="7756"/>
        <item h="1" m="1" x="7757"/>
        <item h="1" m="1" x="7936"/>
        <item h="1" m="1" x="7944"/>
        <item h="1" m="1" x="7945"/>
        <item h="1" m="1" x="7766"/>
        <item h="1" m="1" x="7767"/>
        <item h="1" m="1" x="7690"/>
        <item h="1" m="1" x="7946"/>
        <item h="1" m="1" x="7770"/>
        <item h="1" m="1" x="7769"/>
        <item h="1" m="1" x="7771"/>
        <item h="1" m="1" x="7953"/>
        <item h="1" m="1" x="7058"/>
        <item h="1" m="1" x="7956"/>
        <item h="1" m="1" x="7781"/>
        <item h="1" m="1" x="7458"/>
        <item h="1" m="1" x="5901"/>
        <item h="1" m="1" x="7960"/>
        <item h="1" m="1" x="6232"/>
        <item h="1" m="1" x="7965"/>
        <item h="1" m="1" x="7968"/>
        <item h="1" m="1" x="7702"/>
        <item h="1" m="1" x="2165"/>
        <item h="1" m="1" x="7791"/>
        <item h="1" m="1" x="7473"/>
        <item h="1" m="1" x="7787"/>
        <item h="1" m="1" x="7788"/>
        <item h="1" x="229"/>
        <item h="1" m="1" x="7979"/>
        <item h="1" m="1" x="7980"/>
        <item h="1" m="1" x="7989"/>
        <item h="1" m="1" x="7810"/>
        <item h="1" m="1" x="7991"/>
        <item h="1" m="1" x="7710"/>
        <item h="1" m="1" x="7812"/>
        <item h="1" m="1" x="7811"/>
        <item h="1" m="1" x="7997"/>
        <item h="1" m="1" x="7802"/>
        <item h="1" m="1" x="7496"/>
        <item h="1" m="1" x="7504"/>
        <item h="1" m="1" x="7825"/>
        <item h="1" m="1" x="7832"/>
        <item h="1" m="1" x="7638"/>
        <item h="1" m="1" x="7830"/>
        <item h="1" m="1" x="7831"/>
        <item h="1" m="1" x="7833"/>
        <item h="1" m="1" x="6030"/>
        <item h="1" m="1" x="7835"/>
        <item h="1" m="1" x="6976"/>
        <item h="1" m="1" x="7836"/>
        <item h="1" m="1" x="7834"/>
        <item h="1" m="1" x="7837"/>
        <item h="1" x="74"/>
        <item h="1" m="1" x="7531"/>
        <item h="1" m="1" x="7538"/>
        <item h="1" m="1" x="7539"/>
        <item h="1" m="1" x="6547"/>
        <item h="1" m="1" x="7856"/>
        <item h="1" m="1" x="7855"/>
        <item h="1" m="1" x="7110"/>
        <item h="1" m="1" x="6773"/>
        <item h="1" m="1" x="7864"/>
        <item h="1" m="1" x="7866"/>
        <item h="1" m="1" x="7867"/>
        <item h="1" m="1" x="7381"/>
        <item h="1" m="1" x="7382"/>
        <item h="1" m="1" x="7383"/>
        <item h="1" m="1" x="7384"/>
        <item h="1" m="1" x="7385"/>
        <item h="1" m="1" x="7733"/>
        <item h="1" m="1" x="7734"/>
        <item h="1" m="1" x="7735"/>
        <item h="1" m="1" x="7736"/>
        <item h="1" m="1" x="7737"/>
        <item h="1" m="1" x="7738"/>
        <item h="1" m="1" x="7739"/>
        <item h="1" m="1" x="6838"/>
        <item h="1" m="1" x="6839"/>
        <item h="1" m="1" x="6201"/>
        <item h="1" m="1" x="7740"/>
        <item h="1" m="1" x="7741"/>
        <item h="1" m="1" x="6826"/>
        <item h="1" m="1" x="6841"/>
        <item h="1" m="1" x="6840"/>
        <item h="1" m="1" x="6689"/>
        <item h="1" m="1" x="6837"/>
        <item h="1" m="1" x="6829"/>
        <item h="1" m="1" x="6830"/>
        <item h="1" m="1" x="6574"/>
        <item h="1" m="1" x="7400"/>
        <item h="1" m="1" x="7401"/>
        <item h="1" m="1" x="7742"/>
        <item h="1" m="1" x="3877"/>
        <item h="1" m="1" x="7745"/>
        <item h="1" m="1" x="7746"/>
        <item h="1" m="1" x="5520"/>
        <item h="1" m="1" x="5824"/>
        <item h="1" m="1" x="4893"/>
        <item h="1" m="1" x="7747"/>
        <item h="1" m="1" x="7425"/>
        <item h="1" m="1" x="7749"/>
        <item h="1" m="1" x="7750"/>
        <item h="1" m="1" x="7751"/>
        <item h="1" m="1" x="7752"/>
        <item h="1" m="1" x="7753"/>
        <item h="1" m="1" x="7754"/>
        <item h="1" m="1" x="7685"/>
        <item h="1" m="1" x="7688"/>
        <item h="1" m="1" x="7759"/>
        <item h="1" m="1" x="7761"/>
        <item h="1" m="1" x="7762"/>
        <item h="1" m="1" x="7763"/>
        <item h="1" m="1" x="7440"/>
        <item h="1" m="1" x="7764"/>
        <item h="1" m="1" x="7765"/>
        <item h="1" m="1" x="7774"/>
        <item h="1" m="1" x="7776"/>
        <item h="1" m="1" x="7166"/>
        <item h="1" m="1" x="6071"/>
        <item h="1" m="1" x="7777"/>
        <item h="1" m="1" x="7778"/>
        <item h="1" m="1" x="7779"/>
        <item h="1" m="1" x="7780"/>
        <item h="1" m="1" x="7782"/>
        <item h="1" m="1" x="7783"/>
        <item h="1" m="1" x="7169"/>
        <item h="1" m="1" x="7784"/>
        <item h="1" m="1" x="7466"/>
        <item h="1" m="1" x="7785"/>
        <item h="1" m="1" x="2050"/>
        <item h="1" m="1" x="7786"/>
        <item h="1" m="1" x="7704"/>
        <item h="1" m="1" x="7790"/>
        <item h="1" m="1" x="7792"/>
        <item h="1" m="1" x="7793"/>
        <item h="1" m="1" x="7795"/>
        <item h="1" m="1" x="7800"/>
        <item h="1" m="1" x="7486"/>
        <item h="1" m="1" x="7807"/>
        <item h="1" m="1" x="632"/>
        <item h="1" m="1" x="7815"/>
        <item h="1" m="1" x="7817"/>
        <item h="1" m="1" x="7818"/>
        <item h="1" m="1" x="1696"/>
        <item h="1" m="1" x="7819"/>
        <item h="1" m="1" x="7820"/>
        <item h="1" m="1" x="7821"/>
        <item h="1" m="1" x="7822"/>
        <item h="1" m="1" x="7823"/>
        <item h="1" m="1" x="7824"/>
        <item h="1" m="1" x="7826"/>
        <item h="1" m="1" x="7521"/>
        <item h="1" m="1" x="7827"/>
        <item h="1" m="1" x="4877"/>
        <item h="1" m="1" x="7828"/>
        <item h="1" m="1" x="7829"/>
        <item h="1" m="1" x="7838"/>
        <item h="1" m="1" x="7841"/>
        <item h="1" m="1" x="7842"/>
        <item h="1" m="1" x="4071"/>
        <item h="1" m="1" x="6656"/>
        <item h="1" m="1" x="7843"/>
        <item h="1" m="1" x="7844"/>
        <item h="1" m="1" x="7849"/>
        <item h="1" m="1" x="7850"/>
        <item h="1" m="1" x="7851"/>
        <item h="1" m="1" x="7726"/>
        <item h="1" m="1" x="7852"/>
        <item h="1" m="1" x="7853"/>
        <item h="1" m="1" x="7854"/>
        <item h="1" m="1" x="7010"/>
        <item h="1" m="1" x="7861"/>
        <item h="1" m="1" x="7865"/>
        <item h="1" m="1" x="7868"/>
        <item h="1" m="1" x="7665"/>
        <item h="1" m="1" x="7666"/>
        <item h="1" m="1" x="7553"/>
        <item h="1" x="221"/>
        <item h="1" m="1" x="7668"/>
        <item h="1" m="1" x="7122"/>
        <item h="1" m="1" x="7121"/>
        <item h="1" m="1" x="6842"/>
        <item h="1" m="1" x="7672"/>
        <item h="1" m="1" x="6843"/>
        <item h="1" m="1" x="7673"/>
        <item h="1" m="1" x="1872"/>
        <item h="1" m="1" x="7674"/>
        <item h="1" m="1" x="7675"/>
        <item h="1" m="1" x="1858"/>
        <item h="1" m="1" x="7676"/>
        <item h="1" m="1" x="7129"/>
        <item h="1" m="1" x="7130"/>
        <item h="1" m="1" x="7563"/>
        <item h="1" m="1" x="7396"/>
        <item h="1" m="1" x="7405"/>
        <item h="1" m="1" x="7564"/>
        <item h="1" m="1" x="7285"/>
        <item h="1" m="1" x="7680"/>
        <item h="1" m="1" x="7280"/>
        <item h="1" m="1" x="7681"/>
        <item h="1" m="1" x="5823"/>
        <item h="1" m="1" x="7570"/>
        <item h="1" m="1" x="4371"/>
        <item h="1" m="1" x="7291"/>
        <item h="1" m="1" x="7578"/>
        <item h="1" m="1" x="7577"/>
        <item h="1" m="1" x="6570"/>
        <item h="1" m="1" x="7686"/>
        <item h="1" m="1" x="7590"/>
        <item h="1" m="1" x="7687"/>
        <item h="1" m="1" x="7581"/>
        <item h="1" m="1" x="7589"/>
        <item h="1" m="1" x="7579"/>
        <item h="1" m="1" x="7580"/>
        <item h="1" m="1" x="7689"/>
        <item h="1" m="1" x="6591"/>
        <item h="1" m="1" x="7441"/>
        <item h="1" m="1" x="7442"/>
        <item h="1" m="1" x="5857"/>
        <item h="1" m="1" x="7695"/>
        <item h="1" m="1" x="7149"/>
        <item h="1" m="1" x="5882"/>
        <item h="1" m="1" x="7599"/>
        <item h="1" m="1" x="7698"/>
        <item h="1" m="1" x="5889"/>
        <item h="1" m="1" x="7699"/>
        <item h="1" m="1" x="7472"/>
        <item h="1" m="1" x="5676"/>
        <item h="1" m="1" x="7700"/>
        <item h="1" m="1" x="7461"/>
        <item h="1" m="1" x="5902"/>
        <item h="1" m="1" x="7168"/>
        <item h="1" m="1" x="6611"/>
        <item h="1" m="1" x="6612"/>
        <item h="1" m="1" x="7701"/>
        <item h="1" m="1" x="7464"/>
        <item h="1" m="1" x="7607"/>
        <item h="1" m="1" x="7703"/>
        <item h="1" m="1" x="5921"/>
        <item h="1" m="1" x="7479"/>
        <item h="1" m="1" x="7705"/>
        <item h="1" m="1" x="806"/>
        <item h="1" m="1" x="7492"/>
        <item h="1" m="1" x="7485"/>
        <item h="1" m="1" x="7616"/>
        <item h="1" m="1" x="7706"/>
        <item h="1" m="1" x="4855"/>
        <item h="1" m="1" x="7617"/>
        <item h="1" m="1" x="7618"/>
        <item h="1" m="1" x="7620"/>
        <item h="1" m="1" x="7494"/>
        <item h="1" m="1" x="7179"/>
        <item h="1" m="1" x="6521"/>
        <item h="1" m="1" x="6522"/>
        <item h="1" m="1" x="7498"/>
        <item h="1" m="1" x="7503"/>
        <item h="1" m="1" x="7712"/>
        <item h="1" m="1" x="7625"/>
        <item h="1" m="1" x="5936"/>
        <item h="1" m="1" x="7505"/>
        <item h="1" m="1" x="7517"/>
        <item h="1" m="1" x="6638"/>
        <item h="1" m="1" x="7629"/>
        <item h="1" m="1" x="7518"/>
        <item h="1" m="1" x="7716"/>
        <item h="1" m="1" x="7718"/>
        <item h="1" m="1" x="7637"/>
        <item h="1" m="1" x="7632"/>
        <item h="1" m="1" x="7719"/>
        <item h="1" m="1" x="7200"/>
        <item h="1" m="1" x="7201"/>
        <item h="1" m="1" x="7721"/>
        <item h="1" m="1" x="3857"/>
        <item h="1" m="1" x="6981"/>
        <item h="1" m="1" x="6982"/>
        <item h="1" m="1" x="7723"/>
        <item h="1" m="1" x="7644"/>
        <item h="1" m="1" x="7724"/>
        <item h="1" m="1" x="7725"/>
        <item h="1" m="1" x="7645"/>
        <item h="1" m="1" x="7530"/>
        <item h="1" m="1" x="7107"/>
        <item h="1" m="1" x="7655"/>
        <item h="1" m="1" x="6395"/>
        <item h="1" m="1" x="6007"/>
        <item h="1" m="1" x="7259"/>
        <item h="1" m="1" x="7258"/>
        <item h="1" m="1" x="7662"/>
        <item h="1" m="1" x="7727"/>
        <item h="1" x="122"/>
        <item h="1" m="1" x="7664"/>
        <item h="1" m="1" x="7551"/>
        <item h="1" m="1" x="7730"/>
        <item h="1" m="1" x="7386"/>
        <item h="1" m="1" x="7554"/>
        <item h="1" m="1" x="7387"/>
        <item h="1" m="1" x="7556"/>
        <item h="1" m="1" x="7557"/>
        <item h="1" m="1" x="6811"/>
        <item h="1" m="1" x="6847"/>
        <item h="1" m="1" x="6413"/>
        <item h="1" m="1" x="6577"/>
        <item h="1" m="1" x="6852"/>
        <item h="1" m="1" x="6414"/>
        <item h="1" m="1" x="6566"/>
        <item h="1" m="1" x="7558"/>
        <item h="1" m="1" x="7559"/>
        <item h="1" m="1" x="7560"/>
        <item h="1" m="1" x="6807"/>
        <item h="1" m="1" x="6564"/>
        <item h="1" m="1" x="6806"/>
        <item h="1" m="1" x="6565"/>
        <item h="1" m="1" x="6848"/>
        <item h="1" m="1" x="6578"/>
        <item h="1" m="1" x="6417"/>
        <item h="1" m="1" x="7562"/>
        <item h="1" m="1" x="3918"/>
        <item h="1" m="1" x="5203"/>
        <item h="1" m="1" x="6215"/>
        <item h="1" m="1" x="7411"/>
        <item h="1" m="1" x="7566"/>
        <item h="1" m="1" x="7421"/>
        <item h="1" m="1" x="3469"/>
        <item h="1" m="1" x="7567"/>
        <item h="1" m="1" x="7422"/>
        <item h="1" m="1" x="7568"/>
        <item h="1" m="1" x="7574"/>
        <item h="1" m="1" x="7582"/>
        <item h="1" m="1" x="7583"/>
        <item h="1" m="1" x="7584"/>
        <item h="1" m="1" x="7585"/>
        <item h="1" m="1" x="7586"/>
        <item h="1" m="1" x="7588"/>
        <item h="1" m="1" x="7433"/>
        <item h="1" m="1" x="7296"/>
        <item h="1" m="1" x="7297"/>
        <item h="1" m="1" x="7444"/>
        <item h="1" m="1" x="7591"/>
        <item h="1" m="1" x="7592"/>
        <item h="1" m="1" x="7300"/>
        <item h="1" m="1" x="7143"/>
        <item h="1" m="1" x="5029"/>
        <item h="1" m="1" x="6314"/>
        <item h="1" m="1" x="5672"/>
        <item h="1" m="1" x="7596"/>
        <item h="1" m="1" x="7148"/>
        <item h="1" m="1" x="6594"/>
        <item h="1" m="1" x="7597"/>
        <item h="1" m="1" x="7598"/>
        <item h="1" m="1" x="7453"/>
        <item h="1" m="1" x="6607"/>
        <item h="1" m="1" x="5146"/>
        <item h="1" m="1" x="7603"/>
        <item h="1" m="1" x="5423"/>
        <item h="1" m="1" x="6609"/>
        <item h="1" m="1" x="6610"/>
        <item h="1" m="1" x="7462"/>
        <item h="1" m="1" x="5898"/>
        <item h="1" m="1" x="6733"/>
        <item h="1" m="1" x="7314"/>
        <item h="1" m="1" x="7610"/>
        <item h="1" m="1" x="7172"/>
        <item h="1" m="1" x="7469"/>
        <item h="1" m="1" x="7470"/>
        <item h="1" m="1" x="7612"/>
        <item h="1" m="1" x="7613"/>
        <item h="1" m="1" x="7483"/>
        <item h="1" m="1" x="7484"/>
        <item h="1" m="1" x="7325"/>
        <item h="1" m="1" x="6622"/>
        <item h="1" m="1" x="7615"/>
        <item h="1" m="1" x="7487"/>
        <item h="1" m="1" x="7619"/>
        <item h="1" m="1" x="7621"/>
        <item h="1" m="1" x="7622"/>
        <item h="1" m="1" x="7495"/>
        <item h="1" m="1" x="7502"/>
        <item h="1" m="1" x="6633"/>
        <item h="1" m="1" x="7507"/>
        <item h="1" m="1" x="7511"/>
        <item h="1" m="1" x="7630"/>
        <item h="1" m="1" x="7520"/>
        <item h="1" m="1" x="7194"/>
        <item h="1" m="1" x="7339"/>
        <item h="1" m="1" x="7631"/>
        <item h="1" m="1" x="6974"/>
        <item h="1" m="1" x="7633"/>
        <item h="1" m="1" x="7634"/>
        <item h="1" m="1" x="7635"/>
        <item h="1" m="1" x="7636"/>
        <item h="1" m="1" x="5642"/>
        <item h="1" m="1" x="7347"/>
        <item h="1" m="1" x="7639"/>
        <item h="1" m="1" x="7353"/>
        <item h="1" m="1" x="7352"/>
        <item h="1" m="1" x="7642"/>
        <item h="1" m="1" x="7643"/>
        <item h="1" m="1" x="7360"/>
        <item h="1" m="1" x="7647"/>
        <item h="1" m="1" x="6999"/>
        <item h="1" m="1" x="7000"/>
        <item h="1" m="1" x="4002"/>
        <item h="1" m="1" x="7535"/>
        <item h="1" m="1" x="7652"/>
        <item h="1" m="1" x="7653"/>
        <item h="1" m="1" x="7654"/>
        <item h="1" m="1" x="7656"/>
        <item h="1" m="1" x="7657"/>
        <item h="1" m="1" x="6548"/>
        <item h="1" m="1" x="7658"/>
        <item h="1" m="1" x="7012"/>
        <item h="1" m="1" x="5422"/>
        <item h="1" m="1" x="7660"/>
        <item h="1" m="1" x="7661"/>
        <item h="1" m="1" x="6776"/>
        <item h="1" m="1" x="7663"/>
        <item h="1" m="1" x="5421"/>
        <item h="1" m="1" x="7549"/>
        <item h="1" m="1" x="7548"/>
        <item h="1" m="1" x="7117"/>
        <item h="1" m="1" x="7114"/>
        <item h="1" m="1" x="1517"/>
        <item h="1" m="1" x="7115"/>
        <item h="1" m="1" x="7116"/>
        <item h="1" m="1" x="7388"/>
        <item h="1" m="1" x="7270"/>
        <item h="1" m="1" x="6415"/>
        <item h="1" m="1" x="6844"/>
        <item h="1" m="1" x="6845"/>
        <item h="1" m="1" x="6683"/>
        <item h="1" m="1" x="6470"/>
        <item h="1" m="1" x="6846"/>
        <item h="1" m="1" x="6684"/>
        <item h="1" m="1" x="6685"/>
        <item h="1" m="1" x="6416"/>
        <item h="1" m="1" x="6567"/>
        <item h="1" m="1" x="6849"/>
        <item h="1" m="1" x="6418"/>
        <item h="1" m="1" x="6851"/>
        <item h="1" m="1" x="6580"/>
        <item h="1" m="1" x="6850"/>
        <item h="1" m="1" x="6409"/>
        <item h="1" m="1" x="7389"/>
        <item h="1" m="1" x="6682"/>
        <item h="1" m="1" x="7393"/>
        <item h="1" m="1" x="7394"/>
        <item h="1" m="1" x="2442"/>
        <item h="1" m="1" x="7412"/>
        <item h="1" m="1" x="7413"/>
        <item h="1" m="1" x="7414"/>
        <item h="1" m="1" x="7415"/>
        <item h="1" m="1" x="7416"/>
        <item h="1" m="1" x="7417"/>
        <item h="1" m="1" x="6585"/>
        <item h="1" m="1" x="7418"/>
        <item h="1" m="1" x="7419"/>
        <item h="1" m="1" x="7420"/>
        <item h="1" m="1" x="5144"/>
        <item h="1" m="1" x="7423"/>
        <item h="1" m="1" x="5153"/>
        <item h="1" m="1" x="7424"/>
        <item h="1" m="1" x="7133"/>
        <item h="1" m="1" x="7132"/>
        <item h="1" m="1" x="7131"/>
        <item h="1" m="1" x="6488"/>
        <item h="1" m="1" x="7427"/>
        <item h="1" m="1" x="7428"/>
        <item h="1" m="1" x="7292"/>
        <item h="1" m="1" x="7429"/>
        <item h="1" m="1" x="7430"/>
        <item h="1" m="1" x="7431"/>
        <item h="1" m="1" x="7293"/>
        <item h="1" m="1" x="7432"/>
        <item h="1" m="1" x="7434"/>
        <item h="1" m="1" x="7435"/>
        <item h="1" m="1" x="6486"/>
        <item h="1" m="1" x="7436"/>
        <item h="1" m="1" x="7289"/>
        <item h="1" m="1" x="7290"/>
        <item h="1" m="1" x="7437"/>
        <item h="1" m="1" x="7438"/>
        <item h="1" m="1" x="7439"/>
        <item h="1" m="1" x="7443"/>
        <item h="1" m="1" x="7445"/>
        <item h="1" m="1" x="7446"/>
        <item h="1" m="1" x="7447"/>
        <item h="1" m="1" x="7304"/>
        <item h="1" m="1" x="5174"/>
        <item h="1" m="1" x="7448"/>
        <item h="1" m="1" x="7449"/>
        <item h="1" m="1" x="7450"/>
        <item h="1" m="1" x="7162"/>
        <item h="1" m="1" x="7159"/>
        <item h="1" m="1" x="7160"/>
        <item h="1" m="1" x="6900"/>
        <item h="1" m="1" x="7161"/>
        <item h="1" m="1" x="7164"/>
        <item h="1" m="1" x="6901"/>
        <item h="1" m="1" x="7165"/>
        <item h="1" m="1" x="7158"/>
        <item h="1" m="1" x="7451"/>
        <item h="1" m="1" x="7452"/>
        <item h="1" m="1" x="7454"/>
        <item h="1" m="1" x="7455"/>
        <item h="1" m="1" x="7456"/>
        <item h="1" m="1" x="7459"/>
        <item h="1" m="1" x="7460"/>
        <item h="1" m="1" x="5420"/>
        <item h="1" m="1" x="7463"/>
        <item h="1" m="1" x="7307"/>
        <item h="1" m="1" x="7465"/>
        <item h="1" m="1" x="7467"/>
        <item h="1" m="1" x="7173"/>
        <item h="1" m="1" x="6735"/>
        <item h="1" m="1" x="7316"/>
        <item h="1" m="1" x="7317"/>
        <item h="1" m="1" x="7471"/>
        <item h="1" m="1" x="5539"/>
        <item h="1" m="1" x="7474"/>
        <item h="1" m="1" x="299"/>
        <item h="1" m="1" x="7476"/>
        <item h="1" m="1" x="7477"/>
        <item h="1" m="1" x="7480"/>
        <item h="1" m="1" x="7481"/>
        <item h="1" m="1" x="7482"/>
        <item h="1" m="1" x="6631"/>
        <item h="1" m="1" x="5143"/>
        <item h="1" m="1" x="5142"/>
        <item h="1" m="1" x="7067"/>
        <item h="1" m="1" x="7489"/>
        <item h="1" m="1" x="7490"/>
        <item h="1" m="1" x="7491"/>
        <item h="1" m="1" x="7493"/>
        <item h="1" m="1" x="7326"/>
        <item h="1" m="1" x="7499"/>
        <item h="1" m="1" x="7500"/>
        <item h="1" m="1" x="5555"/>
        <item h="1" m="1" x="7335"/>
        <item h="1" m="1" x="7333"/>
        <item h="1" m="1" x="7334"/>
        <item h="1" m="1" x="1733"/>
        <item h="1" m="1" x="4850"/>
        <item h="1" m="1" x="5155"/>
        <item h="1" m="1" x="7508"/>
        <item h="1" m="1" x="7509"/>
        <item h="1" m="1" x="7510"/>
        <item h="1" m="1" x="5538"/>
        <item h="1" m="1" x="7512"/>
        <item h="1" m="1" x="7513"/>
        <item h="1" m="1" x="7514"/>
        <item h="1" m="1" x="7515"/>
        <item h="1" m="1" x="7516"/>
        <item h="1" m="1" x="7081"/>
        <item h="1" m="1" x="7338"/>
        <item h="1" m="1" x="7519"/>
        <item h="1" m="1" x="6761"/>
        <item h="1" m="1" x="5705"/>
        <item h="1" m="1" x="7525"/>
        <item h="1" m="1" x="7243"/>
        <item h="1" m="1" x="7244"/>
        <item h="1" m="1" x="7245"/>
        <item h="1" m="1" x="7246"/>
        <item h="1" m="1" x="7247"/>
        <item h="1" m="1" x="7227"/>
        <item h="1" m="1" x="7248"/>
        <item h="1" m="1" x="7249"/>
        <item h="1" m="1" x="7208"/>
        <item h="1" m="1" x="7209"/>
        <item h="1" m="1" x="2555"/>
        <item h="1" m="1" x="7221"/>
        <item h="1" m="1" x="7155"/>
        <item h="1" m="1" x="7222"/>
        <item h="1" m="1" x="7089"/>
        <item h="1" m="1" x="7223"/>
        <item h="1" m="1" x="7224"/>
        <item h="1" m="1" x="7225"/>
        <item h="1" m="1" x="7226"/>
        <item h="1" m="1" x="7526"/>
        <item h="1" m="1" x="6994"/>
        <item h="1" m="1" x="6665"/>
        <item h="1" m="1" x="7228"/>
        <item h="1" m="1" x="7229"/>
        <item h="1" m="1" x="7236"/>
        <item h="1" m="1" x="7210"/>
        <item h="1" m="1" x="7231"/>
        <item h="1" m="1" x="7233"/>
        <item h="1" m="1" x="7234"/>
        <item h="1" m="1" x="7094"/>
        <item h="1" m="1" x="7235"/>
        <item h="1" m="1" x="7207"/>
        <item h="1" m="1" x="5975"/>
        <item h="1" m="1" x="7527"/>
        <item h="1" m="1" x="7528"/>
        <item h="1" m="1" x="7529"/>
        <item h="1" m="1" x="7358"/>
        <item h="1" m="1" x="7533"/>
        <item h="1" m="1" x="7257"/>
        <item h="1" m="1" x="4236"/>
        <item h="1" m="1" x="7540"/>
        <item h="1" m="1" x="7541"/>
        <item h="1" m="1" x="6271"/>
        <item h="1" m="1" x="6008"/>
        <item h="1" m="1" x="7542"/>
        <item h="1" m="1" x="7543"/>
        <item h="1" m="1" x="7544"/>
        <item h="1" m="1" x="7545"/>
        <item h="1" m="1" x="7546"/>
        <item h="1" m="1" x="7547"/>
        <item h="1" m="1" x="6014"/>
        <item h="1" m="1" x="7550"/>
        <item h="1" m="1" x="7267"/>
        <item h="1" m="1" x="7380"/>
        <item h="1" m="1" x="7118"/>
        <item h="1" m="1" x="6193"/>
        <item h="1" m="1" x="7268"/>
        <item h="1" m="1" x="7269"/>
        <item h="1" m="1" x="7271"/>
        <item h="1" m="1" x="7272"/>
        <item h="1" m="1" x="7273"/>
        <item h="1" m="1" x="7274"/>
        <item h="1" m="1" x="4218"/>
        <item h="1" m="1" x="6809"/>
        <item h="1" m="1" x="6812"/>
        <item h="1" m="1" x="6813"/>
        <item h="1" m="1" x="6686"/>
        <item h="1" m="1" x="6687"/>
        <item h="1" m="1" x="6571"/>
        <item h="1" m="1" x="6814"/>
        <item h="1" m="1" x="6408"/>
        <item h="1" m="1" x="6688"/>
        <item h="1" m="1" x="6815"/>
        <item h="1" m="1" x="6810"/>
        <item h="1" m="1" x="6569"/>
        <item h="1" m="1" x="6798"/>
        <item h="1" m="1" x="6799"/>
        <item h="1" m="1" x="6407"/>
        <item h="1" m="1" x="6800"/>
        <item h="1" m="1" x="6801"/>
        <item h="1" m="1" x="6802"/>
        <item h="1" m="1" x="6803"/>
        <item h="1" m="1" x="6804"/>
        <item h="1" m="1" x="6805"/>
        <item h="1" m="1" x="7275"/>
        <item h="1" m="1" x="7276"/>
        <item h="1" m="1" x="7124"/>
        <item h="1" m="1" x="1770"/>
        <item h="1" m="1" x="7277"/>
        <item h="1" m="1" x="6047"/>
        <item h="1" m="1" x="5795"/>
        <item h="1" m="1" x="7278"/>
        <item h="1" m="1" x="7279"/>
        <item h="1" m="1" x="7281"/>
        <item h="1" m="1" x="7282"/>
        <item h="1" m="1" x="7283"/>
        <item h="1" m="1" x="7284"/>
        <item h="1" m="1" x="6055"/>
        <item h="1" m="1" x="6428"/>
        <item h="1" m="1" x="6429"/>
        <item h="1" m="1" x="6430"/>
        <item h="1" m="1" x="6431"/>
        <item h="1" m="1" x="7286"/>
        <item h="1" m="1" x="7287"/>
        <item h="1" m="1" x="7288"/>
        <item h="1" m="1" x="7294"/>
        <item h="1" m="1" x="7295"/>
        <item h="1" m="1" x="5855"/>
        <item h="1" m="1" x="6881"/>
        <item h="1" m="1" x="5419"/>
        <item h="1" m="1" x="7298"/>
        <item h="1" m="1" x="7301"/>
        <item h="1" m="1" x="6553"/>
        <item h="1" m="1" x="7302"/>
        <item h="1" m="1" x="7147"/>
        <item h="1" m="1" x="7156"/>
        <item h="1" m="1" x="7157"/>
        <item h="1" m="1" x="6905"/>
        <item h="1" m="1" x="7305"/>
        <item h="1" m="1" x="5891"/>
        <item h="1" m="1" x="5892"/>
        <item h="1" m="1" x="5893"/>
        <item h="1" m="1" x="5894"/>
        <item h="1" m="1" x="7061"/>
        <item h="1" m="1" x="5424"/>
        <item h="1" m="1" x="7306"/>
        <item h="1" m="1" x="7308"/>
        <item h="1" m="1" x="7309"/>
        <item h="1" m="1" x="602"/>
        <item h="1" m="1" x="7310"/>
        <item h="1" m="1" x="7311"/>
        <item h="1" m="1" x="7312"/>
        <item h="1" m="1" x="7313"/>
        <item h="1" m="1" x="7315"/>
        <item h="1" m="1" x="6928"/>
        <item h="1" m="1" x="7318"/>
        <item h="1" m="1" x="7319"/>
        <item h="1" m="1" x="7320"/>
        <item h="1" m="1" x="1518"/>
        <item h="1" m="1" x="7321"/>
        <item h="1" m="1" x="7322"/>
        <item h="1" m="1" x="7324"/>
        <item h="1" m="1" x="5540"/>
        <item h="1" m="1" x="7329"/>
        <item h="1" m="1" x="7330"/>
        <item h="1" m="1" x="6751"/>
        <item h="1" m="1" x="7331"/>
        <item h="1" m="1" x="664"/>
        <item h="1" m="1" x="7332"/>
        <item h="1" m="1" x="7336"/>
        <item h="1" m="1" x="7337"/>
        <item h="1" m="1" x="5546"/>
        <item h="1" m="1" x="7082"/>
        <item h="1" m="1" x="7083"/>
        <item h="1" m="1" x="7340"/>
        <item h="1" m="1" x="7341"/>
        <item h="1" m="1" x="7342"/>
        <item h="1" m="1" x="7192"/>
        <item h="1" m="1" x="7193"/>
        <item h="1" m="1" x="7343"/>
        <item h="1" m="1" x="7344"/>
        <item h="1" m="1" x="6533"/>
        <item h="1" m="1" x="7195"/>
        <item h="1" m="1" x="5109"/>
        <item h="1" m="1" x="7196"/>
        <item h="1" m="1" x="7346"/>
        <item h="1" m="1" x="7203"/>
        <item h="1" m="1" x="7202"/>
        <item h="1" m="1" x="7348"/>
        <item h="1" m="1" x="7205"/>
        <item h="1" m="1" x="7349"/>
        <item h="1" m="1" x="7350"/>
        <item h="1" m="1" x="4879"/>
        <item h="1" m="1" x="7150"/>
        <item h="1" m="1" x="7237"/>
        <item h="1" m="1" x="7238"/>
        <item h="1" m="1" x="7239"/>
        <item h="1" m="1" x="7240"/>
        <item h="1" m="1" x="7241"/>
        <item h="1" m="1" x="7242"/>
        <item h="1" m="1" x="7255"/>
        <item h="1" m="1" x="7214"/>
        <item h="1" m="1" x="7253"/>
        <item h="1" m="1" x="7254"/>
        <item h="1" m="1" x="7351"/>
        <item h="1" m="1" x="7354"/>
        <item h="1" m="1" x="7356"/>
        <item h="1" m="1" x="7357"/>
        <item h="1" m="1" x="7361"/>
        <item h="1" x="40"/>
        <item h="1" m="1" x="7362"/>
        <item h="1" m="1" x="7364"/>
        <item h="1" m="1" x="7365"/>
        <item h="1" m="1" x="7366"/>
        <item h="1" m="1" x="7367"/>
        <item h="1" m="1" x="6275"/>
        <item h="1" m="1" x="6012"/>
        <item h="1" m="1" x="7368"/>
        <item h="1" m="1" x="7369"/>
        <item h="1" m="1" x="7370"/>
        <item h="1" m="1" x="7371"/>
        <item h="1" m="1" x="7372"/>
        <item h="1" m="1" x="7373"/>
        <item h="1" m="1" x="7375"/>
        <item h="1" m="1" x="7376"/>
        <item h="1" m="1" x="7377"/>
        <item h="1" m="1" x="7378"/>
        <item h="1" m="1" x="7379"/>
        <item h="1" m="1" x="7266"/>
        <item h="1" m="1" x="6036"/>
        <item h="1" m="1" x="6783"/>
        <item h="1" m="1" x="6784"/>
        <item h="1" m="1" x="3607"/>
        <item h="1" m="1" x="7119"/>
        <item h="1" m="1" x="6673"/>
        <item h="1" m="1" x="3979"/>
        <item h="1" m="1" x="7123"/>
        <item h="1" m="1" x="6820"/>
        <item h="1" m="1" x="6821"/>
        <item h="1" m="1" x="6573"/>
        <item h="1" m="1" x="6572"/>
        <item h="1" m="1" x="6204"/>
        <item h="1" m="1" x="6693"/>
        <item h="1" m="1" x="6791"/>
        <item h="1" m="1" x="6411"/>
        <item h="1" m="1" x="6792"/>
        <item h="1" m="1" x="5784"/>
        <item h="1" m="1" x="4433"/>
        <item h="1" m="1" x="7125"/>
        <item h="1" m="1" x="7126"/>
        <item h="1" m="1" x="7127"/>
        <item h="1" m="1" x="3961"/>
        <item h="1" m="1" x="5765"/>
        <item h="1" m="1" x="7128"/>
        <item h="1" m="1" x="5650"/>
        <item h="1" m="1" x="6856"/>
        <item h="1" m="1" x="5798"/>
        <item h="1" m="1" x="6857"/>
        <item h="1" m="1" x="5814"/>
        <item h="1" m="1" x="6859"/>
        <item h="1" m="1" x="6867"/>
        <item h="1" m="1" x="6866"/>
        <item h="1" m="1" x="6865"/>
        <item h="1" m="1" x="7134"/>
        <item h="1" m="1" x="7049"/>
        <item h="1" m="1" x="6708"/>
        <item h="1" m="1" x="7050"/>
        <item h="1" m="1" x="7135"/>
        <item h="1" m="1" x="6876"/>
        <item h="1" m="1" x="6877"/>
        <item h="1" m="1" x="7136"/>
        <item h="1" m="1" x="7137"/>
        <item h="1" m="1" x="7138"/>
        <item h="1" m="1" x="5850"/>
        <item h="1" m="1" x="7139"/>
        <item h="1" m="1" x="7140"/>
        <item h="1" m="1" x="7141"/>
        <item h="1" m="1" x="6898"/>
        <item h="1" m="1" x="6892"/>
        <item h="1" m="1" x="6893"/>
        <item h="1" m="1" x="6891"/>
        <item h="1" m="1" x="6888"/>
        <item h="1" m="1" x="6889"/>
        <item h="1" m="1" x="6890"/>
        <item h="1" m="1" x="7145"/>
        <item h="1" m="1" x="7146"/>
        <item h="1" m="1" x="7151"/>
        <item h="1" m="1" x="7090"/>
        <item h="1" m="1" x="7152"/>
        <item h="1" m="1" x="7153"/>
        <item h="1" m="1" x="6904"/>
        <item h="1" m="1" x="5887"/>
        <item h="1" m="1" x="6912"/>
        <item h="1" m="1" x="6919"/>
        <item h="1" m="1" x="6324"/>
        <item h="1" m="1" x="6913"/>
        <item h="1" m="1" x="6914"/>
        <item h="1" m="1" x="5896"/>
        <item h="1" m="1" x="7167"/>
        <item h="1" m="1" x="6448"/>
        <item h="1" m="1" x="7060"/>
        <item h="1" m="1" x="7170"/>
        <item h="1" m="1" x="7171"/>
        <item h="1" m="1" x="6927"/>
        <item h="1" m="1" x="6509"/>
        <item h="1" m="1" x="7062"/>
        <item h="1" m="1" x="7063"/>
        <item h="1" m="1" x="7174"/>
        <item h="1" m="1" x="6625"/>
        <item h="1" m="1" x="7070"/>
        <item h="1" m="1" x="7065"/>
        <item h="1" m="1" x="5157"/>
        <item h="1" m="1" x="5158"/>
        <item h="1" m="1" x="7064"/>
        <item h="1" m="1" x="7066"/>
        <item h="1" m="1" x="5156"/>
        <item h="1" m="1" x="6752"/>
        <item h="1" m="1" x="7175"/>
        <item h="1" m="1" x="7176"/>
        <item h="1" m="1" x="5537"/>
        <item h="1" m="1" x="5934"/>
        <item h="1" m="1" x="7178"/>
        <item h="1" m="1" x="7180"/>
        <item h="1" m="1" x="7181"/>
        <item h="1" m="1" x="7182"/>
        <item h="1" m="1" x="5172"/>
        <item h="1" m="1" x="7183"/>
        <item h="1" m="1" x="7184"/>
        <item h="1" m="1" x="5161"/>
        <item h="1" m="1" x="7185"/>
        <item h="1" m="1" x="7186"/>
        <item h="1" m="1" x="7187"/>
        <item h="1" m="1" x="7188"/>
        <item h="1" m="1" x="5556"/>
        <item h="1" m="1" x="7074"/>
        <item h="1" m="1" x="4822"/>
        <item h="1" m="1" x="7189"/>
        <item h="1" m="1" x="7076"/>
        <item h="1" m="1" x="7073"/>
        <item h="1" m="1" x="6364"/>
        <item h="1" m="1" x="6959"/>
        <item h="1" m="1" x="6961"/>
        <item h="1" m="1" x="6960"/>
        <item h="1" m="1" x="7190"/>
        <item h="1" m="1" x="7084"/>
        <item h="1" m="1" x="7191"/>
        <item h="1" m="1" x="5973"/>
        <item h="1" m="1" x="7197"/>
        <item h="1" m="1" x="7198"/>
        <item h="1" m="1" x="6980"/>
        <item h="1" m="1" x="6979"/>
        <item h="1" m="1" x="7086"/>
        <item h="1" m="1" x="5717"/>
        <item h="1" m="1" x="7087"/>
        <item h="1" m="1" x="7204"/>
        <item h="1" m="1" x="7206"/>
        <item h="1" m="1" x="7211"/>
        <item h="1" m="1" x="7213"/>
        <item h="1" m="1" x="7102"/>
        <item h="1" m="1" x="7215"/>
        <item h="1" m="1" x="7216"/>
        <item h="1" m="1" x="7217"/>
        <item h="1" m="1" x="7218"/>
        <item h="1" m="1" x="7219"/>
        <item h="1" m="1" x="7220"/>
        <item h="1" m="1" x="7250"/>
        <item h="1" m="1" x="7251"/>
        <item h="1" m="1" x="6988"/>
        <item h="1" m="1" x="6989"/>
        <item h="1" m="1" x="7252"/>
        <item h="1" m="1" x="7256"/>
        <item h="1" m="1" x="2140"/>
        <item h="1" m="1" x="6997"/>
        <item h="1" m="1" x="734"/>
        <item h="1" m="1" x="4977"/>
        <item h="1" m="1" x="7008"/>
        <item h="1" m="1" x="7009"/>
        <item h="1" m="1" x="7013"/>
        <item h="1" m="1" x="7014"/>
        <item h="1" m="1" x="7025"/>
        <item h="1" m="1" x="7026"/>
        <item h="1" m="1" x="7261"/>
        <item h="1" m="1" x="7262"/>
        <item h="1" m="1" x="7264"/>
        <item h="1" m="1" x="5342"/>
        <item h="1" m="1" x="7030"/>
        <item h="1" m="1" x="7031"/>
        <item h="1" m="1" x="6679"/>
        <item h="1" m="1" x="7032"/>
        <item h="1" m="1" x="7033"/>
        <item h="1" m="1" x="7034"/>
        <item h="1" m="1" x="7035"/>
        <item h="1" m="1" x="7036"/>
        <item h="1" m="1" x="5429"/>
        <item h="1" m="1" x="6818"/>
        <item h="1" m="1" x="5430"/>
        <item h="1" m="1" x="6819"/>
        <item h="1" m="1" x="5428"/>
        <item h="1" m="1" x="6043"/>
        <item h="1" m="1" x="6562"/>
        <item h="1" m="1" x="6563"/>
        <item h="1" m="1" x="6822"/>
        <item h="1" m="1" x="6410"/>
        <item h="1" m="1" x="6823"/>
        <item h="1" m="1" x="6824"/>
        <item h="1" m="1" x="6825"/>
        <item h="1" m="1" x="7037"/>
        <item h="1" m="1" x="7038"/>
        <item h="1" m="1" x="7039"/>
        <item h="1" m="1" x="7040"/>
        <item h="1" m="1" x="7041"/>
        <item h="1" m="1" x="6794"/>
        <item h="1" m="1" x="6795"/>
        <item h="1" m="1" x="6853"/>
        <item h="1" m="1" x="6854"/>
        <item h="1" m="1" x="6855"/>
        <item h="1" m="1" x="6207"/>
        <item h="1" m="1" x="6698"/>
        <item h="1" m="1" x="6860"/>
        <item h="1" m="1" x="5551"/>
        <item h="1" m="1" x="6584"/>
        <item h="1" m="1" x="7044"/>
        <item h="1" m="1" x="6587"/>
        <item h="1" m="1" x="7045"/>
        <item h="1" m="1" x="5170"/>
        <item h="1" m="1" x="1967"/>
        <item h="1" m="1" x="6870"/>
        <item h="1" m="1" x="4437"/>
        <item h="1" m="1" x="6702"/>
        <item h="1" m="1" x="5835"/>
        <item h="1" m="1" x="4933"/>
        <item h="1" m="1" x="7048"/>
        <item h="1" m="1" x="7051"/>
        <item h="1" m="1" x="5843"/>
        <item h="1" m="1" x="4911"/>
        <item h="1" m="1" x="6880"/>
        <item h="1" m="1" x="5182"/>
        <item h="1" m="1" x="5168"/>
        <item h="1" m="1" x="6887"/>
        <item h="1" m="1" x="5542"/>
        <item h="1" m="1" x="6899"/>
        <item h="1" m="1" x="5204"/>
        <item h="1" m="1" x="5870"/>
        <item h="1" m="1" x="7054"/>
        <item h="1" m="1" x="6730"/>
        <item h="1" m="1" x="7055"/>
        <item h="1" m="1" x="7056"/>
        <item h="1" m="1" x="6909"/>
        <item h="1" m="1" x="7059"/>
        <item h="1" m="1" x="6915"/>
        <item h="1" m="1" x="3360"/>
        <item h="1" m="1" x="6916"/>
        <item h="1" m="1" x="6917"/>
        <item h="1" m="1" x="6918"/>
        <item h="1" m="1" x="5895"/>
        <item h="1" m="1" x="6923"/>
        <item h="1" m="1" x="6736"/>
        <item h="1" m="1" x="6738"/>
        <item h="1" m="1" x="5541"/>
        <item h="1" m="1" x="5167"/>
        <item h="1" m="1" x="7068"/>
        <item h="1" m="1" x="5169"/>
        <item h="1" m="1" x="6939"/>
        <item h="1" m="1" x="5166"/>
        <item h="1" m="1" x="6240"/>
        <item h="1" m="1" x="7071"/>
        <item h="1" m="1" x="4426"/>
        <item h="1" m="1" x="6245"/>
        <item h="1" m="1" x="1543"/>
        <item h="1" m="1" x="7072"/>
        <item h="1" m="1" x="7077"/>
        <item h="1" m="1" x="7078"/>
        <item h="1" m="1" x="7079"/>
        <item h="1" m="1" x="7080"/>
        <item h="1" m="1" x="6958"/>
        <item h="1" m="1" x="6954"/>
        <item h="1" m="1" x="6956"/>
        <item h="1" m="1" x="3950"/>
        <item h="1" m="1" x="6963"/>
        <item h="1" m="1" x="6962"/>
        <item h="1" m="1" x="7085"/>
        <item h="1" m="1" x="6972"/>
        <item h="1" m="1" x="4004"/>
        <item h="1" m="1" x="6975"/>
        <item h="1" m="1" x="6978"/>
        <item h="1" m="1" x="6983"/>
        <item h="1" m="1" x="6977"/>
        <item h="1" m="1" x="7088"/>
        <item h="1" m="1" x="7091"/>
        <item h="1" m="1" x="6990"/>
        <item h="1" m="1" x="7092"/>
        <item h="1" m="1" x="7093"/>
        <item h="1" m="1" x="7095"/>
        <item h="1" m="1" x="7096"/>
        <item h="1" m="1" x="7098"/>
        <item h="1" m="1" x="7099"/>
        <item h="1" m="1" x="7100"/>
        <item h="1" m="1" x="7101"/>
        <item h="1" m="1" x="7103"/>
        <item h="1" m="1" x="6998"/>
        <item h="1" m="1" x="1616"/>
        <item h="1" m="1" x="7104"/>
        <item h="1" m="1" x="7105"/>
        <item h="1" m="1" x="5990"/>
        <item h="1" m="1" x="7007"/>
        <item h="1" m="1" x="7018"/>
        <item h="1" m="1" x="7016"/>
        <item h="1" m="1" x="7015"/>
        <item h="1" m="1" x="7011"/>
        <item h="1" m="1" x="7112"/>
        <item h="1" m="1" x="7023"/>
        <item h="1" m="1" x="5750"/>
        <item h="1" m="1" x="4896"/>
        <item h="1" m="1" x="7024"/>
        <item h="1" m="1" x="6191"/>
        <item h="1" m="1" x="6785"/>
        <item h="1" m="1" x="6787"/>
        <item h="1" m="1" x="6788"/>
        <item h="1" m="1" x="6789"/>
        <item h="1" m="1" x="6790"/>
        <item h="1" m="1" x="6793"/>
        <item h="1" m="1" x="6796"/>
        <item h="1" m="1" x="6797"/>
        <item h="1" m="1" x="6205"/>
        <item h="1" m="1" x="6808"/>
        <item h="1" m="1" x="6816"/>
        <item h="1" m="1" x="6817"/>
        <item h="1" m="1" x="6293"/>
        <item h="1" m="1" x="6858"/>
        <item h="1" m="1" x="6110"/>
        <item h="1" m="1" x="6862"/>
        <item h="1" m="1" x="6863"/>
        <item h="1" m="1" x="6864"/>
        <item h="1" m="1" x="5552"/>
        <item h="1" m="1" x="6427"/>
        <item h="1" m="1" x="6869"/>
        <item h="1" m="1" x="4717"/>
        <item h="1" m="1" x="6871"/>
        <item h="1" m="1" x="6872"/>
        <item h="1" m="1" x="6701"/>
        <item h="1" m="1" x="5828"/>
        <item h="1" m="1" x="6873"/>
        <item h="1" m="1" x="6874"/>
        <item h="1" m="1" x="6875"/>
        <item h="1" m="1" x="6878"/>
        <item h="1" m="1" x="6879"/>
        <item h="1" m="1" x="6703"/>
        <item h="1" m="1" x="6717"/>
        <item h="1" m="1" x="6716"/>
        <item h="1" m="1" x="6715"/>
        <item h="1" m="1" x="6718"/>
        <item h="1" m="1" x="6590"/>
        <item h="1" m="1" x="6720"/>
        <item h="1" m="1" x="6883"/>
        <item h="1" m="1" x="6884"/>
        <item h="1" m="1" x="5554"/>
        <item h="1" m="1" x="6885"/>
        <item h="1" m="1" x="6894"/>
        <item h="1" m="1" x="6895"/>
        <item h="1" m="1" x="6896"/>
        <item h="1" m="1" x="6897"/>
        <item h="1" m="1" x="6902"/>
        <item h="1" m="1" x="6903"/>
        <item h="1" m="1" x="6906"/>
        <item h="1" m="1" x="6501"/>
        <item h="1" m="1" x="6503"/>
        <item h="1" m="1" x="6502"/>
        <item h="1" m="1" x="6908"/>
        <item h="1" m="1" x="6731"/>
        <item h="1" m="1" x="6911"/>
        <item h="1" m="1" x="4901"/>
        <item h="1" m="1" x="6922"/>
        <item h="1" m="1" x="6924"/>
        <item h="1" m="1" x="6925"/>
        <item h="1" m="1" x="6926"/>
        <item h="1" m="1" x="6739"/>
        <item h="1" m="1" x="2415"/>
        <item h="1" m="1" x="6929"/>
        <item h="1" m="1" x="6930"/>
        <item h="1" m="1" x="5218"/>
        <item h="1" m="1" x="6932"/>
        <item h="1" m="1" x="6744"/>
        <item h="1" m="1" x="6933"/>
        <item h="1" m="1" x="771"/>
        <item h="1" m="1" x="6934"/>
        <item h="1" m="1" x="6935"/>
        <item h="1" m="1" x="6937"/>
        <item h="1" m="1" x="6940"/>
        <item h="1" m="1" x="6942"/>
        <item h="1" m="1" x="6943"/>
        <item h="1" m="1" x="6944"/>
        <item h="1" m="1" x="6945"/>
        <item h="1" m="1" x="6946"/>
        <item h="1" m="1" x="6947"/>
        <item h="1" m="1" x="6948"/>
        <item h="1" m="1" x="6949"/>
        <item h="1" m="1" x="6950"/>
        <item h="1" m="1" x="6951"/>
        <item h="1" m="1" x="6952"/>
        <item h="1" m="1" x="6355"/>
        <item h="1" m="1" x="6354"/>
        <item h="1" m="1" x="6953"/>
        <item h="1" m="1" x="6964"/>
        <item h="1" m="1" x="6965"/>
        <item h="1" m="1" x="6966"/>
        <item h="1" m="1" x="6967"/>
        <item h="1" m="1" x="6968"/>
        <item h="1" m="1" x="6969"/>
        <item h="1" m="1" x="6970"/>
        <item h="1" m="1" x="6971"/>
        <item h="1" m="1" x="4026"/>
        <item h="1" m="1" x="6984"/>
        <item h="1" m="1" x="6985"/>
        <item h="1" m="1" x="6986"/>
        <item h="1" m="1" x="6987"/>
        <item h="1" m="1" x="6991"/>
        <item h="1" m="1" x="6993"/>
        <item h="1" m="1" x="6995"/>
        <item h="1" m="1" x="5985"/>
        <item h="1" m="1" x="6767"/>
        <item h="1" m="1" x="6462"/>
        <item h="1" m="1" x="4527"/>
        <item h="1" m="1" x="7001"/>
        <item h="1" m="1" x="7002"/>
        <item h="1" m="1" x="7003"/>
        <item h="1" m="1" x="7004"/>
        <item h="1" m="1" x="7005"/>
        <item h="1" m="1" x="7006"/>
        <item h="1" m="1" x="7017"/>
        <item h="1" m="1" x="7019"/>
        <item h="1" m="1" x="7020"/>
        <item h="1" m="1" x="7021"/>
        <item h="1" m="1" x="5999"/>
        <item h="1" m="1" x="6272"/>
        <item h="1" m="1" x="6273"/>
        <item h="1" m="1" x="5431"/>
        <item h="1" m="1" x="7022"/>
        <item h="1" m="1" x="6778"/>
        <item h="1" m="1" x="6779"/>
        <item h="1" m="1" x="6559"/>
        <item h="1" m="1" x="6023"/>
        <item h="1" m="1" x="7029"/>
        <item h="1" m="1" x="5756"/>
        <item h="1" m="1" x="6674"/>
        <item h="1" m="1" x="6675"/>
        <item h="1" m="1" x="6676"/>
        <item h="1" m="1" x="6677"/>
        <item h="1" m="1" x="6678"/>
        <item h="1" m="1" x="6680"/>
        <item h="1" m="1" x="6681"/>
        <item h="1" m="1" x="4425"/>
        <item h="1" m="1" x="3964"/>
        <item h="1" m="1" x="3965"/>
        <item h="1" m="1" x="3966"/>
        <item h="1" m="1" x="5782"/>
        <item h="1" m="1" x="5783"/>
        <item h="1" m="1" x="4424"/>
        <item h="1" m="1" x="5148"/>
        <item h="1" m="1" x="6568"/>
        <item h="1" m="1" x="4389"/>
        <item h="1" m="1" x="3969"/>
        <item h="1" m="1" x="6694"/>
        <item h="1" m="1" x="6212"/>
        <item h="1" m="1" x="6695"/>
        <item h="1" m="1" x="6696"/>
        <item h="1" m="1" x="6697"/>
        <item h="1" m="1" x="5809"/>
        <item h="1" m="1" x="4521"/>
        <item h="1" m="1" x="5177"/>
        <item h="1" m="1" x="5560"/>
        <item h="1" m="1" x="6480"/>
        <item h="1" m="1" x="6294"/>
        <item h="1" m="1" x="6699"/>
        <item h="1" m="1" x="6700"/>
        <item h="1" m="1" x="1838"/>
        <item h="1" m="1" x="1839"/>
        <item h="1" m="1" x="722"/>
        <item h="1" m="1" x="6704"/>
        <item h="1" m="1" x="6705"/>
        <item h="1" m="1" x="6706"/>
        <item h="1" m="1" x="6707"/>
        <item h="1" m="1" x="1461"/>
        <item h="1" m="1" x="6709"/>
        <item h="1" m="1" x="6710"/>
        <item h="1" m="1" x="6711"/>
        <item h="1" m="1" x="6712"/>
        <item h="1" m="1" x="6713"/>
        <item h="1" m="1" x="6714"/>
        <item h="1" m="1" x="6719"/>
        <item h="1" m="1" x="5852"/>
        <item h="1" m="1" x="2197"/>
        <item h="1" m="1" x="5178"/>
        <item h="1" m="1" x="5175"/>
        <item h="1" m="1" x="5853"/>
        <item h="1" m="1" x="5432"/>
        <item h="1" m="1" x="5427"/>
        <item h="1" m="1" x="5425"/>
        <item h="1" m="1" x="6721"/>
        <item h="1" m="1" x="6321"/>
        <item h="1" m="1" x="6722"/>
        <item h="1" m="1" x="6723"/>
        <item h="1" m="1" x="6724"/>
        <item h="1" m="1" x="6725"/>
        <item h="1" m="1" x="6727"/>
        <item h="1" m="1" x="6728"/>
        <item h="1" m="1" x="5866"/>
        <item h="1" m="1" x="6729"/>
        <item h="1" m="1" x="6732"/>
        <item h="1" m="1" x="6600"/>
        <item h="1" m="1" x="6601"/>
        <item h="1" m="1" x="6602"/>
        <item h="1" m="1" x="6603"/>
        <item h="1" m="1" x="5897"/>
        <item h="1" m="1" x="6231"/>
        <item h="1" m="1" x="6524"/>
        <item h="1" m="1" x="5908"/>
        <item h="1" m="1" x="6734"/>
        <item h="1" m="1" x="5907"/>
        <item h="1" m="1" x="5906"/>
        <item h="1" m="1" x="5909"/>
        <item h="1" m="1" x="6737"/>
        <item h="1" m="1" x="6443"/>
        <item h="1" m="1" x="6740"/>
        <item h="1" m="1" x="6741"/>
        <item h="1" m="1" x="6742"/>
        <item h="1" m="1" x="5543"/>
        <item h="1" m="1" x="6452"/>
        <item h="1" m="1" x="6745"/>
        <item h="1" m="1" x="5547"/>
        <item h="1" m="1" x="6628"/>
        <item h="1" m="1" x="6629"/>
        <item h="1" m="1" x="5544"/>
        <item h="1" m="1" x="5548"/>
        <item h="1" m="1" x="6746"/>
        <item h="1" m="1" x="6747"/>
        <item h="1" m="1" x="6749"/>
        <item h="1" m="1" x="6627"/>
        <item h="1" m="1" x="6750"/>
        <item h="1" m="1" x="6630"/>
        <item h="1" m="1" x="6754"/>
        <item h="1" m="1" x="1845"/>
        <item h="1" m="1" x="6066"/>
        <item h="1" m="1" x="5935"/>
        <item h="1" m="1" x="5426"/>
        <item h="1" m="1" x="5159"/>
        <item h="1" m="1" x="6453"/>
        <item h="1" m="1" x="6755"/>
        <item h="1" m="1" x="471"/>
        <item h="1" m="1" x="6756"/>
        <item h="1" m="1" x="485"/>
        <item h="1" m="1" x="6637"/>
        <item h="1" m="1" x="5160"/>
        <item h="1" m="1" x="5549"/>
        <item h="1" m="1" x="5176"/>
        <item h="1" m="1" x="5162"/>
        <item h="1" m="1" x="5550"/>
        <item h="1" m="1" x="6757"/>
        <item h="1" m="1" x="6640"/>
        <item h="1" m="1" x="2634"/>
        <item h="1" m="1" x="6758"/>
        <item h="1" m="1" x="5969"/>
        <item h="1" m="1" x="6646"/>
        <item h="1" m="1" x="6647"/>
        <item h="1" m="1" x="6760"/>
        <item h="1" m="1" x="6648"/>
        <item h="1" m="1" x="6169"/>
        <item h="1" m="1" x="6762"/>
        <item h="1" m="1" x="3813"/>
        <item h="1" m="1" x="6763"/>
        <item h="1" m="1" x="5982"/>
        <item h="1" m="1" x="5983"/>
        <item h="1" m="1" x="6764"/>
        <item h="1" m="1" x="6765"/>
        <item h="1" m="1" x="6766"/>
        <item h="1" m="1" x="6768"/>
        <item h="1" m="1" x="5987"/>
        <item h="1" m="1" x="6769"/>
        <item h="1" m="1" x="6770"/>
        <item h="1" m="1" x="6771"/>
        <item h="1" m="1" x="6772"/>
        <item h="1" m="1" x="6774"/>
        <item h="1" m="1" x="6775"/>
        <item h="1" m="1" x="6777"/>
        <item h="1" m="1" x="6102"/>
        <item h="1" m="1" x="6103"/>
        <item h="1" m="1" x="6781"/>
        <item h="1" m="1" x="6782"/>
        <item h="1" m="1" x="1590"/>
        <item h="1" m="1" x="6022"/>
        <item h="1" m="1" x="6026"/>
        <item h="1" m="1" x="6560"/>
        <item h="1" m="1" x="6561"/>
        <item h="1" m="1" x="6469"/>
        <item h="1" m="1" x="4318"/>
        <item h="1" m="1" x="1771"/>
        <item h="1" m="1" x="6581"/>
        <item h="1" m="1" x="6582"/>
        <item h="1" m="1" x="6583"/>
        <item h="1" m="1" x="6472"/>
        <item h="1" m="1" x="6473"/>
        <item h="1" m="1" x="6586"/>
        <item h="1" m="1" x="5821"/>
        <item h="1" m="1" x="4516"/>
        <item h="1" m="1" x="6483"/>
        <item h="1" m="1" x="6482"/>
        <item h="1" m="1" x="6481"/>
        <item h="1" m="1" x="807"/>
        <item h="1" m="1" x="6121"/>
        <item h="1" m="1" x="6485"/>
        <item h="1" m="1" x="6588"/>
        <item h="1" m="1" x="6589"/>
        <item h="1" m="1" x="6491"/>
        <item h="1" m="1" x="5864"/>
        <item h="1" m="1" x="6489"/>
        <item h="1" m="1" x="6490"/>
        <item h="1" m="1" x="5341"/>
        <item h="1" m="1" x="5851"/>
        <item h="1" m="1" x="6494"/>
        <item h="1" m="1" x="6498"/>
        <item h="1" m="1" x="6132"/>
        <item h="1" m="1" x="4345"/>
        <item h="1" m="1" x="5862"/>
        <item h="1" m="1" x="5863"/>
        <item h="1" m="1" x="6593"/>
        <item h="1" m="1" x="6595"/>
        <item h="1" m="1" x="3415"/>
        <item h="1" m="1" x="6596"/>
        <item h="1" m="1" x="6597"/>
        <item h="1" m="1" x="6598"/>
        <item h="1" m="1" x="6504"/>
        <item h="1" m="1" x="6599"/>
        <item h="1" m="1" x="6604"/>
        <item h="1" m="1" x="6606"/>
        <item h="1" m="1" x="6608"/>
        <item h="1" m="1" x="4926"/>
        <item h="1" m="1" x="4872"/>
        <item h="1" m="1" x="6613"/>
        <item h="1" m="1" x="5904"/>
        <item h="1" m="1" x="5905"/>
        <item h="1" m="1" x="6615"/>
        <item h="1" m="1" x="6616"/>
        <item h="1" m="1" x="2154"/>
        <item h="1" m="1" x="6617"/>
        <item h="1" m="1" x="6440"/>
        <item h="1" m="1" x="6618"/>
        <item h="1" m="1" x="6619"/>
        <item h="1" m="1" x="3937"/>
        <item h="1" m="1" x="6064"/>
        <item h="1" m="1" x="6065"/>
        <item h="1" m="1" x="2139"/>
        <item h="1" m="1" x="6620"/>
        <item h="1" m="1" x="6621"/>
        <item h="1" m="1" x="5561"/>
        <item h="1" m="1" x="5568"/>
        <item h="1" m="1" x="5557"/>
        <item h="1" m="1" x="5558"/>
        <item h="1" m="1" x="5559"/>
        <item h="1" m="1" x="6623"/>
        <item h="1" m="1" x="5433"/>
        <item h="1" m="1" x="6086"/>
        <item h="1" m="1" x="2216"/>
        <item h="1" m="1" x="6626"/>
        <item h="1" m="1" x="2317"/>
        <item h="1" m="1" x="2670"/>
        <item h="1" m="1" x="2222"/>
        <item h="1" m="1" x="6450"/>
        <item h="1" m="1" x="6451"/>
        <item h="1" m="1" x="5179"/>
        <item h="1" m="1" x="5180"/>
        <item h="1" m="1" x="6632"/>
        <item h="1" m="1" x="5495"/>
        <item h="1" m="1" x="5958"/>
        <item h="1" m="1" x="5181"/>
        <item h="1" m="1" x="6635"/>
        <item h="1" m="1" x="6636"/>
        <item h="1" m="1" x="5563"/>
        <item h="1" m="1" x="6527"/>
        <item h="1" m="1" x="6639"/>
        <item h="1" m="1" x="6641"/>
        <item h="1" m="1" x="6642"/>
        <item h="1" m="1" x="2062"/>
        <item h="1" m="1" x="6643"/>
        <item h="1" m="1" x="6644"/>
        <item h="1" m="1" x="6645"/>
        <item h="1" m="1" x="6649"/>
        <item h="1" m="1" x="6650"/>
        <item h="1" m="1" x="6651"/>
        <item h="1" m="1" x="5794"/>
        <item h="1" m="1" x="1205"/>
        <item h="1" m="1" x="623"/>
        <item h="1" m="1" x="5978"/>
        <item h="1" m="1" x="6653"/>
        <item h="1" m="1" x="6655"/>
        <item h="1" m="1" x="6536"/>
        <item h="1" m="1" x="6657"/>
        <item h="1" m="1" x="6658"/>
        <item h="1" m="1" x="6659"/>
        <item h="1" m="1" x="6539"/>
        <item h="1" m="1" x="6660"/>
        <item h="1" m="1" x="6661"/>
        <item h="1" m="1" x="6662"/>
        <item h="1" m="1" x="6663"/>
        <item h="1" m="1" x="6664"/>
        <item h="1" m="1" x="6666"/>
        <item h="1" m="1" x="6667"/>
        <item h="1" m="1" x="6668"/>
        <item h="1" m="1" x="6669"/>
        <item h="1" m="1" x="6540"/>
        <item h="1" m="1" x="6671"/>
        <item h="1" m="1" x="5343"/>
        <item h="1" m="1" x="4979"/>
        <item h="1" m="1" x="6546"/>
        <item h="1" m="1" x="6549"/>
        <item h="1" m="1" x="6266"/>
        <item h="1" m="1" x="6545"/>
        <item h="1" m="1" x="6000"/>
        <item h="1" m="1" x="6274"/>
        <item h="1" m="1" x="6186"/>
        <item h="1" m="1" x="6187"/>
        <item h="1" m="1" x="6558"/>
        <item h="1" m="1" x="6554"/>
        <item h="1" m="1" x="6555"/>
        <item h="1" m="1" x="6556"/>
        <item h="1" m="1" x="6557"/>
        <item h="1" m="1" x="6467"/>
        <item h="1" m="1" x="5165"/>
        <item h="1" m="1" x="6672"/>
        <item h="1" m="1" x="6034"/>
        <item h="1" m="1" x="5755"/>
        <item h="1" m="1" x="6104"/>
        <item h="1" m="1" x="5761"/>
        <item h="1" m="1" x="6471"/>
        <item h="1" m="1" x="5647"/>
        <item h="1" m="1" x="6474"/>
        <item h="1" m="1" x="6476"/>
        <item h="1" m="1" x="6477"/>
        <item h="1" m="1" x="6478"/>
        <item h="1" m="1" x="6479"/>
        <item h="1" m="1" x="5834"/>
        <item h="1" m="1" x="5839"/>
        <item h="1" m="1" x="6487"/>
        <item h="1" m="1" x="6492"/>
        <item h="1" m="1" x="6493"/>
        <item h="1" m="1" x="5183"/>
        <item h="1" m="1" x="6495"/>
        <item h="1" m="1" x="6320"/>
        <item h="1" m="1" x="6496"/>
        <item h="1" m="1" x="6497"/>
        <item h="1" m="1" x="6499"/>
        <item h="1" m="1" x="6500"/>
        <item h="1" m="1" x="5677"/>
        <item h="1" m="1" x="6505"/>
        <item h="1" m="1" x="2635"/>
        <item h="1" m="1" x="5890"/>
        <item h="1" m="1" x="909"/>
        <item h="1" m="1" x="6506"/>
        <item h="1" m="1" x="6507"/>
        <item h="1" m="1" x="6508"/>
        <item h="1" m="1" x="5899"/>
        <item h="1" m="1" x="6438"/>
        <item h="1" m="1" x="5910"/>
        <item h="1" m="1" x="3353"/>
        <item h="1" m="1" x="6145"/>
        <item h="1" m="1" x="6144"/>
        <item h="1" m="1" x="6329"/>
        <item h="1" m="1" x="5918"/>
        <item h="1" m="1" x="6512"/>
        <item h="1" m="1" x="6513"/>
        <item h="1" m="1" x="6514"/>
        <item h="1" m="1" x="6515"/>
        <item h="1" m="1" x="6445"/>
        <item h="1" m="1" x="6516"/>
        <item h="1" m="1" x="6517"/>
        <item h="1" m="1" x="6518"/>
        <item h="1" m="1" x="6519"/>
        <item h="1" m="1" x="6449"/>
        <item h="1" m="1" x="5564"/>
        <item h="1" m="1" x="6520"/>
        <item h="1" m="1" x="6523"/>
        <item h="1" m="1" x="6081"/>
        <item h="1" m="1" x="6351"/>
        <item h="1" m="1" x="5954"/>
        <item h="1" m="1" x="5957"/>
        <item h="1" m="1" x="5956"/>
        <item h="1" m="1" x="5951"/>
        <item h="1" m="1" x="5955"/>
        <item h="1" m="1" x="6525"/>
        <item h="1" m="1" x="6526"/>
        <item h="1" m="1" x="4967"/>
        <item h="1" m="1" x="6528"/>
        <item h="1" m="1" x="6529"/>
        <item h="1" m="1" x="6163"/>
        <item h="1" m="1" x="5964"/>
        <item h="1" m="1" x="6359"/>
        <item h="1" m="1" x="6360"/>
        <item h="1" m="1" x="6361"/>
        <item h="1" m="1" x="5966"/>
        <item h="1" m="1" x="5967"/>
        <item h="1" m="1" x="6458"/>
        <item h="1" m="1" x="6168"/>
        <item h="1" m="1" x="6530"/>
        <item h="1" m="1" x="6171"/>
        <item h="1" m="1" x="6531"/>
        <item h="1" m="1" x="6532"/>
        <item h="1" m="1" x="4951"/>
        <item h="1" m="1" x="6534"/>
        <item h="1" m="1" x="5083"/>
        <item h="1" m="1" x="6537"/>
        <item h="1" m="1" x="5984"/>
        <item h="1" m="1" x="817"/>
        <item h="1" m="1" x="6463"/>
        <item h="1" m="1" x="5986"/>
        <item h="1" m="1" x="6541"/>
        <item h="1" m="1" x="6180"/>
        <item h="1" m="1" x="6542"/>
        <item h="1" m="1" x="6543"/>
        <item h="1" m="1" x="6544"/>
        <item h="1" m="1" x="6391"/>
        <item h="1" m="1" x="6550"/>
        <item h="1" m="1" x="6551"/>
        <item h="1" m="1" x="4091"/>
        <item h="1" m="1" x="6552"/>
        <item h="1" m="1" x="6188"/>
        <item h="1" m="1" x="6031"/>
        <item h="1" m="1" x="6032"/>
        <item h="1" m="1" x="6033"/>
        <item h="1" m="1" x="6192"/>
        <item h="1" m="1" x="2053"/>
        <item h="1" m="1" x="6406"/>
        <item h="1" m="1" x="6289"/>
        <item h="1" m="1" x="6041"/>
        <item h="1" m="1" x="6042"/>
        <item h="1" m="1" x="6419"/>
        <item h="1" m="1" x="6420"/>
        <item h="1" m="1" x="6421"/>
        <item h="1" m="1" x="5651"/>
        <item h="1" m="1" x="5173"/>
        <item h="1" m="1" x="1603"/>
        <item h="1" m="1" x="5805"/>
        <item h="1" m="1" x="5802"/>
        <item h="1" m="1" x="5797"/>
        <item h="1" m="1" x="5796"/>
        <item h="1" m="1" x="972"/>
        <item h="1" m="1" x="5646"/>
        <item h="1" m="1" x="6214"/>
        <item h="1" m="1" x="6074"/>
        <item h="1" m="1" x="5815"/>
        <item h="1" m="1" x="5816"/>
        <item h="1" m="1" x="6422"/>
        <item h="1" m="1" x="6423"/>
        <item h="1" m="1" x="6424"/>
        <item h="1" m="1" x="6425"/>
        <item h="1" m="1" x="6426"/>
        <item h="1" m="1" x="6114"/>
        <item h="1" m="1" x="6295"/>
        <item h="1" m="1" x="6433"/>
        <item h="1" m="1" x="5827"/>
        <item h="1" m="1" x="4665"/>
        <item h="1" m="1" x="5838"/>
        <item h="1" m="1" x="6298"/>
        <item h="1" m="1" x="6122"/>
        <item h="1" m="1" x="6434"/>
        <item h="1" m="1" x="6060"/>
        <item h="1" m="1" x="6304"/>
        <item h="1" m="1" x="2941"/>
        <item h="1" m="1" x="2014"/>
        <item h="1" m="1" x="6305"/>
        <item h="1" m="1" x="6303"/>
        <item h="1" m="1" x="6301"/>
        <item h="1" m="1" x="6302"/>
        <item h="1" m="1" x="6435"/>
        <item h="1" m="1" x="6068"/>
        <item h="1" m="1" x="6310"/>
        <item h="1" m="1" x="6436"/>
        <item h="1" m="1" x="6309"/>
        <item h="1" m="1" x="6306"/>
        <item h="1" m="1" x="6307"/>
        <item h="1" m="1" x="6308"/>
        <item h="1" m="1" x="990"/>
        <item h="1" m="1" x="6315"/>
        <item h="1" m="1" x="6316"/>
        <item h="1" m="1" x="6437"/>
        <item h="1" m="1" x="6069"/>
        <item h="1" m="1" x="3882"/>
        <item h="1" m="1" x="4063"/>
        <item h="1" m="1" x="6326"/>
        <item h="1" m="1" x="6327"/>
        <item h="1" m="1" x="6233"/>
        <item h="1" m="1" x="6439"/>
        <item h="1" m="1" x="569"/>
        <item h="1" m="1" x="6330"/>
        <item h="1" m="1" x="6332"/>
        <item h="1" m="1" x="6441"/>
        <item h="1" m="1" x="6442"/>
        <item h="1" m="1" x="6336"/>
        <item h="1" m="1" x="6337"/>
        <item h="1" m="1" x="6333"/>
        <item h="1" m="1" x="6444"/>
        <item h="1" m="1" x="6446"/>
        <item h="1" m="1" x="5567"/>
        <item h="1" m="1" x="6343"/>
        <item h="1" m="1" x="6344"/>
        <item h="1" m="1" x="2920"/>
        <item h="1" m="1" x="2219"/>
        <item h="1" m="1" x="6339"/>
        <item h="1" m="1" x="5565"/>
        <item h="1" m="1" x="6338"/>
        <item h="1" m="1" x="6153"/>
        <item h="1" m="1" x="5186"/>
        <item h="1" m="1" x="5562"/>
        <item h="1" m="1" x="6089"/>
        <item h="1" m="1" x="6350"/>
        <item h="1" m="1" x="5171"/>
        <item h="1" m="1" x="5184"/>
        <item h="1" m="1" x="5948"/>
        <item h="1" m="1" x="5185"/>
        <item h="1" m="1" x="5949"/>
        <item h="1" m="1" x="6454"/>
        <item h="1" m="1" x="6353"/>
        <item h="1" m="1" x="6082"/>
        <item h="1" m="1" x="6455"/>
        <item h="1" m="1" x="6456"/>
        <item h="1" m="1" x="6457"/>
        <item h="1" m="1" x="3993"/>
        <item h="1" m="1" x="3994"/>
        <item h="1" m="1" x="6358"/>
        <item h="1" m="1" x="6362"/>
        <item h="1" m="1" x="6164"/>
        <item h="1" m="1" x="6093"/>
        <item h="1" m="1" x="5968"/>
        <item h="1" m="1" x="6370"/>
        <item h="1" m="1" x="6371"/>
        <item h="1" m="1" x="6170"/>
        <item h="1" m="1" x="6367"/>
        <item h="1" m="1" x="6368"/>
        <item h="1" m="1" x="4952"/>
        <item h="1" m="1" x="6369"/>
        <item h="1" m="1" x="2565"/>
        <item h="1" m="1" x="4862"/>
        <item h="1" m="1" x="4864"/>
        <item h="1" m="1" x="6375"/>
        <item h="1" m="1" x="6460"/>
        <item h="1" m="1" x="6379"/>
        <item h="1" m="1" x="6461"/>
        <item h="1" m="1" x="6464"/>
        <item h="1" m="1" x="6179"/>
        <item h="1" m="1" x="6385"/>
        <item h="1" m="1" x="6384"/>
        <item h="1" m="1" x="6390"/>
        <item h="1" m="1" x="6393"/>
        <item h="1" m="1" x="5122"/>
        <item h="1" m="1" x="5994"/>
        <item h="1" m="1" x="5996"/>
        <item h="1" m="1" x="5995"/>
        <item h="1" m="1" x="5992"/>
        <item h="1" m="1" x="5998"/>
        <item h="1" m="1" x="5997"/>
        <item h="1" m="1" x="6002"/>
        <item h="1" m="1" x="5434"/>
        <item h="1" m="1" x="6276"/>
        <item h="1" m="1" x="6277"/>
        <item h="1" m="1" x="6101"/>
        <item h="1" m="1" x="6400"/>
        <item h="1" m="1" x="6280"/>
        <item h="1" m="1" x="1064"/>
        <item h="1" m="1" x="6465"/>
        <item h="1" m="1" x="6466"/>
        <item h="1" m="1" x="5187"/>
        <item h="1" m="1" x="6404"/>
        <item h="1" m="1" x="6403"/>
        <item h="1" m="1" x="6402"/>
        <item h="1" m="1" x="6020"/>
        <item h="1" m="1" x="6285"/>
        <item h="1" m="1" x="6286"/>
        <item h="1" m="1" x="6287"/>
        <item h="1" m="1" x="6288"/>
        <item h="1" m="1" x="6290"/>
        <item h="1" m="1" x="6210"/>
        <item h="1" m="1" x="5799"/>
        <item h="1" m="1" x="6109"/>
        <item h="1" m="1" x="6292"/>
        <item h="1" m="1" x="5800"/>
        <item h="1" m="1" x="6213"/>
        <item h="1" m="1" x="6211"/>
        <item h="1" m="1" x="5435"/>
        <item h="1" m="1" x="5349"/>
        <item h="1" m="1" x="6057"/>
        <item h="1" m="1" x="6049"/>
        <item h="1" m="1" x="5190"/>
        <item h="1" m="1" x="5502"/>
        <item h="1" m="1" x="6296"/>
        <item h="1" m="1" x="6297"/>
        <item h="1" m="1" x="6299"/>
        <item h="1" m="1" x="6300"/>
        <item h="1" m="1" x="5347"/>
        <item h="1" m="1" x="5355"/>
        <item h="1" m="1" x="6131"/>
        <item h="1" m="1" x="6134"/>
        <item h="1" m="1" x="6313"/>
        <item h="1" m="1" x="6135"/>
        <item h="1" m="1" x="6317"/>
        <item h="1" m="1" x="6139"/>
        <item h="1" m="1" x="6318"/>
        <item h="1" m="1" x="6319"/>
        <item h="1" m="1" x="5881"/>
        <item h="1" m="1" x="5571"/>
        <item h="1" m="1" x="5879"/>
        <item h="1" m="1" x="5880"/>
        <item h="1" m="1" x="5878"/>
        <item h="1" m="1" x="6323"/>
        <item h="1" m="1" x="6325"/>
        <item h="1" m="1" x="5348"/>
        <item h="1" m="1" x="6328"/>
        <item h="1" m="1" x="1477"/>
        <item h="1" m="1" x="6331"/>
        <item h="1" m="1" x="6334"/>
        <item h="1" m="1" x="6335"/>
        <item h="1" x="109"/>
        <item h="1" m="1" x="6154"/>
        <item h="1" m="1" x="6340"/>
        <item h="1" m="1" x="6341"/>
        <item h="1" m="1" x="6151"/>
        <item h="1" m="1" x="6342"/>
        <item h="1" m="1" x="6345"/>
        <item h="1" m="1" x="5566"/>
        <item h="1" m="1" x="6346"/>
        <item h="1" m="1" x="6347"/>
        <item h="1" m="1" x="6348"/>
        <item h="1" m="1" x="2319"/>
        <item h="1" m="1" x="4535"/>
        <item h="1" m="1" x="6349"/>
        <item h="1" m="1" x="5197"/>
        <item h="1" m="1" x="5947"/>
        <item h="1" m="1" x="5950"/>
        <item h="1" m="1" x="6352"/>
        <item h="1" m="1" x="6243"/>
        <item h="1" m="1" x="6242"/>
        <item h="1" m="1" x="5961"/>
        <item h="1" m="1" x="6356"/>
        <item h="1" m="1" x="6357"/>
        <item h="1" m="1" x="6165"/>
        <item h="1" m="1" x="1416"/>
        <item h="1" m="1" x="6365"/>
        <item h="1" m="1" x="6366"/>
        <item h="1" m="1" x="6372"/>
        <item h="1" m="1" x="2383"/>
        <item h="1" m="1" x="6176"/>
        <item h="1" m="1" x="6175"/>
        <item h="1" m="1" x="2096"/>
        <item h="1" m="1" x="6373"/>
        <item h="1" m="1" x="5977"/>
        <item h="1" m="1" x="6374"/>
        <item h="1" m="1" x="6376"/>
        <item h="1" m="1" x="6377"/>
        <item h="1" m="1" x="6178"/>
        <item h="1" m="1" x="6378"/>
        <item h="1" m="1" x="5107"/>
        <item h="1" m="1" x="6380"/>
        <item h="1" m="1" x="6381"/>
        <item h="1" m="1" x="6382"/>
        <item h="1" m="1" x="6383"/>
        <item h="1" m="1" x="4888"/>
        <item h="1" m="1" x="6386"/>
        <item h="1" m="1" x="6387"/>
        <item h="1" m="1" x="6388"/>
        <item h="1" m="1" x="6389"/>
        <item h="1" m="1" x="6392"/>
        <item h="1" m="1" x="6070"/>
        <item h="1" m="1" x="6185"/>
        <item h="1" m="1" x="6003"/>
        <item h="1" m="1" x="6004"/>
        <item h="1" m="1" x="5345"/>
        <item h="1" m="1" x="6394"/>
        <item h="1" m="1" x="6011"/>
        <item h="1" m="1" x="6397"/>
        <item h="1" m="1" x="6398"/>
        <item h="1" m="1" x="6399"/>
        <item h="1" m="1" x="6401"/>
        <item h="1" m="1" x="6028"/>
        <item h="1" m="1" x="6027"/>
        <item h="1" m="1" x="6405"/>
        <item h="1" m="1" x="6194"/>
        <item h="1" m="1" x="6195"/>
        <item h="1" m="1" x="6196"/>
        <item h="1" m="1" x="6197"/>
        <item h="1" m="1" x="6198"/>
        <item h="1" m="1" x="6199"/>
        <item h="1" m="1" x="6106"/>
        <item h="1" m="1" x="6200"/>
        <item h="1" m="1" x="6202"/>
        <item h="1" m="1" x="6203"/>
        <item h="1" m="1" x="2857"/>
        <item h="1" m="1" x="1311"/>
        <item h="1" m="1" x="6206"/>
        <item h="1" m="1" x="6208"/>
        <item h="1" m="1" x="6209"/>
        <item h="1" m="1" x="5436"/>
        <item h="1" m="1" x="6216"/>
        <item h="1" m="1" x="5534"/>
        <item h="1" m="1" x="6217"/>
        <item h="1" m="1" x="6218"/>
        <item h="1" m="1" x="6219"/>
        <item h="1" m="1" x="6220"/>
        <item h="1" m="1" x="5842"/>
        <item h="1" m="1" x="6059"/>
        <item h="1" x="128"/>
        <item h="1" m="1" x="6128"/>
        <item h="1" m="1" x="6130"/>
        <item h="1" m="1" x="6067"/>
        <item h="1" m="1" x="6222"/>
        <item h="1" m="1" x="6223"/>
        <item h="1" m="1" x="6224"/>
        <item h="1" m="1" x="5669"/>
        <item h="1" m="1" x="5874"/>
        <item h="1" m="1" x="5873"/>
        <item h="1" m="1" x="5570"/>
        <item h="1" m="1" x="6227"/>
        <item h="1" m="1" x="6072"/>
        <item h="1" m="1" x="6073"/>
        <item h="1" m="1" x="6228"/>
        <item h="1" m="1" x="6229"/>
        <item h="1" m="1" x="6143"/>
        <item h="1" m="1" x="5900"/>
        <item h="1" m="1" x="3641"/>
        <item h="1" m="1" x="6234"/>
        <item h="1" m="1" x="6235"/>
        <item h="1" m="1" x="6236"/>
        <item h="1" m="1" x="6238"/>
        <item h="1" m="1" x="5920"/>
        <item h="1" m="1" x="4422"/>
        <item h="1" m="1" x="5924"/>
        <item h="1" m="1" x="5923"/>
        <item h="1" m="1" x="6149"/>
        <item h="1" m="1" x="6239"/>
        <item h="1" m="1" x="3458"/>
        <item h="1" m="1" x="2218"/>
        <item h="1" m="1" x="6087"/>
        <item h="1" m="1" x="5200"/>
        <item h="1" m="1" x="5065"/>
        <item h="1" m="1" x="5946"/>
        <item h="1" m="1" x="5068"/>
        <item h="1" m="1" x="3229"/>
        <item h="1" m="1" x="6241"/>
        <item h="1" m="1" x="5198"/>
        <item h="1" m="1" x="6091"/>
        <item h="1" m="1" x="4989"/>
        <item h="1" m="1" x="6246"/>
        <item h="1" m="1" x="6247"/>
        <item h="1" m="1" x="6248"/>
        <item h="1" m="1" x="5962"/>
        <item h="1" m="1" x="6249"/>
        <item h="1" m="1" x="4432"/>
        <item h="1" m="1" x="6096"/>
        <item h="1" m="1" x="6250"/>
        <item h="1" m="1" x="6166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5980"/>
        <item h="1" m="1" x="5979"/>
        <item h="1" m="1" x="6258"/>
        <item h="1" m="1" x="6259"/>
        <item h="1" m="1" x="5569"/>
        <item h="1" m="1" x="6260"/>
        <item h="1" m="1" x="6261"/>
        <item h="1" m="1" x="6262"/>
        <item h="1" m="1" x="6100"/>
        <item h="1" m="1" x="5721"/>
        <item h="1" m="1" x="1561"/>
        <item h="1" m="1" x="6263"/>
        <item h="1" m="1" x="6264"/>
        <item h="1" m="1" x="6265"/>
        <item h="1" m="1" x="5437"/>
        <item h="1" m="1" x="6267"/>
        <item h="1" m="1" x="6268"/>
        <item h="1" m="1" x="6269"/>
        <item h="1" m="1" x="6270"/>
        <item h="1" m="1" x="6010"/>
        <item h="1" m="1" x="6009"/>
        <item h="1" m="1" x="5739"/>
        <item h="1" m="1" x="6278"/>
        <item h="1" m="1" x="6279"/>
        <item h="1" m="1" x="6281"/>
        <item h="1" m="1" x="5346"/>
        <item h="1" m="1" x="6282"/>
        <item h="1" m="1" x="6283"/>
        <item h="1" m="1" x="6284"/>
        <item h="1" m="1" x="6025"/>
        <item h="1" m="1" x="6024"/>
        <item h="1" m="1" x="6029"/>
        <item h="1" m="1" x="6105"/>
        <item h="1" m="1" x="6107"/>
        <item h="1" m="1" x="4938"/>
        <item h="1" m="1" x="6108"/>
        <item h="1" m="1" x="5806"/>
        <item h="1" m="1" x="5807"/>
        <item h="1" m="1" x="5808"/>
        <item h="1" m="1" x="5811"/>
        <item h="1" m="1" x="6111"/>
        <item h="1" m="1" x="6051"/>
        <item h="1" m="1" x="6052"/>
        <item h="1" m="1" x="6112"/>
        <item h="1" m="1" x="6113"/>
        <item h="1" m="1" x="6115"/>
        <item h="1" m="1" x="6116"/>
        <item h="1" m="1" x="6117"/>
        <item h="1" m="1" x="6118"/>
        <item h="1" m="1" x="6119"/>
        <item h="1" m="1" x="6120"/>
        <item h="1" m="1" x="6058"/>
        <item h="1" m="1" x="6063"/>
        <item h="1" m="1" x="6123"/>
        <item h="1" m="1" x="6124"/>
        <item h="1" m="1" x="6125"/>
        <item h="1" m="1" x="6126"/>
        <item h="1" m="1" x="6127"/>
        <item h="1" m="1" x="6129"/>
        <item h="1" m="1" x="6133"/>
        <item h="1" m="1" x="5438"/>
        <item h="1" m="1" x="6136"/>
        <item h="1" m="1" x="6138"/>
        <item h="1" m="1" x="5868"/>
        <item h="1" m="1" x="5869"/>
        <item h="1" m="1" x="6142"/>
        <item h="1" m="1" x="5356"/>
        <item h="1" m="1" x="6077"/>
        <item h="1" m="1" x="5358"/>
        <item h="1" m="1" x="4616"/>
        <item h="1" m="1" x="6146"/>
        <item h="1" m="1" x="4849"/>
        <item h="1" m="1" x="6147"/>
        <item h="1" m="1" x="6148"/>
        <item h="1" m="1" x="4079"/>
        <item h="1" m="1" x="6085"/>
        <item h="1" m="1" x="6150"/>
        <item h="1" m="1" x="5694"/>
        <item h="1" m="1" x="5695"/>
        <item h="1" m="1" x="6155"/>
        <item h="1" m="1" x="6156"/>
        <item h="1" m="1" x="5573"/>
        <item h="1" m="1" x="5574"/>
        <item h="1" m="1" x="5201"/>
        <item h="1" m="1" x="2217"/>
        <item h="1" m="1" x="6157"/>
        <item h="1" m="1" x="5196"/>
        <item h="1" m="1" x="4865"/>
        <item h="1" m="1" x="5202"/>
        <item h="1" m="1" x="5943"/>
        <item h="1" m="1" x="5944"/>
        <item h="1" m="1" x="5945"/>
        <item h="1" m="1" x="6159"/>
        <item h="1" m="1" x="6160"/>
        <item h="1" m="1" x="6161"/>
        <item h="1" m="1" x="6162"/>
        <item h="1" x="207"/>
        <item h="1" m="1" x="6094"/>
        <item h="1" m="1" x="5970"/>
        <item h="1" m="1" x="6167"/>
        <item h="1" m="1" x="5191"/>
        <item h="1" m="1" x="6172"/>
        <item h="1" m="1" x="6173"/>
        <item h="1" m="1" x="5974"/>
        <item h="1" m="1" x="6177"/>
        <item h="1" m="1" x="5106"/>
        <item h="1" m="1" x="6181"/>
        <item h="1" m="1" x="6182"/>
        <item h="1" m="1" x="6183"/>
        <item h="1" m="1" x="6184"/>
        <item h="1" m="1" x="5344"/>
        <item h="1" m="1" x="6013"/>
        <item h="1" m="1" x="6019"/>
        <item h="1" m="1" x="6021"/>
        <item h="1" m="1" x="6037"/>
        <item h="1" m="1" x="6038"/>
        <item h="1" m="1" x="6039"/>
        <item h="1" m="1" x="6040"/>
        <item h="1" m="1" x="6046"/>
        <item h="1" m="1" x="3953"/>
        <item h="1" m="1" x="3954"/>
        <item h="1" m="1" x="5801"/>
        <item h="1" m="1" x="6048"/>
        <item h="1" m="1" x="5648"/>
        <item h="1" m="1" x="6050"/>
        <item h="1" m="1" x="6053"/>
        <item h="1" m="1" x="6054"/>
        <item h="1" m="1" x="5195"/>
        <item h="1" m="1" x="5656"/>
        <item h="1" m="1" x="5825"/>
        <item h="1" m="1" x="5826"/>
        <item h="1" m="1" x="5659"/>
        <item h="1" m="1" x="5829"/>
        <item h="1" m="1" x="5841"/>
        <item h="1" m="1" x="6061"/>
        <item h="1" m="1" x="6062"/>
        <item h="1" m="1" x="5844"/>
        <item h="1" m="1" x="4617"/>
        <item h="1" m="1" x="5357"/>
        <item h="1" m="1" x="5350"/>
        <item h="1" m="1" x="5351"/>
        <item h="1" m="1" x="4529"/>
        <item h="1" m="1" x="5662"/>
        <item h="1" m="1" x="5860"/>
        <item h="1" m="1" x="5859"/>
        <item h="1" m="1" x="5670"/>
        <item h="1" m="1" x="5354"/>
        <item h="1" m="1" x="4135"/>
        <item h="1" m="1" x="5675"/>
        <item h="1" m="1" x="2292"/>
        <item h="1" m="1" x="5865"/>
        <item h="1" m="1" x="5576"/>
        <item h="1" m="1" x="5886"/>
        <item h="1" m="1" x="5885"/>
        <item h="1" m="1" x="6075"/>
        <item h="1" m="1" x="6076"/>
        <item h="1" m="1" x="6078"/>
        <item h="1" m="1" x="6079"/>
        <item h="1" m="1" x="6080"/>
        <item h="1" m="1" x="5352"/>
        <item h="1" m="1" x="5685"/>
        <item h="1" m="1" x="5914"/>
        <item h="1" m="1" x="6083"/>
        <item h="1" m="1" x="5915"/>
        <item h="1" m="1" x="5919"/>
        <item h="1" m="1" x="6084"/>
        <item h="1" m="1" x="5572"/>
        <item h="1" m="1" x="5439"/>
        <item h="1" m="1" x="2671"/>
        <item h="1" m="1" x="6088"/>
        <item h="1" m="1" x="6090"/>
        <item h="1" m="1" x="5042"/>
        <item h="1" m="1" x="5942"/>
        <item h="1" m="1" x="5940"/>
        <item h="1" m="1" x="5941"/>
        <item h="1" m="1" x="3848"/>
        <item h="1" m="1" x="3847"/>
        <item h="1" m="1" x="5217"/>
        <item h="1" m="1" x="6092"/>
        <item h="1" m="1" x="5965"/>
        <item h="1" m="1" x="2765"/>
        <item h="1" m="1" x="5971"/>
        <item h="1" m="1" x="2417"/>
        <item h="1" m="1" x="5710"/>
        <item h="1" m="1" x="5711"/>
        <item h="1" m="1" x="5712"/>
        <item h="1" m="1" x="5713"/>
        <item h="1" m="1" x="5193"/>
        <item h="1" m="1" x="6097"/>
        <item h="1" m="1" x="4038"/>
        <item h="1" m="1" x="6098"/>
        <item h="1" m="1" x="6099"/>
        <item h="1" m="1" x="5720"/>
        <item h="1" m="1" x="4887"/>
        <item h="1" m="1" x="5724"/>
        <item h="1" m="1" x="5725"/>
        <item h="1" m="1" x="5736"/>
        <item h="1" m="1" x="5737"/>
        <item h="1" m="1" x="5731"/>
        <item h="1" m="1" x="5732"/>
        <item h="1" m="1" x="5733"/>
        <item h="1" m="1" x="5993"/>
        <item h="1" m="1" x="5740"/>
        <item h="1" m="1" x="5741"/>
        <item h="1" m="1" x="5751"/>
        <item h="1" m="1" x="5752"/>
        <item h="1" m="1" x="5440"/>
        <item h="1" m="1" x="5441"/>
        <item h="1" m="1" x="6016"/>
        <item h="1" m="1" x="5192"/>
        <item h="1" m="1" x="5757"/>
        <item h="1" m="1" x="5758"/>
        <item h="1" m="1" x="5643"/>
        <item h="1" m="1" x="5644"/>
        <item h="1" m="1" x="1761"/>
        <item h="1" m="1" x="1781"/>
        <item h="1" m="1" x="1414"/>
        <item h="1" m="1" x="5810"/>
        <item h="1" m="1" x="5206"/>
        <item h="1" m="1" x="5817"/>
        <item h="1" m="1" x="5818"/>
        <item h="1" m="1" x="5820"/>
        <item h="1" m="1" x="2323"/>
        <item h="1" m="1" x="5657"/>
        <item h="1" m="1" x="5658"/>
        <item h="1" m="1" x="5049"/>
        <item h="1" m="1" x="5660"/>
        <item h="1" m="1" x="5836"/>
        <item h="1" m="1" x="5837"/>
        <item h="1" m="1" x="5840"/>
        <item h="1" m="1" x="5845"/>
        <item h="1" m="1" x="5846"/>
        <item h="1" m="1" x="5847"/>
        <item h="1" m="1" x="5848"/>
        <item h="1" m="1" x="5849"/>
        <item h="1" m="1" x="5207"/>
        <item h="1" m="1" x="5667"/>
        <item h="1" m="1" x="5668"/>
        <item h="1" m="1" x="5856"/>
        <item h="1" m="1" x="5861"/>
        <item h="1" m="1" x="4709"/>
        <item h="1" m="1" x="5674"/>
        <item h="1" m="1" x="5867"/>
        <item h="1" m="1" x="5875"/>
        <item h="1" m="1" x="5884"/>
        <item h="1" m="1" x="5129"/>
        <item h="1" m="1" x="5903"/>
        <item h="1" m="1" x="5682"/>
        <item h="1" m="1" x="5360"/>
        <item h="1" m="1" x="5911"/>
        <item h="1" m="1" x="5205"/>
        <item h="1" m="1" x="5912"/>
        <item h="1" m="1" x="5913"/>
        <item h="1" m="1" x="4826"/>
        <item h="1" m="1" x="5916"/>
        <item h="1" m="1" x="5917"/>
        <item h="1" m="1" x="5655"/>
        <item h="1" m="1" x="899"/>
        <item h="1" m="1" x="3662"/>
        <item h="1" m="1" x="5577"/>
        <item h="1" m="1" x="5928"/>
        <item h="1" m="1" x="5929"/>
        <item h="1" m="1" x="5442"/>
        <item h="1" m="1" x="5689"/>
        <item h="1" m="1" x="5931"/>
        <item h="1" m="1" x="5691"/>
        <item h="1" m="1" x="5692"/>
        <item h="1" m="1" x="5693"/>
        <item h="1" m="1" x="5697"/>
        <item h="1" m="1" x="5208"/>
        <item h="1" m="1" x="5938"/>
        <item h="1" m="1" x="5939"/>
        <item h="1" m="1" x="5959"/>
        <item h="1" m="1" x="5960"/>
        <item h="1" m="1" x="4326"/>
        <item h="1" m="1" x="5704"/>
        <item h="1" m="1" x="5708"/>
        <item h="1" m="1" x="5709"/>
        <item h="1" m="1" x="5581"/>
        <item h="1" m="1" x="5976"/>
        <item h="1" m="1" x="5718"/>
        <item h="1" m="1" x="5719"/>
        <item h="1" m="1" x="5981"/>
        <item h="1" m="1" x="5443"/>
        <item h="1" m="1" x="5722"/>
        <item h="1" m="1" x="5989"/>
        <item h="1" m="1" x="5727"/>
        <item h="1" m="1" x="5728"/>
        <item h="1" m="1" x="5729"/>
        <item h="1" m="1" x="5730"/>
        <item h="1" m="1" x="796"/>
        <item h="1" m="1" x="6005"/>
        <item h="1" m="1" x="6006"/>
        <item h="1" m="1" x="5748"/>
        <item h="1" m="1" x="5749"/>
        <item h="1" m="1" x="5742"/>
        <item h="1" m="1" x="5743"/>
        <item h="1" m="1" x="5744"/>
        <item h="1" m="1" x="5745"/>
        <item h="1" m="1" x="5746"/>
        <item h="1" m="1" x="5747"/>
        <item h="1" m="1" x="6015"/>
        <item h="1" m="1" x="6017"/>
        <item h="1" m="1" x="6018"/>
        <item h="1" m="1" x="6035"/>
        <item h="1" m="1" x="5209"/>
        <item h="1" m="1" x="3536"/>
        <item h="1" m="1" x="5145"/>
        <item h="1" m="1" x="5447"/>
        <item h="1" m="1" x="5226"/>
        <item h="1" m="1" x="5227"/>
        <item h="1" m="1" x="5649"/>
        <item h="1" m="1" x="5652"/>
        <item h="1" m="1" x="5653"/>
        <item h="1" m="1" x="5654"/>
        <item h="1" m="1" x="566"/>
        <item h="1" m="1" x="2646"/>
        <item h="1" m="1" x="3144"/>
        <item h="1" m="1" x="5583"/>
        <item h="1" m="1" x="5582"/>
        <item h="1" m="1" x="5591"/>
        <item h="1" m="1" x="5587"/>
        <item h="1" m="1" x="5661"/>
        <item h="1" m="1" x="5663"/>
        <item h="1" m="1" x="5664"/>
        <item h="1" m="1" x="5665"/>
        <item h="1" m="1" x="5666"/>
        <item h="1" m="1" x="4934"/>
        <item h="1" m="1" x="5673"/>
        <item h="1" m="1" x="3974"/>
        <item h="1" m="1" x="5448"/>
        <item h="1" m="1" x="5444"/>
        <item h="1" m="1" x="5446"/>
        <item h="1" m="1" x="5216"/>
        <item h="1" m="1" x="5678"/>
        <item h="1" m="1" x="5680"/>
        <item h="1" m="1" x="5210"/>
        <item h="1" m="1" x="5681"/>
        <item h="1" m="1" x="5594"/>
        <item h="1" m="1" x="5359"/>
        <item h="1" m="1" x="5683"/>
        <item h="1" m="1" x="5684"/>
        <item h="1" m="1" x="5687"/>
        <item h="1" m="1" x="5228"/>
        <item h="1" m="1" x="5219"/>
        <item h="1" m="1" x="5578"/>
        <item h="1" m="1" x="5593"/>
        <item h="1" m="1" x="608"/>
        <item h="1" m="1" x="5579"/>
        <item h="1" m="1" x="5688"/>
        <item h="1" m="1" x="5212"/>
        <item h="1" m="1" x="5213"/>
        <item h="1" m="1" x="5214"/>
        <item h="1" m="1" x="5590"/>
        <item h="1" m="1" x="5223"/>
        <item h="1" m="1" x="5224"/>
        <item h="1" m="1" x="5588"/>
        <item h="1" m="1" x="5589"/>
        <item h="1" m="1" x="5696"/>
        <item h="1" m="1" x="5220"/>
        <item h="1" m="1" x="5221"/>
        <item h="1" m="1" x="2403"/>
        <item h="1" m="1" x="5585"/>
        <item h="1" m="1" x="5066"/>
        <item h="1" m="1" x="5067"/>
        <item h="1" m="1" x="5698"/>
        <item h="1" m="1" x="5699"/>
        <item h="1" m="1" x="5215"/>
        <item h="1" m="1" x="5700"/>
        <item h="1" m="1" x="5702"/>
        <item h="1" m="1" x="5592"/>
        <item h="1" m="1" x="5703"/>
        <item h="1" m="1" x="2004"/>
        <item h="1" m="1" x="5706"/>
        <item h="1" m="1" x="5707"/>
        <item h="1" m="1" x="5714"/>
        <item h="1" m="1" x="5715"/>
        <item h="1" m="1" x="4467"/>
        <item h="1" m="1" x="5716"/>
        <item h="1" m="1" x="4956"/>
        <item h="1" m="1" x="2687"/>
        <item h="1" m="1" x="5449"/>
        <item h="1" m="1" x="5597"/>
        <item h="1" m="1" x="5723"/>
        <item h="1" m="1" x="5726"/>
        <item h="1" m="1" x="5734"/>
        <item h="1" m="1" x="5735"/>
        <item h="1" m="1" x="5229"/>
        <item h="1" m="1" x="5738"/>
        <item h="1" m="1" x="5211"/>
        <item h="1" m="1" x="5584"/>
        <item h="1" m="1" x="5753"/>
        <item h="1" m="1" x="5754"/>
        <item h="1" m="1" x="4232"/>
        <item h="1" m="1" x="4839"/>
        <item h="1" m="1" x="5596"/>
        <item h="1" m="1" x="4837"/>
        <item h="1" m="1" x="4840"/>
        <item h="1" m="1" x="5451"/>
        <item h="1" m="1" x="4978"/>
        <item h="1" m="1" x="5245"/>
        <item h="1" m="1" x="5598"/>
        <item h="1" m="1" x="5246"/>
        <item h="1" m="1" x="5599"/>
        <item h="1" m="1" x="5600"/>
        <item h="1" m="1" x="5247"/>
        <item h="1" m="1" x="5601"/>
        <item h="1" m="1" x="5454"/>
        <item h="1" m="1" x="5455"/>
        <item h="1" m="1" x="5086"/>
        <item h="1" m="1" x="5000"/>
        <item h="1" m="1" x="5602"/>
        <item h="1" m="1" x="5603"/>
        <item h="1" m="1" x="5456"/>
        <item h="1" m="1" x="2773"/>
        <item h="1" m="1" x="2779"/>
        <item h="1" m="1" x="4245"/>
        <item h="1" m="1" x="4125"/>
        <item h="1" m="1" x="5231"/>
        <item h="1" m="1" x="3137"/>
        <item h="1" m="1" x="5604"/>
        <item h="1" m="1" x="5457"/>
        <item h="1" m="1" x="5458"/>
        <item h="1" m="1" x="5232"/>
        <item h="1" m="1" x="5450"/>
        <item h="1" m="1" x="5606"/>
        <item h="1" x="270"/>
        <item h="1" m="1" x="5364"/>
        <item h="1" m="1" x="5365"/>
        <item h="1" m="1" x="5234"/>
        <item h="1" m="1" x="5361"/>
        <item h="1" m="1" x="5362"/>
        <item h="1" m="1" x="5222"/>
        <item h="1" m="1" x="5463"/>
        <item h="1" m="1" x="5464"/>
        <item h="1" m="1" x="5452"/>
        <item h="1" m="1" x="5235"/>
        <item h="1" m="1" x="5236"/>
        <item h="1" m="1" x="5237"/>
        <item h="1" m="1" x="5366"/>
        <item h="1" m="1" x="5453"/>
        <item h="1" m="1" x="5608"/>
        <item h="1" m="1" x="5465"/>
        <item h="1" m="1" x="5238"/>
        <item h="1" m="1" x="5239"/>
        <item h="1" m="1" x="5367"/>
        <item h="1" m="1" x="5610"/>
        <item h="1" m="1" x="5368"/>
        <item h="1" m="1" x="5468"/>
        <item h="1" m="1" x="4957"/>
        <item h="1" m="1" x="5611"/>
        <item h="1" m="1" x="5612"/>
        <item h="1" m="1" x="5613"/>
        <item h="1" m="1" x="5371"/>
        <item h="1" m="1" x="5614"/>
        <item h="1" m="1" x="5469"/>
        <item h="1" m="1" x="5615"/>
        <item h="1" m="1" x="5470"/>
        <item h="1" m="1" x="5616"/>
        <item h="1" m="1" x="5617"/>
        <item h="1" m="1" x="5618"/>
        <item h="1" m="1" x="5619"/>
        <item h="1" m="1" x="5471"/>
        <item h="1" m="1" x="5620"/>
        <item h="1" m="1" x="5241"/>
        <item h="1" m="1" x="5230"/>
        <item h="1" m="1" x="5621"/>
        <item h="1" m="1" x="5622"/>
        <item h="1" m="1" x="5623"/>
        <item h="1" m="1" x="5624"/>
        <item h="1" m="1" x="5625"/>
        <item h="1" m="1" x="5626"/>
        <item h="1" m="1" x="5459"/>
        <item h="1" m="1" x="5627"/>
        <item h="1" m="1" x="5628"/>
        <item h="1" m="1" x="5629"/>
        <item h="1" m="1" x="5473"/>
        <item h="1" m="1" x="5258"/>
        <item h="1" m="1" x="4935"/>
        <item h="1" m="1" x="5461"/>
        <item h="1" m="1" x="5631"/>
        <item h="1" m="1" x="5462"/>
        <item h="1" m="1" x="5632"/>
        <item h="1" m="1" x="5474"/>
        <item h="1" m="1" x="5475"/>
        <item h="1" m="1" x="5052"/>
        <item h="1" m="1" x="5248"/>
        <item h="1" m="1" x="5633"/>
        <item h="1" m="1" x="5634"/>
        <item h="1" m="1" x="3904"/>
        <item h="1" m="1" x="4930"/>
        <item h="1" m="1" x="5369"/>
        <item h="1" m="1" x="4931"/>
        <item h="1" m="1" x="5370"/>
        <item h="1" m="1" x="5466"/>
        <item h="1" m="1" x="5635"/>
        <item h="1" m="1" x="5477"/>
        <item h="1" m="1" x="5478"/>
        <item h="1" m="1" x="4875"/>
        <item h="1" m="1" x="5467"/>
        <item h="1" m="1" x="5637"/>
        <item h="1" m="1" x="5480"/>
        <item h="1" m="1" x="4899"/>
        <item h="1" m="1" x="5639"/>
        <item h="1" m="1" x="5481"/>
        <item h="1" m="1" x="5640"/>
        <item h="1" m="1" x="5259"/>
        <item h="1" m="1" x="5641"/>
        <item h="1" m="1" x="5482"/>
        <item h="1" m="1" x="5149"/>
        <item h="1" m="1" x="5152"/>
        <item h="1" m="1" x="5363"/>
        <item h="1" m="1" x="5483"/>
        <item h="1" m="1" x="5249"/>
        <item h="1" m="1" x="5484"/>
        <item h="1" m="1" x="2662"/>
        <item h="1" m="1" x="5250"/>
        <item h="1" m="1" x="5485"/>
        <item h="1" m="1" x="5108"/>
        <item h="1" m="1" x="5486"/>
        <item h="1" m="1" x="5487"/>
        <item h="1" m="1" x="5374"/>
        <item h="1" m="1" x="5375"/>
        <item h="1" m="1" x="5376"/>
        <item h="1" m="1" x="5253"/>
        <item h="1" m="1" x="5488"/>
        <item h="1" m="1" x="5489"/>
        <item h="1" m="1" x="5382"/>
        <item h="1" m="1" x="5053"/>
        <item h="1" m="1" x="5490"/>
        <item h="1" m="1" x="5491"/>
        <item h="1" m="1" x="5492"/>
        <item h="1" m="1" x="5493"/>
        <item h="1" m="1" x="5383"/>
        <item h="1" m="1" x="5254"/>
        <item h="1" m="1" x="5494"/>
        <item h="1" m="1" x="5112"/>
        <item h="1" m="1" x="5496"/>
        <item h="1" m="1" x="5497"/>
        <item h="1" m="1" x="4932"/>
        <item h="1" m="1" x="5498"/>
        <item h="1" m="1" x="5499"/>
        <item h="1" m="1" x="5500"/>
        <item h="1" m="1" x="5501"/>
        <item h="1" m="1" x="5062"/>
        <item h="1" m="1" x="1135"/>
        <item h="1" m="1" x="5384"/>
        <item h="1" m="1" x="3767"/>
        <item h="1" m="1" x="5503"/>
        <item h="1" m="1" x="567"/>
        <item h="1" m="1" x="5504"/>
        <item h="1" m="1" x="5505"/>
        <item h="1" m="1" x="5506"/>
        <item h="1" m="1" x="5507"/>
        <item h="1" m="1" x="5508"/>
        <item h="1" m="1" x="5509"/>
        <item h="1" m="1" x="5510"/>
        <item h="1" m="1" x="5511"/>
        <item h="1" m="1" x="5372"/>
        <item h="1" m="1" x="5512"/>
        <item h="1" m="1" x="5513"/>
        <item h="1" m="1" x="5385"/>
        <item h="1" m="1" x="5260"/>
        <item h="1" m="1" x="5386"/>
        <item h="1" m="1" x="5387"/>
        <item h="1" m="1" x="5388"/>
        <item h="1" m="1" x="5515"/>
        <item h="1" m="1" x="5517"/>
        <item h="1" m="1" x="5262"/>
        <item h="1" m="1" x="5373"/>
        <item h="1" m="1" x="5519"/>
        <item h="1" m="1" x="4343"/>
        <item h="1" m="1" x="5033"/>
        <item h="1" m="1" x="5521"/>
        <item h="1" m="1" x="5522"/>
        <item h="1" m="1" x="5524"/>
        <item h="1" m="1" x="344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4612"/>
        <item h="1" m="1" x="5533"/>
        <item h="1" m="1" x="5272"/>
        <item h="1" m="1" x="2182"/>
        <item h="1" m="1" x="5535"/>
        <item h="1" m="1" x="5377"/>
        <item h="1" m="1" x="5379"/>
        <item h="1" m="1" x="5380"/>
        <item h="1" m="1" x="4973"/>
        <item h="1" m="1" x="5381"/>
        <item h="1" m="1" x="4618"/>
        <item h="1" m="1" x="5271"/>
        <item h="1" m="1" x="5252"/>
        <item h="1" m="1" x="5058"/>
        <item h="1" m="1" x="4811"/>
        <item h="1" m="1" x="4996"/>
        <item h="1" m="1" x="4997"/>
        <item h="1" m="1" x="4998"/>
        <item h="1" m="1" x="5273"/>
        <item h="1" m="1" x="5274"/>
        <item h="1" m="1" x="5255"/>
        <item h="1" m="1" x="5256"/>
        <item h="1" m="1" x="5389"/>
        <item h="1" m="1" x="5390"/>
        <item h="1" m="1" x="5391"/>
        <item h="1" m="1" x="5392"/>
        <item h="1" m="1" x="5393"/>
        <item h="1" m="1" x="5257"/>
        <item h="1" m="1" x="5275"/>
        <item h="1" m="1" x="5276"/>
        <item h="1" m="1" x="5048"/>
        <item h="1" m="1" x="5277"/>
        <item h="1" m="1" x="5395"/>
        <item h="1" m="1" x="5396"/>
        <item h="1" m="1" x="5397"/>
        <item h="1" m="1" x="5398"/>
        <item h="1" m="1" x="3618"/>
        <item h="1" m="1" x="5261"/>
        <item h="1" m="1" x="5013"/>
        <item h="1" m="1" x="5399"/>
        <item h="1" m="1" x="5263"/>
        <item h="1" m="1" x="5400"/>
        <item h="1" m="1" x="5121"/>
        <item h="1" m="1" x="5001"/>
        <item h="1" m="1" x="5002"/>
        <item h="1" m="1" x="5264"/>
        <item h="1" m="1" x="5265"/>
        <item h="1" m="1" x="5401"/>
        <item h="1" m="1" x="5402"/>
        <item h="1" m="1" x="5102"/>
        <item h="1" m="1" x="5403"/>
        <item h="1" m="1" x="2312"/>
        <item h="1" m="1" x="1014"/>
        <item h="1" m="1" x="5140"/>
        <item h="1" m="1" x="5404"/>
        <item h="1" m="1" x="5278"/>
        <item h="1" m="1" x="5405"/>
        <item h="1" m="1" x="5406"/>
        <item h="1" m="1" x="5407"/>
        <item h="1" m="1" x="4981"/>
        <item h="1" m="1" x="5087"/>
        <item h="1" m="1" x="5279"/>
        <item h="1" m="1" x="4427"/>
        <item h="1" m="1" x="5267"/>
        <item h="1" m="1" x="4912"/>
        <item h="1" m="1" x="5408"/>
        <item h="1" m="1" x="5409"/>
        <item h="1" m="1" x="5410"/>
        <item h="1" m="1" x="5280"/>
        <item h="1" m="1" x="5411"/>
        <item h="1" m="1" x="5412"/>
        <item h="1" m="1" x="5413"/>
        <item h="1" m="1" x="5414"/>
        <item h="1" m="1" x="5268"/>
        <item h="1" m="1" x="5269"/>
        <item h="1" m="1" x="5270"/>
        <item h="1" m="1" x="5415"/>
        <item h="1" m="1" x="5281"/>
        <item h="1" m="1" x="5117"/>
        <item h="1" m="1" x="5282"/>
        <item h="1" m="1" x="5416"/>
        <item h="1" m="1" x="5009"/>
        <item h="1" m="1" x="5418"/>
        <item h="1" m="1" x="5131"/>
        <item h="1" m="1" x="5132"/>
        <item h="1" m="1" x="5133"/>
        <item h="1" m="1" x="4388"/>
        <item h="1" m="1" x="5147"/>
        <item h="1" m="1" x="5150"/>
        <item h="1" m="1" x="5151"/>
        <item h="1" m="1" x="5233"/>
        <item h="1" m="1" x="5283"/>
        <item h="1" m="1" x="5284"/>
        <item h="1" m="1" x="5285"/>
        <item h="1" m="1" x="5286"/>
        <item h="1" m="1" x="5054"/>
        <item h="1" m="1" x="4619"/>
        <item h="1" m="1" x="5057"/>
        <item h="1" m="1" x="2667"/>
        <item h="1" m="1" x="5287"/>
        <item h="1" m="1" x="5288"/>
        <item h="1" m="1" x="5289"/>
        <item h="1" m="1" x="5290"/>
        <item h="1" m="1" x="5113"/>
        <item h="1" m="1" x="5081"/>
        <item h="1" m="1" x="5291"/>
        <item h="1" m="1" x="571"/>
        <item h="1" m="1" x="5292"/>
        <item h="1" m="1" x="5088"/>
        <item h="1" m="1" x="4620"/>
        <item h="1" m="1" x="5293"/>
        <item h="1" m="1" x="5294"/>
        <item h="1" m="1" x="5295"/>
        <item h="1" m="1" x="5296"/>
        <item h="1" m="1" x="4999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118"/>
        <item h="1" m="1" x="5119"/>
        <item h="1" m="1" x="4750"/>
        <item h="1" m="1" x="5312"/>
        <item h="1" m="1" x="5313"/>
        <item h="1" m="1" x="5314"/>
        <item h="1" m="1" x="5315"/>
        <item h="1" m="1" x="4914"/>
        <item h="1" m="1" x="5141"/>
        <item h="1" m="1" x="5316"/>
        <item h="1" m="1" x="5317"/>
        <item h="1" m="1" x="5101"/>
        <item h="1" m="1" x="5319"/>
        <item h="1" m="1" x="4858"/>
        <item h="1" m="1" x="5320"/>
        <item h="1" m="1" x="5321"/>
        <item h="1" m="1" x="5134"/>
        <item h="1" m="1" x="5135"/>
        <item h="1" m="1" x="5136"/>
        <item h="1" m="1" x="5137"/>
        <item h="1" m="1" x="5138"/>
        <item h="1" m="1" x="5139"/>
        <item h="1" m="1" x="5041"/>
        <item h="1" m="1" x="5085"/>
        <item h="1" m="1" x="5069"/>
        <item h="1" m="1" x="5322"/>
        <item h="1" m="1" x="5323"/>
        <item h="1" m="1" x="5324"/>
        <item h="1" m="1" x="4530"/>
        <item h="1" m="1" x="4539"/>
        <item h="1" m="1" x="4531"/>
        <item h="1" m="1" x="5325"/>
        <item h="1" m="1" x="5326"/>
        <item h="1" m="1" x="5327"/>
        <item h="1" m="1" x="4929"/>
        <item h="1" m="1" x="5328"/>
        <item h="1" m="1" x="5329"/>
        <item h="1" m="1" x="5330"/>
        <item h="1" m="1" x="5331"/>
        <item h="1" m="1" x="5073"/>
        <item h="1" m="1" x="5044"/>
        <item h="1" m="1" x="5332"/>
        <item h="1" m="1" x="5333"/>
        <item h="1" m="1" x="5043"/>
        <item h="1" m="1" x="5334"/>
        <item h="1" m="1" x="5335"/>
        <item h="1" m="1" x="5336"/>
        <item h="1" m="1" x="5337"/>
        <item h="1" m="1" x="5338"/>
        <item h="1" m="1" x="5030"/>
        <item h="1" m="1" x="5031"/>
        <item h="1" m="1" x="5032"/>
        <item h="1" m="1" x="2778"/>
        <item h="1" m="1" x="5036"/>
        <item h="1" m="1" x="3028"/>
        <item h="1" m="1" x="4707"/>
        <item h="1" m="1" x="4631"/>
        <item h="1" m="1" x="3518"/>
        <item h="1" m="1" x="5038"/>
        <item h="1" m="1" x="5039"/>
        <item h="1" m="1" x="5040"/>
        <item h="1" m="1" x="5075"/>
        <item h="1" m="1" x="5339"/>
        <item h="1" m="1" x="5340"/>
        <item h="1" m="1" x="5006"/>
        <item h="1" m="1" x="3938"/>
        <item h="1" m="1" x="5128"/>
        <item h="1" m="1" x="4982"/>
        <item h="1" m="1" x="4908"/>
        <item h="1" m="1" x="4984"/>
        <item h="1" m="1" x="4985"/>
        <item h="1" m="1" x="4986"/>
        <item h="1" m="1" x="4987"/>
        <item h="1" m="1" x="4728"/>
        <item h="1" m="1" x="4988"/>
        <item h="1" m="1" x="4990"/>
        <item h="1" m="1" x="4991"/>
        <item h="1" m="1" x="4992"/>
        <item h="1" m="1" x="4993"/>
        <item h="1" m="1" x="4994"/>
        <item h="1" m="1" x="4995"/>
        <item h="1" m="1" x="4532"/>
        <item h="1" m="1" x="4622"/>
        <item h="1" m="1" x="1298"/>
        <item h="1" m="1" x="5003"/>
        <item h="1" m="1" x="4611"/>
        <item h="1" m="1" x="5004"/>
        <item h="1" m="1" x="5005"/>
        <item h="1" m="1" x="4812"/>
        <item h="1" m="1" x="5007"/>
        <item h="1" m="1" x="5008"/>
        <item h="1" m="1" x="5010"/>
        <item h="1" m="1" x="5012"/>
        <item h="1" m="1" x="5011"/>
        <item h="1" m="1" x="5014"/>
        <item h="1" m="1" x="5018"/>
        <item h="1" m="1" x="5017"/>
        <item h="1" m="1" x="5015"/>
        <item h="1" m="1" x="5016"/>
        <item h="1" m="1" x="4066"/>
        <item h="1" m="1" x="5019"/>
        <item h="1" m="1" x="5020"/>
        <item h="1" m="1" x="5022"/>
        <item h="1" m="1" x="4137"/>
        <item h="1" m="1" x="4632"/>
        <item h="1" m="1" x="5023"/>
        <item h="1" m="1" x="5024"/>
        <item h="1" m="1" x="5027"/>
        <item h="1" m="1" x="5026"/>
        <item h="1" m="1" x="2913"/>
        <item h="1" m="1" x="4537"/>
        <item h="1" m="1" x="5045"/>
        <item h="1" m="1" x="3703"/>
        <item h="1" m="1" x="4937"/>
        <item h="1" m="1" x="4945"/>
        <item h="1" m="1" x="5046"/>
        <item h="1" m="1" x="5047"/>
        <item h="1" m="1" x="5051"/>
        <item h="1" m="1" x="4948"/>
        <item h="1" m="1" x="4754"/>
        <item h="1" m="1" x="4197"/>
        <item h="1" m="1" x="4621"/>
        <item h="1" m="1" x="2299"/>
        <item h="1" m="1" x="4759"/>
        <item h="1" m="1" x="5060"/>
        <item h="1" m="1" x="5072"/>
        <item h="1" m="1" x="5071"/>
        <item h="1" m="1" x="5074"/>
        <item h="1" m="1" x="5076"/>
        <item h="1" m="1" x="5077"/>
        <item h="1" m="1" x="5078"/>
        <item h="1" m="1" x="4954"/>
        <item h="1" m="1" x="4955"/>
        <item h="1" m="1" x="4953"/>
        <item h="1" m="1" x="5079"/>
        <item h="1" m="1" x="5080"/>
        <item h="1" m="1" x="5084"/>
        <item h="1" m="1" x="4960"/>
        <item h="1" m="1" x="2579"/>
        <item h="1" m="1" x="4966"/>
        <item h="1" m="1" x="5089"/>
        <item h="1" m="1" x="5090"/>
        <item h="1" m="1" x="5091"/>
        <item h="1" m="1" x="5092"/>
        <item h="1" m="1" x="5096"/>
        <item h="1" m="1" x="4974"/>
        <item h="1" m="1" x="5095"/>
        <item h="1" m="1" x="5093"/>
        <item h="1" m="1" x="5094"/>
        <item h="1" m="1" x="5097"/>
        <item h="1" m="1" x="5099"/>
        <item h="1" m="1" x="5100"/>
        <item h="1" m="1" x="5098"/>
        <item h="1" x="14"/>
        <item h="1" m="1" x="5103"/>
        <item h="1" m="1" x="5104"/>
        <item h="1" m="1" x="5105"/>
        <item h="1" m="1" x="4975"/>
        <item h="1" m="1" x="4976"/>
        <item h="1" m="1" x="4883"/>
        <item h="1" m="1" x="5110"/>
        <item h="1" m="1" x="4853"/>
        <item h="1" m="1" x="5111"/>
        <item h="1" m="1" x="4623"/>
        <item h="1" m="1" x="5114"/>
        <item h="1" m="1" x="5115"/>
        <item h="1" m="1" x="1522"/>
        <item h="1" m="1" x="5120"/>
        <item h="1" m="1" x="5116"/>
        <item h="1" m="1" x="5130"/>
        <item h="1" m="1" x="5124"/>
        <item h="1" m="1" x="5125"/>
        <item h="1" m="1" x="5126"/>
        <item h="1" m="1" x="5127"/>
        <item h="1" m="1" x="4902"/>
        <item h="1" m="1" x="4903"/>
        <item h="1" m="1" x="4904"/>
        <item h="1" m="1" x="4907"/>
        <item h="1" m="1" x="4909"/>
        <item h="1" m="1" x="4910"/>
        <item h="1" m="1" x="4913"/>
        <item h="1" m="1" x="4797"/>
        <item h="1" m="1" x="4916"/>
        <item h="1" m="1" x="4917"/>
        <item h="1" m="1" x="4918"/>
        <item h="1" m="1" x="4919"/>
        <item h="1" m="1" x="4920"/>
        <item h="1" m="1" x="4921"/>
        <item h="1" m="1" x="4922"/>
        <item h="1" m="1" x="4923"/>
        <item h="1" m="1" x="4924"/>
        <item h="1" m="1" x="4925"/>
        <item h="1" m="1" x="4431"/>
        <item h="1" m="1" x="4927"/>
        <item h="1" m="1" x="4844"/>
        <item h="1" m="1" x="4817"/>
        <item h="1" m="1" x="4816"/>
        <item h="1" m="1" x="4928"/>
        <item h="1" m="1" x="4430"/>
        <item h="1" m="1" x="4830"/>
        <item h="1" m="1" x="4835"/>
        <item h="1" m="1" x="4936"/>
        <item h="1" m="1" x="4939"/>
        <item h="1" m="1" x="4436"/>
        <item h="1" m="1" x="4940"/>
        <item h="1" m="1" x="4941"/>
        <item h="1" m="1" x="4942"/>
        <item h="1" m="1" x="4943"/>
        <item h="1" m="1" x="4944"/>
        <item h="1" m="1" x="4434"/>
        <item h="1" m="1" x="4423"/>
        <item h="1" m="1" x="4946"/>
        <item h="1" m="1" x="4947"/>
        <item h="1" m="1" x="4846"/>
        <item h="1" m="1" x="4230"/>
        <item h="1" m="1" x="4324"/>
        <item h="1" m="1" x="4949"/>
        <item h="1" m="1" x="4196"/>
        <item h="1" m="1" x="4540"/>
        <item h="1" m="1" x="4845"/>
        <item h="1" m="1" x="4624"/>
        <item h="1" m="1" x="4534"/>
        <item h="1" m="1" x="4950"/>
        <item h="1" m="1" x="4852"/>
        <item h="1" m="1" x="3577"/>
        <item h="1" m="1" x="4428"/>
        <item h="1" m="1" x="4959"/>
        <item h="1" m="1" x="4961"/>
        <item h="1" m="1" x="4962"/>
        <item h="1" m="1" x="4963"/>
        <item h="1" m="1" x="4964"/>
        <item h="1" m="1" x="4965"/>
        <item h="1" m="1" x="4538"/>
        <item h="1" m="1" x="4533"/>
        <item h="1" m="1" x="4553"/>
        <item h="1" m="1" x="4968"/>
        <item h="1" m="1" x="472"/>
        <item h="1" m="1" x="4969"/>
        <item h="1" m="1" x="4970"/>
        <item h="1" m="1" x="4971"/>
        <item h="1" m="1" x="4972"/>
        <item h="1" m="1" x="4769"/>
        <item h="1" m="1" x="4156"/>
        <item h="1" m="1" x="4770"/>
        <item h="1" m="1" x="3667"/>
        <item h="1" m="1" x="4327"/>
        <item h="1" m="1" x="3051"/>
        <item h="1" m="1" x="4885"/>
        <item h="1" m="1" x="4889"/>
        <item h="1" m="1" x="4894"/>
        <item h="1" m="1" x="4895"/>
        <item h="1" m="1" x="4892"/>
        <item h="1" m="1" x="4980"/>
        <item h="1" m="1" x="4900"/>
        <item h="1" m="1" x="4780"/>
        <item h="1" m="1" x="4781"/>
        <item h="1" m="1" x="4782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1669"/>
        <item h="1" m="1" x="4793"/>
        <item h="1" m="1" x="4700"/>
        <item h="1" m="1" x="4794"/>
        <item h="1" m="1" x="4795"/>
        <item h="1" m="1" x="3769"/>
        <item h="1" m="1" x="4796"/>
        <item h="1" m="1" x="4626"/>
        <item h="1" m="1" x="4727"/>
        <item h="1" m="1" x="4799"/>
        <item h="1" m="1" x="4800"/>
        <item h="1" m="1" x="4802"/>
        <item h="1" m="1" x="4803"/>
        <item h="1" m="1" x="4446"/>
        <item h="1" m="1" x="4732"/>
        <item h="1" m="1" x="4731"/>
        <item h="1" m="1" x="4804"/>
        <item h="1" m="1" x="3184"/>
        <item h="1" m="1" x="4737"/>
        <item h="1" m="1" x="4805"/>
        <item h="1" m="1" x="4806"/>
        <item h="1" m="1" x="4807"/>
        <item h="1" m="1" x="4808"/>
        <item h="1" m="1" x="4809"/>
        <item h="1" m="1" x="4421"/>
        <item h="1" m="1" x="3240"/>
        <item h="1" m="1" x="4818"/>
        <item h="1" m="1" x="4819"/>
        <item h="1" m="1" x="4820"/>
        <item h="1" m="1" x="4821"/>
        <item h="1" m="1" x="4823"/>
        <item h="1" m="1" x="4824"/>
        <item h="1" m="1" x="4825"/>
        <item h="1" m="1" x="4827"/>
        <item h="1" m="1" x="4828"/>
        <item h="1" m="1" x="4829"/>
        <item h="1" m="1" x="4833"/>
        <item h="1" m="1" x="4630"/>
        <item h="1" m="1" x="4834"/>
        <item h="1" m="1" x="4836"/>
        <item h="1" m="1" x="4625"/>
        <item h="1" m="1" x="4838"/>
        <item h="1" m="1" x="4841"/>
        <item h="1" m="1" x="4842"/>
        <item h="1" m="1" x="4843"/>
        <item h="1" m="1" x="3113"/>
        <item h="1" m="1" x="4149"/>
        <item h="1" m="1" x="4150"/>
        <item h="1" m="1" x="2804"/>
        <item h="1" m="1" x="4758"/>
        <item h="1" m="1" x="4847"/>
        <item h="1" m="1" x="1899"/>
        <item h="1" m="1" x="4848"/>
        <item h="1" m="1" x="4760"/>
        <item h="1" m="1" x="4851"/>
        <item h="1" m="1" x="4594"/>
        <item h="1" m="1" x="4854"/>
        <item h="1" m="1" x="4856"/>
        <item h="1" m="1" x="4857"/>
        <item h="1" m="1" x="4764"/>
        <item h="1" m="1" x="4860"/>
        <item h="1" m="1" x="4861"/>
        <item h="1" m="1" x="4771"/>
        <item h="1" m="1" x="4866"/>
        <item h="1" m="1" x="4867"/>
        <item h="1" m="1" x="4544"/>
        <item h="1" m="1" x="4868"/>
        <item h="1" m="1" x="4252"/>
        <item h="1" m="1" x="4450"/>
        <item h="1" m="1" x="4451"/>
        <item h="1" m="1" x="4766"/>
        <item h="1" m="1" x="4870"/>
        <item h="1" m="1" x="4871"/>
        <item h="1" m="1" x="4429"/>
        <item h="1" m="1" x="4873"/>
        <item h="1" m="1" x="4874"/>
        <item h="1" m="1" x="4876"/>
        <item h="1" m="1" x="621"/>
        <item h="1" m="1" x="4880"/>
        <item h="1" m="1" x="4881"/>
        <item h="1" m="1" x="4882"/>
        <item h="1" m="1" x="4890"/>
        <item h="1" m="1" x="4891"/>
        <item h="1" m="1" x="4897"/>
        <item h="1" m="1" x="4898"/>
        <item h="1" m="1" x="4325"/>
        <item h="1" m="1" x="3223"/>
        <item h="1" m="1" x="3608"/>
        <item h="1" m="1" x="4097"/>
        <item h="1" m="1" x="4549"/>
        <item h="1" m="1" x="4715"/>
        <item h="1" m="1" x="4716"/>
        <item h="1" m="1" x="4636"/>
        <item h="1" m="1" x="4637"/>
        <item h="1" m="1" x="4718"/>
        <item h="1" m="1" x="4719"/>
        <item h="1" m="1" x="4720"/>
        <item h="1" m="1" x="4721"/>
        <item h="1" m="1" x="4722"/>
        <item h="1" m="1" x="4723"/>
        <item h="1" m="1" x="4724"/>
        <item h="1" m="1" x="4725"/>
        <item h="1" m="1" x="4729"/>
        <item h="1" m="1" x="4730"/>
        <item h="1" m="1" x="4734"/>
        <item h="1" m="1" x="4735"/>
        <item h="1" m="1" x="4736"/>
        <item h="1" m="1" x="4738"/>
        <item h="1" m="1" x="4740"/>
        <item h="1" m="1" x="4741"/>
        <item h="1" m="1" x="4742"/>
        <item h="1" m="1" x="4448"/>
        <item h="1" m="1" x="4744"/>
        <item h="1" m="1" x="3932"/>
        <item h="1" m="1" x="3673"/>
        <item h="1" m="1" x="3933"/>
        <item h="1" m="1" x="3218"/>
        <item h="1" m="1" x="4745"/>
        <item h="1" m="1" x="4642"/>
        <item h="1" m="1" x="4643"/>
        <item h="1" m="1" x="3361"/>
        <item h="1" m="1" x="4644"/>
        <item h="1" m="1" x="4639"/>
        <item h="1" m="1" x="4640"/>
        <item h="1" m="1" x="4641"/>
        <item h="1" m="1" x="4633"/>
        <item h="1" m="1" x="4746"/>
        <item h="1" m="1" x="4747"/>
        <item h="1" m="1" x="4748"/>
        <item h="1" m="1" x="4749"/>
        <item h="1" m="1" x="4627"/>
        <item h="1" m="1" x="4227"/>
        <item h="1" m="1" x="4228"/>
        <item h="1" m="1" x="4229"/>
        <item h="1" m="1" x="3985"/>
        <item h="1" m="1" x="4234"/>
        <item h="1" m="1" x="4751"/>
        <item h="1" m="1" x="4231"/>
        <item h="1" m="1" x="4753"/>
        <item h="1" m="1" x="4755"/>
        <item h="1" m="1" x="4756"/>
        <item h="1" m="1" x="4757"/>
        <item h="1" m="1" x="4761"/>
        <item h="1" m="1" x="4762"/>
        <item h="1" m="1" x="4763"/>
        <item h="1" m="1" x="4001"/>
        <item h="1" m="1" x="4003"/>
        <item h="1" m="1" x="4005"/>
        <item h="1" m="1" x="3995"/>
        <item h="1" m="1" x="4635"/>
        <item h="1" m="1" x="4036"/>
        <item h="1" m="1" x="4442"/>
        <item h="1" m="1" x="4765"/>
        <item h="1" m="1" x="4634"/>
        <item h="1" m="1" x="4767"/>
        <item h="1" m="1" x="4768"/>
        <item h="1" m="1" x="4772"/>
        <item h="1" m="1" x="4773"/>
        <item h="1" m="1" x="4774"/>
        <item h="1" m="1" x="4054"/>
        <item h="1" m="1" x="4775"/>
        <item h="1" m="1" x="4776"/>
        <item h="1" x="77"/>
        <item h="1" m="1" x="3472"/>
        <item h="1" m="1" x="4638"/>
        <item h="1" m="1" x="4328"/>
        <item h="1" m="1" x="4190"/>
        <item h="1" m="1" x="4080"/>
        <item h="1" m="1" x="4191"/>
        <item h="1" m="1" x="4317"/>
        <item h="1" m="1" x="4192"/>
        <item h="1" m="1" x="4777"/>
        <item h="1" m="1" x="4268"/>
        <item h="1" m="1" x="4269"/>
        <item h="1" m="1" x="4778"/>
        <item h="1" m="1" x="3236"/>
        <item h="1" m="1" x="4319"/>
        <item h="1" m="1" x="4145"/>
        <item h="1" m="1" x="3122"/>
        <item h="1" m="1" x="3718"/>
        <item h="1" m="1" x="4615"/>
        <item h="1" m="1" x="2138"/>
        <item h="1" m="1" x="3194"/>
        <item h="1" m="1" x="3222"/>
        <item h="1" m="1" x="4435"/>
        <item h="1" m="1" x="2550"/>
        <item h="1" m="1" x="3117"/>
        <item h="1" m="1" x="4233"/>
        <item h="1" m="1" x="4449"/>
        <item h="1" m="1" x="4645"/>
        <item h="1" m="1" x="4646"/>
        <item h="1" m="1" x="4647"/>
        <item h="1" m="1" x="4649"/>
        <item h="1" m="1" x="4650"/>
        <item h="1" m="1" x="4443"/>
        <item h="1" m="1" x="4102"/>
        <item h="1" m="1" x="4651"/>
        <item h="1" m="1" x="4652"/>
        <item h="1" m="1" x="4653"/>
        <item h="1" m="1" x="4654"/>
        <item h="1" m="1" x="4597"/>
        <item h="1" m="1" x="4655"/>
        <item h="1" m="1" x="4656"/>
        <item h="1" m="1" x="4542"/>
        <item h="1" m="1" x="4657"/>
        <item h="1" m="1" x="4180"/>
        <item h="1" m="1" x="3241"/>
        <item h="1" m="1" x="4006"/>
        <item h="1" m="1" x="4658"/>
        <item h="1" m="1" x="3748"/>
        <item h="1" m="1" x="4659"/>
        <item h="1" m="1" x="4660"/>
        <item h="1" m="1" x="4661"/>
        <item h="1" m="1" x="4662"/>
        <item h="1" m="1" x="4552"/>
        <item h="1" m="1" x="4329"/>
        <item h="1" m="1" x="4330"/>
        <item h="1" m="1" x="4663"/>
        <item h="1" m="1" x="4664"/>
        <item h="1" m="1" x="3990"/>
        <item h="1" m="1" x="3991"/>
        <item h="1" m="1" x="4666"/>
        <item h="1" m="1" x="4667"/>
        <item h="1" m="1" x="4668"/>
        <item h="1" m="1" x="4669"/>
        <item h="1" m="1" x="4670"/>
        <item h="1" m="1" x="4671"/>
        <item h="1" m="1" x="4547"/>
        <item h="1" m="1" x="4672"/>
        <item h="1" m="1" x="4444"/>
        <item h="1" m="1" x="4673"/>
        <item h="1" m="1" x="4543"/>
        <item h="1" m="1" x="4439"/>
        <item h="1" m="1" x="4546"/>
        <item h="1" m="1" x="4675"/>
        <item h="1" m="1" x="4676"/>
        <item h="1" m="1" x="4677"/>
        <item h="1" m="1" x="4678"/>
        <item h="1" m="1" x="4679"/>
        <item h="1" m="1" x="4445"/>
        <item h="1" m="1" x="4551"/>
        <item h="1" m="1" x="4680"/>
        <item h="1" m="1" x="4447"/>
        <item h="1" m="1" x="4438"/>
        <item h="1" m="1" x="4541"/>
        <item h="1" m="1" x="4681"/>
        <item h="1" m="1" x="4683"/>
        <item h="1" m="1" x="4684"/>
        <item h="1" m="1" x="4685"/>
        <item h="1" m="1" x="4686"/>
        <item h="1" m="1" x="4332"/>
        <item h="1" m="1" x="4096"/>
        <item h="1" m="1" x="4331"/>
        <item h="1" m="1" x="4687"/>
        <item h="1" m="1" x="4688"/>
        <item h="1" m="1" x="4689"/>
        <item h="1" m="1" x="4690"/>
        <item h="1" m="1" x="4692"/>
        <item h="1" m="1" x="4179"/>
        <item h="1" m="1" x="4200"/>
        <item h="1" m="1" x="4693"/>
        <item h="1" m="1" x="4017"/>
        <item h="1" m="1" x="4545"/>
        <item h="1" m="1" x="4018"/>
        <item h="1" m="1" x="4019"/>
        <item h="1" m="1" x="3935"/>
        <item h="1" m="1" x="4694"/>
        <item h="1" m="1" x="4696"/>
        <item h="1" m="1" x="4697"/>
        <item h="1" m="1" x="4698"/>
        <item h="1" m="1" x="4699"/>
        <item h="1" m="1" x="4701"/>
        <item h="1" m="1" x="4702"/>
        <item h="1" m="1" x="4033"/>
        <item h="1" m="1" x="4440"/>
        <item h="1" m="1" x="4340"/>
        <item h="1" m="1" x="4703"/>
        <item h="1" m="1" x="4056"/>
        <item h="1" m="1" x="3939"/>
        <item h="1" x="88"/>
        <item h="1" m="1" x="3840"/>
        <item h="1" m="1" x="3691"/>
        <item h="1" m="1" x="4704"/>
        <item h="1" m="1" x="4705"/>
        <item h="1" m="1" x="4706"/>
        <item h="1" m="1" x="4708"/>
        <item h="1" m="1" x="4067"/>
        <item h="1" m="1" x="4068"/>
        <item h="1" m="1" x="4710"/>
        <item h="1" m="1" x="4178"/>
        <item h="1" m="1" x="3172"/>
        <item h="1" m="1" x="4035"/>
        <item h="1" m="1" x="3768"/>
        <item h="1" m="1" x="4235"/>
        <item h="1" m="1" x="4711"/>
        <item h="1" m="1" x="4712"/>
        <item h="1" m="1" x="4713"/>
        <item h="1" m="1" x="4714"/>
        <item h="1" m="1" x="3944"/>
        <item h="1" m="1" x="3843"/>
        <item h="1" m="1" x="4275"/>
        <item h="1" m="1" x="4276"/>
        <item h="1" m="1" x="4322"/>
        <item h="1" m="1" x="4323"/>
        <item h="1" m="1" x="4320"/>
        <item h="1" m="1" x="4321"/>
        <item h="1" m="1" x="4536"/>
        <item h="1" m="1" x="4310"/>
        <item h="1" m="1" x="3174"/>
        <item h="1" m="1" x="4285"/>
        <item h="1" m="1" x="4554"/>
        <item h="1" m="1" x="4555"/>
        <item h="1" m="1" x="4452"/>
        <item h="1" m="1" x="4453"/>
        <item h="1" m="1" x="3982"/>
        <item h="1" x="111"/>
        <item h="1" m="1" x="4055"/>
        <item h="1" m="1" x="3681"/>
        <item h="1" m="1" x="3682"/>
        <item h="1" m="1" x="3683"/>
        <item h="1" m="1" x="355"/>
        <item h="1" m="1" x="4556"/>
        <item h="1" m="1" x="4557"/>
        <item h="1" m="1" x="4558"/>
        <item h="1" m="1" x="4334"/>
        <item h="1" m="1" x="4559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574"/>
        <item h="1" m="1" x="4575"/>
        <item h="1" m="1" x="4459"/>
        <item h="1" m="1" x="4461"/>
        <item h="1" m="1" x="4462"/>
        <item h="1" m="1" x="4460"/>
        <item h="1" m="1" x="4477"/>
        <item h="1" m="1" x="4480"/>
        <item h="1" m="1" x="4481"/>
        <item h="1" m="1" x="4028"/>
        <item h="1" m="1" x="4479"/>
        <item h="1" m="1" x="4473"/>
        <item h="1" m="1" x="4032"/>
        <item h="1" m="1" x="3747"/>
        <item h="1" m="1" x="4576"/>
        <item h="1" m="1" x="4577"/>
        <item h="1" m="1" x="4578"/>
        <item h="1" m="1" x="4579"/>
        <item h="1" m="1" x="2306"/>
        <item h="1" m="1" x="4580"/>
        <item h="1" m="1" x="4177"/>
        <item h="1" m="1" x="4175"/>
        <item h="1" m="1" x="4181"/>
        <item h="1" m="1" x="4176"/>
        <item h="1" m="1" x="4201"/>
        <item h="1" m="1" x="4581"/>
        <item h="1" m="1" x="4582"/>
        <item h="1" m="1" x="4583"/>
        <item h="1" m="1" x="4584"/>
        <item h="1" m="1" x="2071"/>
        <item h="1" m="1" x="4585"/>
        <item h="1" m="1" x="4586"/>
        <item h="1" m="1" x="4491"/>
        <item h="1" m="1" x="4494"/>
        <item h="1" m="1" x="4588"/>
        <item h="1" m="1" x="4589"/>
        <item h="1" x="246"/>
        <item h="1" m="1" x="4499"/>
        <item h="1" m="1" x="4590"/>
        <item h="1" m="1" x="4335"/>
        <item h="1" m="1" x="3141"/>
        <item h="1" m="1" x="4591"/>
        <item h="1" m="1" x="4592"/>
        <item h="1" m="1" x="4593"/>
        <item h="1" m="1" x="4595"/>
        <item h="1" m="1" x="4596"/>
        <item h="1" m="1" x="4598"/>
        <item h="1" m="1" x="4599"/>
        <item h="1" m="1" x="2123"/>
        <item h="1" m="1" x="4600"/>
        <item h="1" m="1" x="4601"/>
        <item h="1" m="1" x="4501"/>
        <item h="1" m="1" x="4339"/>
        <item h="1" m="1" x="662"/>
        <item h="1" m="1" x="4602"/>
        <item h="1" m="1" x="4603"/>
        <item h="1" m="1" x="3266"/>
        <item h="1" m="1" x="4604"/>
        <item h="1" m="1" x="4605"/>
        <item h="1" m="1" x="3077"/>
        <item h="1" m="1" x="4606"/>
        <item h="1" m="1" x="4607"/>
        <item h="1" m="1" x="4608"/>
        <item h="1" m="1" x="4609"/>
        <item h="1" m="1" x="1262"/>
        <item h="1" m="1" x="1011"/>
        <item h="1" m="1" x="3744"/>
        <item h="1" m="1" x="3153"/>
        <item h="1" m="1" x="3742"/>
        <item h="1" m="1" x="3743"/>
        <item h="1" m="1" x="3832"/>
        <item h="1" m="1" x="3656"/>
        <item h="1" m="1" x="4342"/>
        <item h="1" m="1" x="4344"/>
        <item h="1" m="1" x="4454"/>
        <item h="1" m="1" x="3971"/>
        <item h="1" m="1" x="3972"/>
        <item h="1" m="1" x="4455"/>
        <item h="1" m="1" x="4456"/>
        <item h="1" m="1" x="4457"/>
        <item h="1" m="1" x="4458"/>
        <item h="1" m="1" x="4351"/>
        <item h="1" m="1" x="4463"/>
        <item h="1" m="1" x="4466"/>
        <item h="1" m="1" x="4468"/>
        <item h="1" m="1" x="4469"/>
        <item h="1" m="1" x="4470"/>
        <item h="1" m="1" x="4471"/>
        <item h="1" m="1" x="2497"/>
        <item h="1" m="1" x="4472"/>
        <item h="1" m="1" x="4474"/>
        <item h="1" m="1" x="4475"/>
        <item h="1" m="1" x="4482"/>
        <item h="1" m="1" x="4483"/>
        <item h="1" m="1" x="4485"/>
        <item h="1" m="1" x="4486"/>
        <item h="1" m="1" x="4488"/>
        <item h="1" m="1" x="4072"/>
        <item h="1" m="1" x="3930"/>
        <item h="1" m="1" x="4193"/>
        <item h="1" m="1" x="3815"/>
        <item h="1" m="1" x="4489"/>
        <item h="1" m="1" x="613"/>
        <item h="1" m="1" x="4492"/>
        <item h="1" m="1" x="4493"/>
        <item h="1" m="1" x="4495"/>
        <item h="1" m="1" x="3629"/>
        <item h="1" m="1" x="3148"/>
        <item h="1" m="1" x="4496"/>
        <item h="1" m="1" x="4303"/>
        <item h="1" m="1" x="4336"/>
        <item h="1" m="1" x="4337"/>
        <item h="1" m="1" x="4497"/>
        <item h="1" m="1" x="4498"/>
        <item h="1" m="1" x="3303"/>
        <item h="1" m="1" x="4500"/>
        <item h="1" m="1" x="3161"/>
        <item h="1" m="1" x="4338"/>
        <item h="1" m="1" x="3160"/>
        <item h="1" m="1" x="3166"/>
        <item h="1" m="1" x="3170"/>
        <item h="1" m="1" x="4502"/>
        <item h="1" m="1" x="4503"/>
        <item h="1" m="1" x="513"/>
        <item h="1" m="1" x="4504"/>
        <item h="1" m="1" x="4505"/>
        <item h="1" m="1" x="4506"/>
        <item h="1" m="1" x="4507"/>
        <item h="1" m="1" x="4508"/>
        <item h="1" m="1" x="4046"/>
        <item h="1" m="1" x="4510"/>
        <item h="1" m="1" x="2173"/>
        <item h="1" m="1" x="4511"/>
        <item h="1" m="1" x="4512"/>
        <item h="1" m="1" x="4048"/>
        <item h="1" m="1" x="4049"/>
        <item h="1" m="1" x="4346"/>
        <item h="1" m="1" x="4513"/>
        <item h="1" m="1" x="3999"/>
        <item h="1" m="1" x="4514"/>
        <item h="1" m="1" x="4515"/>
        <item h="1" m="1" x="4194"/>
        <item h="1" m="1" x="4316"/>
        <item h="1" m="1" x="4263"/>
        <item h="1" m="1" x="4517"/>
        <item h="1" m="1" x="4518"/>
        <item h="1" m="1" x="919"/>
        <item h="1" m="1" x="3133"/>
        <item h="1" m="1" x="3164"/>
        <item h="1" m="1" x="4519"/>
        <item h="1" m="1" x="3163"/>
        <item h="1" m="1" x="3167"/>
        <item h="1" m="1" x="3168"/>
        <item h="1" m="1" x="3198"/>
        <item h="1" m="1" x="4520"/>
        <item h="1" m="1" x="1794"/>
        <item h="1" m="1" x="3185"/>
        <item h="1" m="1" x="4366"/>
        <item h="1" m="1" x="3217"/>
        <item h="1" m="1" x="4369"/>
        <item h="1" m="1" x="4522"/>
        <item h="1" m="1" x="4523"/>
        <item h="1" m="1" x="4524"/>
        <item h="1" m="1" x="3239"/>
        <item h="1" m="1" x="4525"/>
        <item h="1" m="1" x="3894"/>
        <item h="1" m="1" x="3981"/>
        <item h="1" m="1" x="3402"/>
        <item h="1" m="1" x="3948"/>
        <item h="1" m="1" x="3062"/>
        <item h="1" m="1" x="4051"/>
        <item h="1" m="1" x="4052"/>
        <item h="1" m="1" x="4347"/>
        <item h="1" m="1" x="4348"/>
        <item h="1" m="1" x="3542"/>
        <item h="1" m="1" x="4349"/>
        <item h="1" m="1" x="4350"/>
        <item h="1" m="1" x="3719"/>
        <item h="1" m="1" x="4352"/>
        <item h="1" m="1" x="4353"/>
        <item h="1" m="1" x="4014"/>
        <item h="1" m="1" x="4015"/>
        <item h="1" m="1" x="4016"/>
        <item h="1" m="1" x="4009"/>
        <item h="1" m="1" x="4010"/>
        <item h="1" m="1" x="4011"/>
        <item h="1" m="1" x="4012"/>
        <item h="1" m="1" x="4013"/>
        <item h="1" m="1" x="4153"/>
        <item h="1" m="1" x="3570"/>
        <item h="1" m="1" x="3551"/>
        <item h="1" m="1" x="4025"/>
        <item h="1" m="1" x="3850"/>
        <item h="1" m="1" x="3851"/>
        <item h="1" m="1" x="4154"/>
        <item h="1" m="1" x="3314"/>
        <item h="1" m="1" x="3849"/>
        <item h="1" m="1" x="4037"/>
        <item h="1" m="1" x="4034"/>
        <item h="1" m="1" x="4354"/>
        <item h="1" x="66"/>
        <item h="1" m="1" x="3921"/>
        <item h="1" m="1" x="4355"/>
        <item h="1" m="1" x="3670"/>
        <item h="1" m="1" x="3929"/>
        <item h="1" m="1" x="3671"/>
        <item h="1" m="1" x="3931"/>
        <item h="1" m="1" x="4081"/>
        <item h="1" m="1" x="4070"/>
        <item h="1" m="1" x="4198"/>
        <item h="1" m="1" x="4195"/>
        <item h="1" m="1" x="4356"/>
        <item h="1" m="1" x="4265"/>
        <item h="1" m="1" x="4264"/>
        <item h="1" m="1" x="4094"/>
        <item h="1" m="1" x="4357"/>
        <item h="1" m="1" x="4243"/>
        <item h="1" m="1" x="3134"/>
        <item h="1" m="1" x="4301"/>
        <item h="1" m="1" x="3136"/>
        <item h="1" m="1" x="3139"/>
        <item h="1" m="1" x="3173"/>
        <item h="1" m="1" x="3529"/>
        <item h="1" m="1" x="4358"/>
        <item h="1" m="1" x="1354"/>
        <item h="1" m="1" x="4359"/>
        <item h="1" m="1" x="4360"/>
        <item h="1" m="1" x="4361"/>
        <item h="1" m="1" x="4362"/>
        <item h="1" m="1" x="3201"/>
        <item h="1" m="1" x="3315"/>
        <item h="1" m="1" x="4248"/>
        <item h="1" m="1" x="4143"/>
        <item h="1" m="1" x="3205"/>
        <item h="1" m="1" x="3154"/>
        <item h="1" m="1" x="4363"/>
        <item h="1" m="1" x="4364"/>
        <item h="1" m="1" x="4365"/>
        <item h="1" m="1" x="4367"/>
        <item h="1" m="1" x="4368"/>
        <item h="1" m="1" x="3212"/>
        <item h="1" m="1" x="3225"/>
        <item h="1" m="1" x="3231"/>
        <item h="1" m="1" x="3233"/>
        <item h="1" m="1" x="4370"/>
        <item h="1" m="1" x="4213"/>
        <item h="1" m="1" x="4372"/>
        <item h="1" m="1" x="4215"/>
        <item h="1" m="1" x="4294"/>
        <item h="1" m="1" x="4297"/>
        <item h="1" m="1" x="4295"/>
        <item h="1" m="1" x="4293"/>
        <item h="1" m="1" x="4292"/>
        <item h="1" m="1" x="3905"/>
        <item h="1" m="1" x="3534"/>
        <item h="1" m="1" x="4374"/>
        <item h="1" m="1" x="4053"/>
        <item h="1" m="1" x="3941"/>
        <item h="1" x="96"/>
        <item h="1" m="1" x="4008"/>
        <item h="1" m="1" x="3602"/>
        <item h="1" m="1" x="4258"/>
        <item h="1" m="1" x="3123"/>
        <item h="1" m="1" x="4377"/>
        <item h="1" m="1" x="4209"/>
        <item h="1" m="1" x="4280"/>
        <item h="1" m="1" x="315"/>
        <item h="1" m="1" x="4274"/>
        <item h="1" m="1" x="4378"/>
        <item h="1" m="1" x="4379"/>
        <item h="1" m="1" x="4380"/>
        <item h="1" m="1" x="4381"/>
        <item h="1" m="1" x="4382"/>
        <item h="1" m="1" x="4383"/>
        <item h="1" m="1" x="4272"/>
        <item h="1" m="1" x="4273"/>
        <item h="1" m="1" x="4384"/>
        <item h="1" m="1" x="4385"/>
        <item h="1" m="1" x="4296"/>
        <item h="1" m="1" x="4386"/>
        <item h="1" m="1" x="4387"/>
        <item h="1" m="1" x="3881"/>
        <item h="1" m="1" x="1711"/>
        <item h="1" m="1" x="4277"/>
        <item h="1" m="1" x="4278"/>
        <item h="1" m="1" x="4279"/>
        <item h="1" m="1" x="4099"/>
        <item h="1" m="1" x="4281"/>
        <item h="1" m="1" x="4282"/>
        <item h="1" m="1" x="3622"/>
        <item h="1" m="1" x="3468"/>
        <item h="1" m="1" x="3145"/>
        <item h="1" m="1" x="4103"/>
        <item h="1" m="1" x="4283"/>
        <item h="1" m="1" x="3482"/>
        <item h="1" m="1" x="4284"/>
        <item h="1" m="1" x="4286"/>
        <item h="1" m="1" x="4287"/>
        <item h="1" m="1" x="4288"/>
        <item h="1" m="1" x="4289"/>
        <item h="1" m="1" x="4290"/>
        <item h="1" m="1" x="4291"/>
        <item h="1" m="1" x="4298"/>
        <item h="1" m="1" x="4299"/>
        <item h="1" m="1" x="4119"/>
        <item h="1" m="1" x="4300"/>
        <item h="1" m="1" x="3494"/>
        <item h="1" m="1" x="3491"/>
        <item h="1" m="1" x="3655"/>
        <item h="1" m="1" x="3495"/>
        <item h="1" m="1" x="4122"/>
        <item h="1" m="1" x="3920"/>
        <item h="1" m="1" x="3679"/>
        <item h="1" m="1" x="3922"/>
        <item h="1" m="1" x="3235"/>
        <item h="1" m="1" x="3934"/>
        <item h="1" m="1" x="4124"/>
        <item h="1" m="1" x="4302"/>
        <item h="1" m="1" x="3947"/>
        <item h="1" m="1" x="4131"/>
        <item h="1" m="1" x="3943"/>
        <item h="1" m="1" x="4133"/>
        <item h="1" m="1" x="4138"/>
        <item h="1" m="1" x="4139"/>
        <item h="1" m="1" x="4144"/>
        <item h="1" m="1" x="3963"/>
        <item h="1" m="1" x="3955"/>
        <item h="1" m="1" x="3956"/>
        <item h="1" m="1" x="3970"/>
        <item h="1" m="1" x="4304"/>
        <item h="1" m="1" x="4305"/>
        <item h="1" m="1" x="4306"/>
        <item h="1" m="1" x="3823"/>
        <item h="1" m="1" x="4307"/>
        <item h="1" m="1" x="4308"/>
        <item h="1" m="1" x="4309"/>
        <item h="1" m="1" x="3822"/>
        <item h="1" m="1" x="3826"/>
        <item h="1" m="1" x="4226"/>
        <item h="1" m="1" x="3975"/>
        <item h="1" m="1" x="4237"/>
        <item h="1" m="1" x="3988"/>
        <item h="1" m="1" x="4151"/>
        <item h="1" m="1" x="2936"/>
        <item h="1" m="1" x="4311"/>
        <item h="1" m="1" x="4312"/>
        <item h="1" m="1" x="3723"/>
        <item h="1" m="1" x="3729"/>
        <item h="1" m="1" x="4007"/>
        <item h="1" m="1" x="3997"/>
        <item h="1" m="1" x="3855"/>
        <item h="1" m="1" x="4030"/>
        <item h="1" m="1" x="3576"/>
        <item h="1" m="1" x="3094"/>
        <item h="1" m="1" x="4039"/>
        <item h="1" m="1" x="3228"/>
        <item h="1" m="1" x="4313"/>
        <item h="1" m="1" x="4042"/>
        <item h="1" m="1" x="4314"/>
        <item h="1" m="1" x="4172"/>
        <item h="1" m="1" x="3162"/>
        <item h="1" m="1" x="4045"/>
        <item h="1" m="1" x="3460"/>
        <item h="1" m="1" x="2330"/>
        <item h="1" m="1" x="4057"/>
        <item h="1" m="1" x="4073"/>
        <item h="1" m="1" x="4183"/>
        <item h="1" m="1" x="4182"/>
        <item h="1" m="1" x="3601"/>
        <item h="1" m="1" x="4087"/>
        <item h="1" m="1" x="4259"/>
        <item h="1" m="1" x="4260"/>
        <item h="1" m="1" x="4261"/>
        <item h="1" m="1" x="4262"/>
        <item h="1" m="1" x="4093"/>
        <item h="1" m="1" x="3659"/>
        <item h="1" m="1" x="3325"/>
        <item h="1" m="1" x="3798"/>
        <item h="1" m="1" x="3609"/>
        <item h="1" m="1" x="3890"/>
        <item h="1" m="1" x="3891"/>
        <item h="1" m="1" x="1828"/>
        <item h="1" m="1" x="4210"/>
        <item h="1" m="1" x="3186"/>
        <item h="1" m="1" x="3896"/>
        <item h="1" m="1" x="3897"/>
        <item h="1" m="1" x="3898"/>
        <item h="1" m="1" x="3632"/>
        <item h="1" m="1" x="4112"/>
        <item h="1" m="1" x="4211"/>
        <item h="1" m="1" x="3895"/>
        <item h="1" m="1" x="3899"/>
        <item h="1" m="1" x="3155"/>
        <item h="1" m="1" x="3156"/>
        <item h="1" m="1" x="3128"/>
        <item h="1" m="1" x="3147"/>
        <item h="1" m="1" x="3473"/>
        <item h="1" m="1" x="4114"/>
        <item h="1" m="1" x="4214"/>
        <item h="1" m="1" x="4216"/>
        <item h="1" m="1" x="4217"/>
        <item h="1" m="1" x="4219"/>
        <item h="1" m="1" x="2141"/>
        <item h="1" m="1" x="3428"/>
        <item h="1" m="1" x="3429"/>
        <item h="1" m="1" x="3661"/>
        <item h="1" m="1" x="4220"/>
        <item h="1" m="1" x="3914"/>
        <item h="1" m="1" x="3818"/>
        <item h="1" m="1" x="3674"/>
        <item h="1" m="1" x="3927"/>
        <item h="1" m="1" x="3928"/>
        <item h="1" m="1" x="3511"/>
        <item h="1" m="1" x="1150"/>
        <item h="1" m="1" x="4127"/>
        <item h="1" m="1" x="3685"/>
        <item h="1" m="1" x="3698"/>
        <item h="1" m="1" x="4221"/>
        <item h="1" m="1" x="4222"/>
        <item h="1" m="1" x="4223"/>
        <item h="1" m="1" x="4224"/>
        <item h="1" m="1" x="3595"/>
        <item h="1" m="1" x="4147"/>
        <item h="1" m="1" x="3142"/>
        <item h="1" m="1" x="3143"/>
        <item h="1" m="1" x="2203"/>
        <item h="1" m="1" x="2097"/>
        <item h="1" m="1" x="2419"/>
        <item h="1" m="1" x="4239"/>
        <item h="1" m="1" x="4240"/>
        <item h="1" m="1" x="3835"/>
        <item h="1" m="1" x="3989"/>
        <item h="1" m="1" x="3202"/>
        <item h="1" m="1" x="3206"/>
        <item h="1" m="1" x="3207"/>
        <item h="1" m="1" x="3208"/>
        <item h="1" m="1" x="3722"/>
        <item h="1" m="1" x="3998"/>
        <item h="1" m="1" x="4000"/>
        <item h="1" m="1" x="3565"/>
        <item h="1" m="1" x="3732"/>
        <item h="1" m="1" x="3554"/>
        <item h="1" m="1" x="3856"/>
        <item h="1" m="1" x="3553"/>
        <item h="1" m="1" x="3555"/>
        <item h="1" m="1" x="3853"/>
        <item h="1" m="1" x="3459"/>
        <item h="1" m="1" x="3745"/>
        <item h="1" m="1" x="3586"/>
        <item h="1" m="1" x="4168"/>
        <item h="1" m="1" x="3585"/>
        <item h="1" m="1" x="4169"/>
        <item h="1" m="1" x="3159"/>
        <item h="1" m="1" x="3204"/>
        <item h="1" m="1" x="4157"/>
        <item h="1" m="1" x="3169"/>
        <item h="1" m="1" x="4246"/>
        <item h="1" m="1" x="4247"/>
        <item h="1" m="1" x="4160"/>
        <item h="1" m="1" x="4161"/>
        <item h="1" m="1" x="4249"/>
        <item h="1" m="1" x="4250"/>
        <item h="1" m="1" x="4251"/>
        <item h="1" m="1" x="4254"/>
        <item h="1" m="1" x="4255"/>
        <item h="1" m="1" x="4256"/>
        <item h="1" m="1" x="4173"/>
        <item h="1" m="1" x="4065"/>
        <item h="1" m="1" x="4174"/>
        <item h="1" m="1" x="4199"/>
        <item h="1" m="1" x="4186"/>
        <item h="1" m="1" x="4083"/>
        <item h="1" m="1" x="4187"/>
        <item h="1" m="1" x="4188"/>
        <item h="1" m="1" x="4189"/>
        <item h="1" m="1" x="3416"/>
        <item h="1" m="1" x="4266"/>
        <item h="1" m="1" x="4270"/>
        <item h="1" m="1" x="4271"/>
        <item h="1" m="1" x="3610"/>
        <item h="1" m="1" x="4098"/>
        <item h="1" m="1" x="4100"/>
        <item h="1" m="1" x="3889"/>
        <item h="1" m="1" x="4101"/>
        <item h="1" m="1" x="4104"/>
        <item h="1" m="1" x="4105"/>
        <item h="1" m="1" x="4106"/>
        <item h="1" m="1" x="4107"/>
        <item h="1" m="1" x="4110"/>
        <item h="1" m="1" x="4111"/>
        <item h="1" m="1" x="3893"/>
        <item h="1" m="1" x="4113"/>
        <item h="1" m="1" x="3471"/>
        <item h="1" m="1" x="712"/>
        <item h="1" m="1" x="4115"/>
        <item h="1" m="1" x="4116"/>
        <item h="1" m="1" x="4117"/>
        <item h="1" m="1" x="4118"/>
        <item h="1" m="1" x="3427"/>
        <item h="1" m="1" x="3705"/>
        <item h="1" m="1" x="3496"/>
        <item h="1" m="1" x="2144"/>
        <item h="1" m="1" x="2473"/>
        <item h="1" m="1" x="4120"/>
        <item h="1" m="1" x="4121"/>
        <item h="1" m="1" x="3268"/>
        <item h="1" m="1" x="1415"/>
        <item h="1" m="1" x="3926"/>
        <item h="1" m="1" x="3676"/>
        <item h="1" m="1" x="3923"/>
        <item h="1" m="1" x="3925"/>
        <item h="1" m="1" x="2146"/>
        <item h="1" m="1" x="3692"/>
        <item h="1" m="1" x="4141"/>
        <item h="1" m="1" x="4142"/>
        <item h="1" m="1" x="3528"/>
        <item h="1" m="1" x="3967"/>
        <item h="1" m="1" x="3968"/>
        <item h="1" m="1" x="3957"/>
        <item h="1" m="1" x="3958"/>
        <item h="1" m="1" x="3959"/>
        <item h="1" m="1" x="3960"/>
        <item h="1" m="1" x="3973"/>
        <item h="1" m="1" x="3828"/>
        <item h="1" m="1" x="3838"/>
        <item h="1" m="1" x="3543"/>
        <item h="1" m="1" x="3199"/>
        <item h="1" m="1" x="3130"/>
        <item h="1" m="1" x="3457"/>
        <item h="1" m="1" x="3544"/>
        <item h="1" m="1" x="3456"/>
        <item h="1" m="1" x="4152"/>
        <item h="1" m="1" x="3996"/>
        <item h="1" m="1" x="3547"/>
        <item h="1" m="1" x="3548"/>
        <item h="1" m="1" x="4027"/>
        <item h="1" m="1" x="4029"/>
        <item h="1" m="1" x="4155"/>
        <item h="1" m="1" x="4158"/>
        <item h="1" m="1" x="4159"/>
        <item h="1" m="1" x="4162"/>
        <item h="1" m="1" x="4163"/>
        <item h="1" m="1" x="4164"/>
        <item h="1" m="1" x="4166"/>
        <item h="1" m="1" x="3871"/>
        <item h="1" m="1" x="4167"/>
        <item h="1" m="1" x="4170"/>
        <item h="1" m="1" x="2609"/>
        <item h="1" m="1" x="2672"/>
        <item h="1" m="1" x="3584"/>
        <item h="1" m="1" x="3158"/>
        <item h="1" m="1" x="4171"/>
        <item h="1" m="1" x="3211"/>
        <item h="1" m="1" x="4050"/>
        <item h="1" m="1" x="4058"/>
        <item h="1" m="1" x="4059"/>
        <item h="1" m="1" x="3770"/>
        <item h="1" m="1" x="4062"/>
        <item h="1" m="1" x="4060"/>
        <item h="1" m="1" x="4061"/>
        <item h="1" m="1" x="3777"/>
        <item h="1" m="1" x="3776"/>
        <item h="1" m="1" x="4064"/>
        <item h="1" m="1" x="4184"/>
        <item h="1" m="1" x="4185"/>
        <item h="1" m="1" x="4202"/>
        <item h="1" m="1" x="4088"/>
        <item h="1" m="1" x="4203"/>
        <item h="1" m="1" x="4204"/>
        <item h="1" m="1" x="4205"/>
        <item h="1" m="1" x="4206"/>
        <item h="1" m="1" x="4207"/>
        <item h="1" m="1" x="4208"/>
        <item h="1" m="1" x="3616"/>
        <item h="1" m="1" x="3615"/>
        <item h="1" m="1" x="3612"/>
        <item h="1" m="1" x="3613"/>
        <item h="1" m="1" x="3614"/>
        <item h="1" m="1" x="3611"/>
        <item h="1" m="1" x="3800"/>
        <item h="1" m="1" x="3883"/>
        <item h="1" m="1" x="3886"/>
        <item h="1" m="1" x="2035"/>
        <item h="1" m="1" x="409"/>
        <item h="1" m="1" x="3887"/>
        <item h="1" m="1" x="3126"/>
        <item h="1" m="1" x="3888"/>
        <item h="1" m="1" x="3892"/>
        <item h="1" m="1" x="3900"/>
        <item h="1" m="1" x="3285"/>
        <item h="1" m="1" x="3628"/>
        <item h="1" m="1" x="2143"/>
        <item h="1" m="1" x="3901"/>
        <item h="1" m="1" x="3763"/>
        <item h="1" m="1" x="3804"/>
        <item h="1" m="1" x="3806"/>
        <item h="1" m="1" x="3807"/>
        <item h="1" m="1" x="3805"/>
        <item h="1" m="1" x="3902"/>
        <item h="1" m="1" x="3903"/>
        <item h="1" m="1" x="3906"/>
        <item h="1" m="1" x="3907"/>
        <item h="1" m="1" x="3908"/>
        <item h="1" m="1" x="3909"/>
        <item h="1" m="1" x="3910"/>
        <item h="1" m="1" x="3911"/>
        <item h="1" m="1" x="3490"/>
        <item h="1" m="1" x="3912"/>
        <item h="1" m="1" x="3913"/>
        <item h="1" m="1" x="3430"/>
        <item h="1" m="1" x="3272"/>
        <item h="1" m="1" x="3915"/>
        <item h="1" m="1" x="3916"/>
        <item h="1" m="1" x="3917"/>
        <item h="1" m="1" x="3936"/>
        <item h="1" m="1" x="3942"/>
        <item h="1" m="1" x="3684"/>
        <item h="1" m="1" x="3688"/>
        <item h="1" m="1" x="3945"/>
        <item h="1" m="1" x="3946"/>
        <item h="1" m="1" x="3951"/>
        <item h="1" m="1" x="3704"/>
        <item h="1" m="1" x="3962"/>
        <item h="1" m="1" x="3176"/>
        <item h="1" m="1" x="3976"/>
        <item h="1" m="1" x="3977"/>
        <item h="1" m="1" x="3978"/>
        <item h="1" m="1" x="3983"/>
        <item h="1" m="1" x="3984"/>
        <item h="1" m="1" x="3986"/>
        <item h="1" m="1" x="3837"/>
        <item h="1" m="1" x="3829"/>
        <item h="1" m="1" x="3992"/>
        <item h="1" m="1" x="3209"/>
        <item h="1" m="1" x="3455"/>
        <item h="1" m="1" x="4021"/>
        <item h="1" m="1" x="4022"/>
        <item h="1" m="1" x="2324"/>
        <item h="1" m="1" x="3572"/>
        <item h="1" m="1" x="4024"/>
        <item h="1" m="1" x="3573"/>
        <item h="1" m="1" x="3574"/>
        <item h="1" m="1" x="3575"/>
        <item h="1" m="1" x="3058"/>
        <item h="1" m="1" x="3571"/>
        <item h="1" m="1" x="3734"/>
        <item h="1" m="1" x="3568"/>
        <item h="1" m="1" x="3567"/>
        <item h="1" m="1" x="3578"/>
        <item h="1" m="1" x="4040"/>
        <item h="1" m="1" x="1371"/>
        <item h="1" m="1" x="4041"/>
        <item h="1" m="1" x="3735"/>
        <item h="1" m="1" x="1706"/>
        <item h="1" m="1" x="4043"/>
        <item h="1" m="1" x="4044"/>
        <item h="1" m="1" x="3865"/>
        <item h="1" m="1" x="3759"/>
        <item h="1" m="1" x="3588"/>
        <item h="1" m="1" x="3323"/>
        <item h="1" m="1" x="4047"/>
        <item h="1" m="1" x="4074"/>
        <item h="1" m="1" x="4075"/>
        <item h="1" m="1" x="4076"/>
        <item h="1" m="1" x="4077"/>
        <item h="1" m="1" x="4084"/>
        <item h="1" m="1" x="4085"/>
        <item h="1" m="1" x="4086"/>
        <item h="1" m="1" x="4089"/>
        <item h="1" m="1" x="4090"/>
        <item h="1" m="1" x="4092"/>
        <item h="1" m="1" x="3775"/>
        <item h="1" m="1" x="3801"/>
        <item h="1" m="1" x="3802"/>
        <item h="1" m="1" x="3260"/>
        <item h="1" m="1" x="3188"/>
        <item h="1" m="1" x="3261"/>
        <item h="1" m="1" x="3262"/>
        <item h="1" m="1" x="3630"/>
        <item h="1" m="1" x="3803"/>
        <item h="1" m="1" x="3631"/>
        <item h="1" m="1" x="3636"/>
        <item h="1" m="1" x="3637"/>
        <item h="1" m="1" x="3808"/>
        <item h="1" m="1" x="3809"/>
        <item h="1" m="1" x="3623"/>
        <item h="1" m="1" x="3810"/>
        <item h="1" m="1" x="3627"/>
        <item h="1" m="1" x="3470"/>
        <item h="1" m="1" x="3640"/>
        <item h="1" m="1" x="3811"/>
        <item h="1" m="1" x="3812"/>
        <item h="1" m="1" x="3814"/>
        <item h="1" m="1" x="3646"/>
        <item h="1" m="1" x="3493"/>
        <item h="1" m="1" x="2475"/>
        <item h="1" m="1" x="3816"/>
        <item h="1" m="1" x="3666"/>
        <item h="1" m="1" x="3817"/>
        <item h="1" m="1" x="3060"/>
        <item h="1" m="1" x="3505"/>
        <item h="1" m="1" x="3506"/>
        <item h="1" m="1" x="3347"/>
        <item h="1" m="1" x="3672"/>
        <item h="1" m="1" x="3668"/>
        <item h="1" m="1" x="2392"/>
        <item h="1" m="1" x="3819"/>
        <item h="1" m="1" x="2781"/>
        <item h="1" m="1" x="3701"/>
        <item h="1" m="1" x="3820"/>
        <item h="1" m="1" x="3844"/>
        <item h="1" m="1" x="3215"/>
        <item h="1" m="1" x="3821"/>
        <item h="1" m="1" x="1832"/>
        <item h="1" m="1" x="3178"/>
        <item h="1" m="1" x="3177"/>
        <item h="1" m="1" x="3451"/>
        <item h="1" m="1" x="3824"/>
        <item h="1" m="1" x="3825"/>
        <item h="1" m="1" x="3452"/>
        <item h="1" m="1" x="3708"/>
        <item h="1" m="1" x="3107"/>
        <item h="1" m="1" x="3830"/>
        <item h="1" m="1" x="3833"/>
        <item h="1" m="1" x="3834"/>
        <item h="1" m="1" x="3836"/>
        <item h="1" m="1" x="3531"/>
        <item h="1" m="1" x="3224"/>
        <item h="1" m="1" x="3863"/>
        <item h="1" m="1" x="3250"/>
        <item h="1" m="1" x="3129"/>
        <item h="1" m="1" x="3541"/>
        <item h="1" m="1" x="3846"/>
        <item h="1" m="1" x="3724"/>
        <item h="1" m="1" x="3725"/>
        <item h="1" m="1" x="3726"/>
        <item h="1" m="1" x="3550"/>
        <item h="1" m="1" x="3566"/>
        <item h="1" m="1" x="3219"/>
        <item h="1" m="1" x="3858"/>
        <item h="1" m="1" x="3859"/>
        <item h="1" m="1" x="3738"/>
        <item h="1" m="1" x="3860"/>
        <item h="1" m="1" x="3737"/>
        <item h="1" m="1" x="3736"/>
        <item h="1" m="1" x="3862"/>
        <item h="1" m="1" x="3864"/>
        <item h="1" m="1" x="2151"/>
        <item h="1" m="1" x="3866"/>
        <item h="1" m="1" x="2578"/>
        <item h="1" m="1" x="2394"/>
        <item h="1" m="1" x="3750"/>
        <item h="1" m="1" x="3867"/>
        <item h="1" m="1" x="3868"/>
        <item h="1" m="1" x="3869"/>
        <item h="1" m="1" x="3874"/>
        <item h="1" m="1" x="3752"/>
        <item h="1" m="1" x="3761"/>
        <item h="1" m="1" x="3764"/>
        <item h="1" m="1" x="3771"/>
        <item h="1" m="1" x="3870"/>
        <item h="1" m="1" x="3782"/>
        <item h="1" m="1" x="3781"/>
        <item h="1" m="1" x="3872"/>
        <item h="1" m="1" x="3873"/>
        <item h="1" m="1" x="3091"/>
        <item h="1" m="1" x="3876"/>
        <item h="1" m="1" x="3095"/>
        <item h="1" m="1" x="3878"/>
        <item h="1" m="1" x="3799"/>
        <item h="1" m="1" x="3263"/>
        <item h="1" m="1" x="3264"/>
        <item h="1" m="1" x="3621"/>
        <item h="1" m="1" x="2142"/>
        <item h="1" m="1" x="3624"/>
        <item h="1" m="1" x="3625"/>
        <item h="1" m="1" x="3626"/>
        <item h="1" m="1" x="3633"/>
        <item h="1" m="1" x="3481"/>
        <item h="1" m="1" x="3480"/>
        <item h="1" m="1" x="3634"/>
        <item h="1" m="1" x="3635"/>
        <item h="1" m="1" x="3638"/>
        <item h="1" m="1" x="3639"/>
        <item h="1" m="1" x="3289"/>
        <item h="1" m="1" x="3642"/>
        <item h="1" m="1" x="3793"/>
        <item h="1" m="1" x="3643"/>
        <item h="1" m="1" x="3644"/>
        <item h="1" m="1" x="3645"/>
        <item h="1" m="1" x="3647"/>
        <item h="1" m="1" x="3648"/>
        <item h="1" m="1" x="3649"/>
        <item h="1" m="1" x="3650"/>
        <item h="1" m="1" x="3651"/>
        <item h="1" m="1" x="2820"/>
        <item h="1" m="1" x="3652"/>
        <item h="1" m="1" x="3653"/>
        <item h="1" m="1" x="3660"/>
        <item h="1" m="1" x="3500"/>
        <item h="1" m="1" x="3663"/>
        <item h="1" m="1" x="3664"/>
        <item h="1" m="1" x="3665"/>
        <item h="1" m="1" x="3509"/>
        <item h="1" m="1" x="3510"/>
        <item h="1" m="1" x="3502"/>
        <item h="1" m="1" x="3504"/>
        <item h="1" m="1" x="3669"/>
        <item h="1" m="1" x="3794"/>
        <item h="1" m="1" x="3686"/>
        <item h="1" m="1" x="3687"/>
        <item h="1" m="1" x="3689"/>
        <item h="1" m="1" x="3690"/>
        <item h="1" m="1" x="3693"/>
        <item h="1" m="1" x="3694"/>
        <item h="1" m="1" x="3695"/>
        <item h="1" m="1" x="3696"/>
        <item h="1" m="1" x="3697"/>
        <item h="1" m="1" x="3699"/>
        <item h="1" m="1" x="3700"/>
        <item h="1" m="1" x="2655"/>
        <item h="1" m="1" x="3706"/>
        <item h="1" m="1" x="3707"/>
        <item h="1" m="1" x="3709"/>
        <item h="1" m="1" x="3710"/>
        <item h="1" m="1" x="3711"/>
        <item h="1" m="1" x="3713"/>
        <item h="1" m="1" x="3714"/>
        <item h="1" m="1" x="3131"/>
        <item h="1" m="1" x="3257"/>
        <item h="1" m="1" x="3247"/>
        <item h="1" m="1" x="3245"/>
        <item h="1" m="1" x="3715"/>
        <item h="1" m="1" x="2041"/>
        <item h="1" m="1" x="3716"/>
        <item h="1" m="1" x="3717"/>
        <item h="1" m="1" x="3533"/>
        <item h="1" m="1" x="3191"/>
        <item h="1" m="1" x="3537"/>
        <item h="1" m="1" x="3797"/>
        <item h="1" m="1" x="3720"/>
        <item h="1" m="1" x="3721"/>
        <item h="1" m="1" x="3727"/>
        <item h="1" m="1" x="3728"/>
        <item h="1" m="1" x="3730"/>
        <item h="1" m="1" x="3731"/>
        <item h="1" m="1" x="3549"/>
        <item h="1" m="1" x="2147"/>
        <item h="1" m="1" x="811"/>
        <item h="1" m="1" x="3733"/>
        <item h="1" m="1" x="3739"/>
        <item h="1" m="1" x="3740"/>
        <item h="1" m="1" x="3741"/>
        <item h="1" m="1" x="3749"/>
        <item h="1" m="1" x="3751"/>
        <item h="1" m="1" x="3583"/>
        <item h="1" m="1" x="3753"/>
        <item h="1" m="1" x="3754"/>
        <item h="1" m="1" x="3755"/>
        <item h="1" m="1" x="3756"/>
        <item h="1" m="1" x="3757"/>
        <item h="1" m="1" x="3758"/>
        <item h="1" m="1" x="3762"/>
        <item h="1" m="1" x="3214"/>
        <item h="1" m="1" x="3760"/>
        <item h="1" m="1" x="3772"/>
        <item h="1" m="1" x="3774"/>
        <item h="1" m="1" x="3779"/>
        <item h="1" m="1" x="3780"/>
        <item h="1" m="1" x="3783"/>
        <item h="1" m="1" x="3784"/>
        <item h="1" m="1" x="3785"/>
        <item h="1" m="1" x="3786"/>
        <item h="1" m="1" x="3787"/>
        <item h="1" m="1" x="3788"/>
        <item h="1" m="1" x="3790"/>
        <item h="1" m="1" x="3791"/>
        <item h="1" m="1" x="3081"/>
        <item h="1" m="1" x="2926"/>
        <item h="1" m="1" x="3082"/>
        <item h="1" m="1" x="3796"/>
        <item h="1" m="1" x="3267"/>
        <item h="1" m="1" x="2474"/>
        <item h="1" m="1" x="3461"/>
        <item h="1" m="1" x="1903"/>
        <item h="1" m="1" x="856"/>
        <item h="1" m="1" x="752"/>
        <item h="1" m="1" x="3421"/>
        <item h="1" m="1" x="3462"/>
        <item h="1" m="1" x="3463"/>
        <item h="1" m="1" x="3464"/>
        <item h="1" m="1" x="3465"/>
        <item h="1" m="1" x="2393"/>
        <item h="1" m="1" x="3466"/>
        <item h="1" m="1" x="3467"/>
        <item h="1" m="1" x="1744"/>
        <item h="1" m="1" x="3474"/>
        <item h="1" m="1" x="3476"/>
        <item h="1" m="1" x="988"/>
        <item h="1" m="1" x="3478"/>
        <item h="1" x="126"/>
        <item h="1" m="1" x="3479"/>
        <item h="1" m="1" x="3483"/>
        <item h="1" m="1" x="3426"/>
        <item h="1" m="1" x="3484"/>
        <item h="1" m="1" x="3485"/>
        <item h="1" m="1" x="3486"/>
        <item h="1" m="1" x="3487"/>
        <item h="1" m="1" x="3334"/>
        <item h="1" m="1" x="3488"/>
        <item h="1" m="1" x="3489"/>
        <item h="1" m="1" x="3339"/>
        <item h="1" m="1" x="3497"/>
        <item h="1" m="1" x="3498"/>
        <item h="1" m="1" x="3499"/>
        <item h="1" m="1" x="3238"/>
        <item h="1" m="1" x="3140"/>
        <item h="1" m="1" x="3300"/>
        <item h="1" m="1" x="3503"/>
        <item h="1" m="1" x="851"/>
        <item h="1" m="1" x="3438"/>
        <item h="1" m="1" x="3507"/>
        <item h="1" m="1" x="3512"/>
        <item h="1" m="1" x="3213"/>
        <item h="1" m="1" x="3513"/>
        <item h="1" m="1" x="335"/>
        <item h="1" m="1" x="3515"/>
        <item h="1" m="1" x="3025"/>
        <item h="1" m="1" x="3442"/>
        <item h="1" m="1" x="3516"/>
        <item h="1" m="1" x="3517"/>
        <item h="1" m="1" x="3151"/>
        <item h="1" m="1" x="3440"/>
        <item h="1" m="1" x="3441"/>
        <item h="1" m="1" x="3443"/>
        <item h="1" m="1" x="3519"/>
        <item h="1" m="1" x="2029"/>
        <item h="1" m="1" x="3520"/>
        <item h="1" m="1" x="3521"/>
        <item h="1" m="1" x="3523"/>
        <item h="1" m="1" x="3524"/>
        <item h="1" m="1" x="3525"/>
        <item h="1" m="1" x="3526"/>
        <item h="1" m="1" x="2152"/>
        <item h="1" m="1" x="2153"/>
        <item h="1" m="1" x="2148"/>
        <item h="1" m="1" x="2150"/>
        <item h="1" m="1" x="3530"/>
        <item h="1" m="1" x="3017"/>
        <item h="1" m="1" x="3367"/>
        <item h="1" m="1" x="3368"/>
        <item h="1" m="1" x="3532"/>
        <item h="1" m="1" x="3232"/>
        <item h="1" m="1" x="3196"/>
        <item h="1" m="1" x="3197"/>
        <item h="1" m="1" x="3535"/>
        <item h="1" m="1" x="3539"/>
        <item h="1" m="1" x="3540"/>
        <item h="1" m="1" x="3545"/>
        <item h="1" m="1" x="3546"/>
        <item h="1" m="1" x="3556"/>
        <item h="1" m="1" x="3557"/>
        <item h="1" m="1" x="3558"/>
        <item h="1" m="1" x="983"/>
        <item h="1" m="1" x="3560"/>
        <item h="1" m="1" x="3561"/>
        <item h="1" m="1" x="3562"/>
        <item h="1" m="1" x="3563"/>
        <item h="1" m="1" x="3564"/>
        <item h="1" m="1" x="3569"/>
        <item h="1" m="1" x="3579"/>
        <item h="1" m="1" x="3070"/>
        <item h="1" m="1" x="3580"/>
        <item h="1" m="1" x="3581"/>
        <item h="1" m="1" x="3098"/>
        <item h="1" m="1" x="3317"/>
        <item h="1" m="1" x="3582"/>
        <item h="1" m="1" x="3587"/>
        <item h="1" m="1" x="3589"/>
        <item h="1" m="1" x="3590"/>
        <item h="1" m="1" x="3591"/>
        <item h="1" m="1" x="3592"/>
        <item h="1" m="1" x="3593"/>
        <item h="1" m="1" x="3594"/>
        <item h="1" m="1" x="3596"/>
        <item h="1" m="1" x="3597"/>
        <item h="1" m="1" x="3598"/>
        <item h="1" m="1" x="3599"/>
        <item h="1" m="1" x="3600"/>
        <item h="1" m="1" x="3220"/>
        <item h="1" m="1" x="3221"/>
        <item h="1" m="1" x="3603"/>
        <item h="1" m="1" x="3604"/>
        <item h="1" m="1" x="3605"/>
        <item h="1" m="1" x="3606"/>
        <item h="1" m="1" x="3083"/>
        <item h="1" m="1" x="3084"/>
        <item h="1" m="1" x="3195"/>
        <item h="1" m="1" x="3146"/>
        <item h="1" m="1" x="3422"/>
        <item h="1" m="1" x="3243"/>
        <item h="1" m="1" x="3242"/>
        <item h="1" m="1" x="3423"/>
        <item h="1" m="1" x="2195"/>
        <item h="1" m="1" x="1745"/>
        <item h="1" m="1" x="3424"/>
        <item h="1" m="1" x="3425"/>
        <item h="1" m="1" x="3335"/>
        <item h="1" m="1" x="3337"/>
        <item h="1" m="1" x="3432"/>
        <item h="1" m="1" x="3433"/>
        <item h="1" m="1" x="3434"/>
        <item h="1" m="1" x="3340"/>
        <item h="1" m="1" x="3435"/>
        <item h="1" m="1" x="3436"/>
        <item h="1" m="1" x="3437"/>
        <item h="1" m="1" x="3344"/>
        <item h="1" x="83"/>
        <item h="1" m="1" x="2699"/>
        <item h="1" m="1" x="2700"/>
        <item h="1" m="1" x="2698"/>
        <item h="1" m="1" x="3350"/>
        <item h="1" m="1" x="3348"/>
        <item h="1" m="1" x="3439"/>
        <item h="1" m="1" x="3354"/>
        <item h="1" m="1" x="3355"/>
        <item h="1" m="1" x="2510"/>
        <item h="1" m="1" x="3362"/>
        <item h="1" m="1" x="3363"/>
        <item h="1" m="1" x="3444"/>
        <item h="1" m="1" x="3446"/>
        <item h="1" m="1" x="3447"/>
        <item h="1" m="1" x="3304"/>
        <item h="1" m="1" x="3448"/>
        <item h="1" m="1" x="3449"/>
        <item h="1" m="1" x="3450"/>
        <item h="1" m="1" x="2654"/>
        <item h="1" m="1" x="3366"/>
        <item h="1" m="1" x="3273"/>
        <item h="1" m="1" x="3244"/>
        <item h="1" m="1" x="3369"/>
        <item h="1" m="1" x="3370"/>
        <item h="1" m="1" x="3453"/>
        <item h="1" m="1" x="3373"/>
        <item h="1" m="1" x="3454"/>
        <item h="1" m="1" x="3380"/>
        <item h="1" m="1" x="3379"/>
        <item h="1" m="1" x="3053"/>
        <item h="1" m="1" x="3059"/>
        <item h="1" m="1" x="3096"/>
        <item h="1" m="1" x="3387"/>
        <item h="1" x="134"/>
        <item h="1" m="1" x="3391"/>
        <item h="1" m="1" x="3234"/>
        <item h="1" m="1" x="3396"/>
        <item h="1" m="1" x="3399"/>
        <item h="1" m="1" x="3400"/>
        <item h="1" m="1" x="3403"/>
        <item h="1" m="1" x="3408"/>
        <item h="1" m="1" x="3409"/>
        <item h="1" m="1" x="3411"/>
        <item h="1" m="1" x="3417"/>
        <item h="1" m="1" x="3412"/>
        <item h="1" m="1" x="3413"/>
        <item h="1" m="1" x="3076"/>
        <item h="1" m="1" x="3414"/>
        <item h="1" m="1" x="3418"/>
        <item h="1" m="1" x="3419"/>
        <item h="1" m="1" x="3326"/>
        <item h="1" m="1" x="3327"/>
        <item h="1" m="1" x="3258"/>
        <item h="1" m="1" x="3328"/>
        <item h="1" m="1" x="3175"/>
        <item h="1" m="1" x="3227"/>
        <item h="1" m="1" x="2561"/>
        <item h="1" m="1" x="3329"/>
        <item h="1" m="1" x="3330"/>
        <item h="1" m="1" x="3331"/>
        <item h="1" m="1" x="3332"/>
        <item h="1" m="1" x="2760"/>
        <item h="1" m="1" x="3333"/>
        <item h="1" m="1" x="3099"/>
        <item h="1" m="1" x="3100"/>
        <item h="1" m="1" x="3149"/>
        <item h="1" m="1" x="3336"/>
        <item h="1" m="1" x="3338"/>
        <item h="1" m="1" x="2395"/>
        <item h="1" m="1" x="3035"/>
        <item h="1" m="1" x="3341"/>
        <item h="1" m="1" x="3342"/>
        <item h="1" m="1" x="3343"/>
        <item h="1" m="1" x="2070"/>
        <item h="1" m="1" x="3345"/>
        <item h="1" m="1" x="3346"/>
        <item h="1" m="1" x="2703"/>
        <item h="1" m="1" x="3061"/>
        <item h="1" m="1" x="3349"/>
        <item h="1" m="1" x="3351"/>
        <item h="1" m="1" x="3352"/>
        <item h="1" m="1" x="3356"/>
        <item h="1" m="1" x="3357"/>
        <item h="1" m="1" x="3358"/>
        <item h="1" m="1" x="3359"/>
        <item h="1" m="1" x="2592"/>
        <item h="1" m="1" x="3073"/>
        <item h="1" m="1" x="2170"/>
        <item h="1" m="1" x="3364"/>
        <item h="1" m="1" x="3034"/>
        <item h="1" m="1" x="3313"/>
        <item h="1" m="1" x="3182"/>
        <item h="1" m="1" x="3183"/>
        <item h="1" m="1" x="3181"/>
        <item h="1" m="1" x="3371"/>
        <item h="1" m="1" x="3372"/>
        <item h="1" m="1" x="2069"/>
        <item h="1" m="1" x="3019"/>
        <item h="1" m="1" x="3018"/>
        <item h="1" m="1" x="2582"/>
        <item h="1" m="1" x="3210"/>
        <item h="1" m="1" x="3374"/>
        <item h="1" m="1" x="3375"/>
        <item h="1" m="1" x="3376"/>
        <item h="1" m="1" x="3377"/>
        <item h="1" m="1" x="3378"/>
        <item h="1" m="1" x="3382"/>
        <item h="1" m="1" x="2504"/>
        <item h="1" m="1" x="2162"/>
        <item h="1" m="1" x="2681"/>
        <item h="1" m="1" x="2682"/>
        <item h="1" m="1" x="3384"/>
        <item h="1" m="1" x="2400"/>
        <item h="1" m="1" x="3385"/>
        <item h="1" m="1" x="2684"/>
        <item h="1" m="1" x="3386"/>
        <item h="1" x="181"/>
        <item h="1" m="1" x="3388"/>
        <item h="1" m="1" x="2919"/>
        <item h="1" m="1" x="3392"/>
        <item h="1" m="1" x="3393"/>
        <item h="1" m="1" x="1714"/>
        <item h="1" m="1" x="3180"/>
        <item h="1" m="1" x="3395"/>
        <item h="1" m="1" x="3397"/>
        <item h="1" m="1" x="3398"/>
        <item h="1" m="1" x="3401"/>
        <item h="1" m="1" x="3404"/>
        <item h="1" m="1" x="3405"/>
        <item h="1" m="1" x="3406"/>
        <item h="1" m="1" x="3407"/>
        <item h="1" m="1" x="3410"/>
        <item h="1" m="1" x="2155"/>
        <item h="1" m="1" x="2156"/>
        <item h="1" m="1" x="3248"/>
        <item h="1" m="1" x="3230"/>
        <item h="1" m="1" x="3249"/>
        <item h="1" m="1" x="3420"/>
        <item h="1" m="1" x="3278"/>
        <item h="1" m="1" x="3190"/>
        <item h="1" m="1" x="3259"/>
        <item h="1" m="1" x="3279"/>
        <item h="1" m="1" x="3280"/>
        <item h="1" m="1" x="3281"/>
        <item h="1" m="1" x="3282"/>
        <item h="1" m="1" x="3120"/>
        <item h="1" m="1" x="3283"/>
        <item h="1" m="1" x="3119"/>
        <item h="1" m="1" x="3114"/>
        <item h="1" m="1" x="3284"/>
        <item h="1" m="1" x="3101"/>
        <item h="1" m="1" x="3286"/>
        <item h="1" m="1" x="3287"/>
        <item h="1" m="1" x="3288"/>
        <item h="1" m="1" x="2479"/>
        <item h="1" m="1" x="2480"/>
        <item h="1" m="1" x="2481"/>
        <item h="1" m="1" x="3290"/>
        <item h="1" m="1" x="3292"/>
        <item h="1" m="1" x="3256"/>
        <item h="1" m="1" x="3138"/>
        <item h="1" m="1" x="3237"/>
        <item h="1" m="1" x="3036"/>
        <item h="1" m="1" x="3293"/>
        <item h="1" m="1" x="3294"/>
        <item h="1" m="1" x="3295"/>
        <item h="1" m="1" x="2426"/>
        <item h="1" m="1" x="3297"/>
        <item h="1" m="1" x="3298"/>
        <item h="1" m="1" x="2697"/>
        <item h="1" m="1" x="3299"/>
        <item h="1" m="1" x="2706"/>
        <item h="1" m="1" x="2705"/>
        <item h="1" m="1" x="3038"/>
        <item h="1" m="1" x="2478"/>
        <item h="1" m="1" x="3301"/>
        <item h="1" m="1" x="3302"/>
        <item h="1" m="1" x="3026"/>
        <item h="1" m="1" x="3027"/>
        <item h="1" m="1" x="3023"/>
        <item h="1" m="1" x="3193"/>
        <item h="1" m="1" x="1766"/>
        <item h="1" m="1" x="3192"/>
        <item h="1" m="1" x="3226"/>
        <item h="1" m="1" x="3305"/>
        <item h="1" m="1" x="3306"/>
        <item h="1" m="1" x="3307"/>
        <item h="1" m="1" x="3308"/>
        <item h="1" m="1" x="3309"/>
        <item h="1" m="1" x="3310"/>
        <item h="1" m="1" x="3311"/>
        <item h="1" m="1" x="3312"/>
        <item h="1" m="1" x="3171"/>
        <item h="1" m="1" x="3016"/>
        <item h="1" m="1" x="3121"/>
        <item h="1" m="1" x="3105"/>
        <item h="1" m="1" x="3104"/>
        <item h="1" m="1" x="3013"/>
        <item h="1" m="1" x="1727"/>
        <item h="1" m="1" x="3200"/>
        <item h="1" m="1" x="2768"/>
        <item h="1" m="1" x="3054"/>
        <item h="1" m="1" x="3056"/>
        <item h="1" m="1" x="3316"/>
        <item h="1" m="1" x="3165"/>
        <item h="1" m="1" x="3251"/>
        <item h="1" m="1" x="3047"/>
        <item h="1" m="1" x="2159"/>
        <item h="1" m="1" x="2160"/>
        <item h="1" m="1" x="3203"/>
        <item h="1" m="1" x="1959"/>
        <item h="1" m="1" x="3319"/>
        <item h="1" m="1" x="3320"/>
        <item h="1" m="1" x="3321"/>
        <item h="1" m="1" x="3322"/>
        <item h="1" m="1" x="3020"/>
        <item h="1" m="1" x="3068"/>
        <item h="1" m="1" x="3067"/>
        <item h="1" m="1" x="3066"/>
        <item h="1" m="1" x="3089"/>
        <item h="1" m="1" x="3324"/>
        <item h="1" m="1" x="3080"/>
        <item h="1" m="1" x="3216"/>
        <item h="1" m="1" x="3014"/>
        <item h="1" m="1" x="2630"/>
        <item h="1" m="1" x="3021"/>
        <item h="1" m="1" x="3022"/>
        <item h="1" m="1" x="3024"/>
        <item h="1" m="1" x="3029"/>
        <item h="1" m="1" x="3030"/>
        <item h="1" m="1" x="3031"/>
        <item h="1" m="1" x="3032"/>
        <item h="1" m="1" x="3033"/>
        <item h="1" m="1" x="3037"/>
        <item h="1" m="1" x="3039"/>
        <item h="1" m="1" x="3041"/>
        <item h="1" m="1" x="3042"/>
        <item h="1" m="1" x="2795"/>
        <item h="1" m="1" x="3043"/>
        <item h="1" m="1" x="3045"/>
        <item h="1" m="1" x="3046"/>
        <item h="1" m="1" x="2158"/>
        <item h="1" m="1" x="3048"/>
        <item h="1" m="1" x="2581"/>
        <item h="1" m="1" x="3050"/>
        <item h="1" m="1" x="3052"/>
        <item h="1" m="1" x="2683"/>
        <item h="1" m="1" x="2401"/>
        <item h="1" m="1" x="2163"/>
        <item h="1" m="1" x="2202"/>
        <item h="1" x="53"/>
        <item h="1" m="1" x="2704"/>
        <item h="1" m="1" x="3063"/>
        <item h="1" m="1" x="3065"/>
        <item h="1" m="1" x="3069"/>
        <item h="1" m="1" x="3071"/>
        <item h="1" m="1" x="3074"/>
        <item h="1" m="1" x="2402"/>
        <item h="1" m="1" x="3075"/>
        <item h="1" m="1" x="2721"/>
        <item h="1" m="1" x="3078"/>
        <item h="1" m="1" x="3079"/>
        <item h="1" m="1" x="3086"/>
        <item h="1" m="1" x="3088"/>
        <item h="1" m="1" x="3090"/>
        <item h="1" m="1" x="2477"/>
        <item h="1" m="1" x="3092"/>
        <item h="1" m="1" x="3093"/>
        <item h="1" m="1" x="3097"/>
        <item h="1" m="1" x="3102"/>
        <item h="1" m="1" x="3103"/>
        <item h="1" m="1" x="2602"/>
        <item h="1" m="1" x="3106"/>
        <item h="1" m="1" x="3108"/>
        <item h="1" m="1" x="3109"/>
        <item h="1" m="1" x="3110"/>
        <item h="1" m="1" x="3111"/>
        <item h="1" m="1" x="3112"/>
        <item h="1" m="1" x="2604"/>
        <item h="1" m="1" x="3115"/>
        <item h="1" m="1" x="3116"/>
        <item h="1" m="1" x="3124"/>
        <item h="1" m="1" x="3127"/>
        <item h="1" m="1" x="3135"/>
        <item h="1" m="1" x="3150"/>
        <item h="1" m="1" x="3152"/>
        <item h="1" m="1" x="3157"/>
        <item h="1" m="1" x="3179"/>
        <item h="1" m="1" x="3187"/>
        <item h="1" m="1" x="3189"/>
        <item h="1" m="1" x="2756"/>
        <item h="1" m="1" x="3246"/>
        <item h="1" m="1" x="3252"/>
        <item h="1" m="1" x="3253"/>
        <item h="1" m="1" x="2950"/>
        <item h="1" m="1" x="2849"/>
        <item h="1" m="1" x="3254"/>
        <item h="1" m="1" x="3255"/>
        <item h="1" m="1" x="3265"/>
        <item h="1" m="1" x="3269"/>
        <item h="1" m="1" x="3270"/>
        <item h="1" m="1" x="1367"/>
        <item h="1" m="1" x="3271"/>
        <item h="1" m="1" x="2391"/>
        <item h="1" m="1" x="2390"/>
        <item h="1" m="1" x="2771"/>
        <item h="1" m="1" x="3276"/>
        <item h="1" m="1" x="3277"/>
        <item h="1" m="1" x="2406"/>
        <item h="1" m="1" x="2911"/>
        <item h="1" m="1" x="2482"/>
        <item h="1" m="1" x="2774"/>
        <item h="1" m="1" x="2638"/>
        <item h="1" m="1" x="2639"/>
        <item h="1" m="1" x="2914"/>
        <item h="1" m="1" x="2786"/>
        <item h="1" m="1" x="2915"/>
        <item h="1" m="1" x="2777"/>
        <item h="1" m="1" x="2780"/>
        <item h="1" m="1" x="2782"/>
        <item h="1" m="1" x="2783"/>
        <item h="1" m="1" x="2916"/>
        <item h="1" m="1" x="2917"/>
        <item h="1" m="1" x="2657"/>
        <item h="1" m="1" x="2397"/>
        <item h="1" m="1" x="2568"/>
        <item h="1" m="1" x="2569"/>
        <item h="1" m="1" x="2396"/>
        <item h="1" m="1" x="2790"/>
        <item h="1" m="1" x="2792"/>
        <item h="1" m="1" x="2659"/>
        <item h="1" m="1" x="2405"/>
        <item h="1" m="1" x="2398"/>
        <item h="1" m="1" x="2572"/>
        <item h="1" m="1" x="2399"/>
        <item h="1" m="1" x="2663"/>
        <item h="1" m="1" x="2573"/>
        <item h="1" m="1" x="2921"/>
        <item h="1" m="1" x="2922"/>
        <item h="1" m="1" x="2674"/>
        <item h="1" m="1" x="2675"/>
        <item h="1" m="1" x="2676"/>
        <item h="1" m="1" x="2680"/>
        <item h="1" m="1" x="2801"/>
        <item h="1" m="1" x="2161"/>
        <item h="1" m="1" x="2686"/>
        <item h="1" m="1" x="2696"/>
        <item h="1" m="1" x="2923"/>
        <item h="1" m="1" x="2456"/>
        <item h="1" m="1" x="2925"/>
        <item h="1" m="1" x="2719"/>
        <item h="1" m="1" x="2164"/>
        <item h="1" m="1" x="2927"/>
        <item h="1" m="1" x="2723"/>
        <item h="1" m="1" x="2814"/>
        <item h="1" m="1" x="2815"/>
        <item h="1" m="1" x="2928"/>
        <item h="1" m="1" x="2597"/>
        <item h="1" m="1" x="1902"/>
        <item h="1" m="1" x="2599"/>
        <item h="1" m="1" x="2600"/>
        <item h="1" m="1" x="2929"/>
        <item h="1" m="1" x="2930"/>
        <item h="1" m="1" x="2931"/>
        <item h="1" m="1" x="2932"/>
        <item h="1" m="1" x="2933"/>
        <item h="1" m="1" x="2934"/>
        <item h="1" m="1" x="2935"/>
        <item h="1" m="1" x="2826"/>
        <item h="1" m="1" x="2825"/>
        <item h="1" m="1" x="2823"/>
        <item h="1" m="1" x="2824"/>
        <item h="1" m="1" x="2937"/>
        <item h="1" m="1" x="777"/>
        <item h="1" m="1" x="2938"/>
        <item h="1" m="1" x="2939"/>
        <item h="1" m="1" x="2940"/>
        <item h="1" m="1" x="1718"/>
        <item h="1" m="1" x="1798"/>
        <item h="1" m="1" x="2942"/>
        <item h="1" m="1" x="2943"/>
        <item h="1" m="1" x="2944"/>
        <item h="1" m="1" x="2166"/>
        <item h="1" m="1" x="1739"/>
        <item h="1" m="1" x="2754"/>
        <item h="1" m="1" x="2167"/>
        <item h="1" m="1" x="2945"/>
        <item h="1" m="1" x="2168"/>
        <item h="1" m="1" x="2946"/>
        <item h="1" m="1" x="1777"/>
        <item h="1" m="1" x="2947"/>
        <item h="1" m="1" x="1762"/>
        <item h="1" m="1" x="2843"/>
        <item h="1" m="1" x="2844"/>
        <item h="1" m="1" x="2948"/>
        <item h="1" m="1" x="2949"/>
        <item h="1" m="1" x="2169"/>
        <item h="1" m="1" x="1812"/>
        <item h="1" m="1" x="2414"/>
        <item h="1" m="1" x="295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892"/>
        <item h="1" m="1" x="2893"/>
        <item h="1" m="1" x="2894"/>
        <item h="1" m="1" x="2959"/>
        <item h="1" m="1" x="2960"/>
        <item h="1" m="1" x="2961"/>
        <item h="1" m="1" x="2962"/>
        <item h="1" m="1" x="2874"/>
        <item h="1" m="1" x="2875"/>
        <item h="1" m="1" x="2963"/>
        <item h="1" m="1" x="2964"/>
        <item h="1" m="1" x="2965"/>
        <item h="1" m="1" x="2966"/>
        <item h="1" m="1" x="2967"/>
        <item h="1" m="1" x="2968"/>
        <item h="1" m="1" x="2969"/>
        <item h="1" m="1" x="2897"/>
        <item h="1" m="1" x="2970"/>
        <item h="1" m="1" x="1912"/>
        <item h="1" m="1" x="2971"/>
        <item h="1" m="1" x="2972"/>
        <item h="1" m="1" x="2973"/>
        <item h="1" m="1" x="2974"/>
        <item h="1" m="1" x="288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895"/>
        <item h="1" m="1" x="2904"/>
        <item h="1" m="1" x="2983"/>
        <item h="1" m="1" x="2881"/>
        <item h="1" m="1" x="2883"/>
        <item h="1" m="1" x="2984"/>
        <item h="1" m="1" x="2885"/>
        <item h="1" m="1" x="2891"/>
        <item h="1" m="1" x="2985"/>
        <item h="1" m="1" x="2906"/>
        <item h="1" m="1" x="2856"/>
        <item h="1" m="1" x="2859"/>
        <item h="1" m="1" x="2860"/>
        <item h="1" m="1" x="2986"/>
        <item h="1" m="1" x="2987"/>
        <item h="1" m="1" x="2879"/>
        <item h="1" m="1" x="2880"/>
        <item h="1" m="1" x="2888"/>
        <item h="1" m="1" x="2882"/>
        <item h="1" m="1" x="2878"/>
        <item h="1" m="1" x="2988"/>
        <item h="1" m="1" x="2989"/>
        <item h="1" m="1" x="2990"/>
        <item h="1" m="1" x="2896"/>
        <item h="1" m="1" x="2991"/>
        <item h="1" m="1" x="2992"/>
        <item h="1" m="1" x="2876"/>
        <item h="1" m="1" x="2877"/>
        <item h="1" m="1" x="2873"/>
        <item h="1" m="1" x="2993"/>
        <item h="1" m="1" x="2994"/>
        <item h="1" m="1" x="2995"/>
        <item h="1" m="1" x="2996"/>
        <item h="1" m="1" x="2997"/>
        <item h="1" m="1" x="2998"/>
        <item h="1" m="1" x="2861"/>
        <item h="1" m="1" x="2863"/>
        <item h="1" m="1" x="2867"/>
        <item h="1" m="1" x="2866"/>
        <item h="1" m="1" x="2865"/>
        <item h="1" m="1" x="2864"/>
        <item h="1" m="1" x="2871"/>
        <item h="1" m="1" x="2902"/>
        <item h="1" m="1" x="2903"/>
        <item h="1" m="1" x="3000"/>
        <item h="1" m="1" x="3001"/>
        <item h="1" m="1" x="3002"/>
        <item h="1" m="1" x="3003"/>
        <item h="1" m="1" x="3004"/>
        <item h="1" m="1" x="2870"/>
        <item h="1" m="1" x="2898"/>
        <item h="1" m="1" x="2899"/>
        <item h="1" m="1" x="2900"/>
        <item h="1" m="1" x="2901"/>
        <item h="1" m="1" x="2887"/>
        <item h="1" m="1" x="2889"/>
        <item h="1" m="1" x="2890"/>
        <item h="1" m="1" x="3005"/>
        <item h="1" m="1" x="3006"/>
        <item h="1" m="1" x="3007"/>
        <item h="1" m="1" x="3008"/>
        <item h="1" m="1" x="3009"/>
        <item h="1" m="1" x="3010"/>
        <item h="1" m="1" x="2905"/>
        <item h="1" m="1" x="2886"/>
        <item h="1" m="1" x="2868"/>
        <item h="1" m="1" x="2862"/>
        <item h="1" m="1" x="2869"/>
        <item h="1" m="1" x="1859"/>
        <item h="1" m="1" x="3011"/>
        <item h="1" m="1" x="2174"/>
        <item h="1" m="1" x="2908"/>
        <item h="1" m="1" x="3012"/>
        <item h="1" m="1" x="2626"/>
        <item h="1" m="1" x="2627"/>
        <item h="1" m="1" x="2636"/>
        <item h="1" m="1" x="2483"/>
        <item h="1" m="1" x="2629"/>
        <item h="1" m="1" x="2407"/>
        <item h="1" m="1" x="2641"/>
        <item h="1" m="1" x="2175"/>
        <item h="1" m="1" x="2775"/>
        <item h="1" m="1" x="2776"/>
        <item h="1" m="1" x="2784"/>
        <item h="1" m="1" x="2785"/>
        <item h="1" m="1" x="2650"/>
        <item h="1" m="1" x="2647"/>
        <item h="1" m="1" x="2648"/>
        <item h="1" m="1" x="2649"/>
        <item h="1" m="1" x="2644"/>
        <item h="1" m="1" x="2653"/>
        <item h="1" m="1" x="2249"/>
        <item h="1" m="1" x="2788"/>
        <item h="1" m="1" x="2656"/>
        <item h="1" m="1" x="2048"/>
        <item h="1" m="1" x="2791"/>
        <item h="1" m="1" x="2658"/>
        <item h="1" m="1" x="2793"/>
        <item h="1" m="1" x="2794"/>
        <item h="1" m="1" x="2664"/>
        <item h="1" m="1" x="2409"/>
        <item h="1" m="1" x="2666"/>
        <item h="1" m="1" x="2485"/>
        <item h="1" m="1" x="2668"/>
        <item h="1" m="1" x="2576"/>
        <item h="1" m="1" x="2796"/>
        <item h="1" m="1" x="2701"/>
        <item h="1" m="1" x="2702"/>
        <item h="1" m="1" x="2584"/>
        <item h="1" m="1" x="2797"/>
        <item h="1" m="1" x="2800"/>
        <item h="1" m="1" x="2803"/>
        <item h="1" m="1" x="2178"/>
        <item h="1" m="1" x="2689"/>
        <item h="1" m="1" x="2690"/>
        <item h="1" m="1" x="2693"/>
        <item h="1" m="1" x="2694"/>
        <item h="1" m="1" x="2695"/>
        <item h="1" m="1" x="2411"/>
        <item h="1" m="1" x="2673"/>
        <item h="1" m="1" x="2708"/>
        <item h="1" m="1" x="2805"/>
        <item h="1" m="1" x="2806"/>
        <item h="1" m="1" x="2807"/>
        <item h="1" m="1" x="2183"/>
        <item h="1" m="1" x="2808"/>
        <item h="1" m="1" x="2710"/>
        <item h="1" m="1" x="2809"/>
        <item h="1" m="1" x="2711"/>
        <item h="1" m="1" x="2593"/>
        <item h="1" m="1" x="2720"/>
        <item h="1" m="1" x="1666"/>
        <item h="1" m="1" x="2812"/>
        <item h="1" m="1" x="2712"/>
        <item h="1" m="1" x="2813"/>
        <item h="1" m="1" x="2726"/>
        <item h="1" m="1" x="2725"/>
        <item h="1" m="1" x="2724"/>
        <item h="1" m="1" x="2816"/>
        <item h="1" m="1" x="2817"/>
        <item h="1" m="1" x="1689"/>
        <item h="1" m="1" x="2486"/>
        <item h="1" m="1" x="2818"/>
        <item h="1" m="1" x="2819"/>
        <item h="1" m="1" x="2598"/>
        <item h="1" m="1" x="2185"/>
        <item h="1" m="1" x="2601"/>
        <item h="1" m="1" x="2731"/>
        <item h="1" m="1" x="2732"/>
        <item h="1" m="1" x="2733"/>
        <item h="1" m="1" x="2412"/>
        <item h="1" m="1" x="2821"/>
        <item h="1" m="1" x="2822"/>
        <item h="1" m="1" x="2740"/>
        <item h="1" m="1" x="2739"/>
        <item h="1" m="1" x="1907"/>
        <item h="1" m="1" x="1905"/>
        <item h="1" m="1" x="2827"/>
        <item h="1" m="1" x="1707"/>
        <item h="1" m="1" x="1712"/>
        <item h="1" m="1" x="1710"/>
        <item h="1" m="1" x="2186"/>
        <item h="1" m="1" x="2828"/>
        <item h="1" m="1" x="2829"/>
        <item h="1" m="1" x="2830"/>
        <item h="1" m="1" x="2487"/>
        <item h="1" m="1" x="2188"/>
        <item h="1" m="1" x="2749"/>
        <item h="1" m="1" x="2831"/>
        <item h="1" m="1" x="2832"/>
        <item h="1" m="1" x="2192"/>
        <item h="1" m="1" x="2833"/>
        <item h="1" m="1" x="2834"/>
        <item h="1" m="1" x="1746"/>
        <item h="1" m="1" x="2490"/>
        <item h="1" m="1" x="2491"/>
        <item h="1" m="1" x="2617"/>
        <item h="1" m="1" x="2193"/>
        <item h="1" m="1" x="1755"/>
        <item h="1" m="1" x="1757"/>
        <item h="1" m="1" x="1758"/>
        <item h="1" m="1" x="2488"/>
        <item h="1" m="1" x="2191"/>
        <item h="1" m="1" x="2194"/>
        <item h="1" m="1" x="2835"/>
        <item h="1" m="1" x="2608"/>
        <item h="1" m="1" x="2836"/>
        <item h="1" m="1" x="2489"/>
        <item h="1" m="1" x="2190"/>
        <item h="1" m="1" x="2837"/>
        <item h="1" m="1" x="2838"/>
        <item h="1" m="1" x="2839"/>
        <item h="1" m="1" x="2840"/>
        <item h="1" m="1" x="1764"/>
        <item h="1" m="1" x="1778"/>
        <item h="1" m="1" x="1724"/>
        <item h="1" m="1" x="2841"/>
        <item h="1" m="1" x="2842"/>
        <item h="1" m="1" x="1904"/>
        <item h="1" m="1" x="2845"/>
        <item h="1" m="1" x="1820"/>
        <item h="1" m="1" x="1818"/>
        <item h="1" m="1" x="1825"/>
        <item h="1" m="1" x="2846"/>
        <item h="1" m="1" x="2847"/>
        <item h="1" m="1" x="1106"/>
        <item h="1" m="1" x="2848"/>
        <item h="1" m="1" x="2850"/>
        <item h="1" m="1" x="2851"/>
        <item h="1" m="1" x="2852"/>
        <item h="1" m="1" x="2853"/>
        <item h="1" m="1" x="2854"/>
        <item h="1" m="1" x="2855"/>
        <item h="1" m="1" x="1911"/>
        <item h="1" m="1" x="2766"/>
        <item h="1" m="1" x="2907"/>
        <item h="1" m="1" x="2769"/>
        <item h="1" m="1" x="2770"/>
        <item h="1" m="1" x="2492"/>
        <item h="1" m="1" x="2910"/>
        <item h="1" m="1" x="2628"/>
        <item h="1" m="1" x="2201"/>
        <item h="1" m="1" x="2637"/>
        <item h="1" m="1" x="2640"/>
        <item h="1" m="1" x="2642"/>
        <item h="1" m="1" x="2643"/>
        <item h="1" m="1" x="2645"/>
        <item h="1" m="1" x="2205"/>
        <item h="1" m="1" x="2651"/>
        <item h="1" m="1" x="2566"/>
        <item h="1" m="1" x="2652"/>
        <item h="1" m="1" x="2176"/>
        <item h="1" m="1" x="2494"/>
        <item h="1" m="1" x="2660"/>
        <item h="1" m="1" x="2210"/>
        <item h="1" m="1" x="2661"/>
        <item h="1" m="1" x="2665"/>
        <item h="1" m="1" x="2577"/>
        <item h="1" m="1" x="2585"/>
        <item h="1" m="1" x="2677"/>
        <item h="1" m="1" x="2678"/>
        <item h="1" m="1" x="2679"/>
        <item h="1" m="1" x="2181"/>
        <item h="1" m="1" x="2179"/>
        <item h="1" m="1" x="2685"/>
        <item h="1" m="1" x="2410"/>
        <item h="1" m="1" x="2688"/>
        <item h="1" m="1" x="2180"/>
        <item h="1" m="1" x="2692"/>
        <item h="1" m="1" x="2707"/>
        <item h="1" x="145"/>
        <item h="1" m="1" x="2713"/>
        <item h="1" m="1" x="2714"/>
        <item h="1" m="1" x="2715"/>
        <item h="1" m="1" x="2716"/>
        <item h="1" m="1" x="2717"/>
        <item h="1" m="1" x="2718"/>
        <item h="1" x="85"/>
        <item h="1" m="1" x="2184"/>
        <item h="1" m="1" x="2722"/>
        <item h="1" m="1" x="2727"/>
        <item h="1" m="1" x="2728"/>
        <item h="1" m="1" x="2435"/>
        <item h="1" m="1" x="2729"/>
        <item h="1" m="1" x="2730"/>
        <item h="1" m="1" x="2413"/>
        <item h="1" m="1" x="2734"/>
        <item h="1" m="1" x="2735"/>
        <item h="1" m="1" x="2736"/>
        <item h="1" m="1" x="2737"/>
        <item h="1" m="1" x="1908"/>
        <item h="1" m="1" x="2738"/>
        <item h="1" m="1" x="2603"/>
        <item h="1" m="1" x="2605"/>
        <item h="1" m="1" x="1906"/>
        <item h="1" m="1" x="2741"/>
        <item h="1" m="1" x="2742"/>
        <item h="1" m="1" x="1732"/>
        <item h="1" m="1" x="2744"/>
        <item h="1" m="1" x="2187"/>
        <item h="1" m="1" x="2745"/>
        <item h="1" m="1" x="2746"/>
        <item h="1" m="1" x="2747"/>
        <item h="1" m="1" x="2748"/>
        <item h="1" m="1" x="2527"/>
        <item h="1" m="1" x="1742"/>
        <item h="1" m="1" x="2277"/>
        <item h="1" m="1" x="2750"/>
        <item h="1" m="1" x="2751"/>
        <item h="1" m="1" x="2752"/>
        <item h="1" m="1" x="2753"/>
        <item h="1" m="1" x="2611"/>
        <item h="1" m="1" x="1795"/>
        <item h="1" m="1" x="1928"/>
        <item h="1" m="1" x="2755"/>
        <item h="1" m="1" x="2189"/>
        <item h="1" m="1" x="2196"/>
        <item h="1" m="1" x="2757"/>
        <item h="1" m="1" x="2758"/>
        <item h="1" m="1" x="2198"/>
        <item h="1" m="1" x="2284"/>
        <item h="1" m="1" x="2761"/>
        <item h="1" m="1" x="1849"/>
        <item h="1" m="1" x="2762"/>
        <item h="1" m="1" x="2763"/>
        <item h="1" m="1" x="2764"/>
        <item h="1" m="1" x="1913"/>
        <item h="1" m="1" x="1937"/>
        <item h="1" m="1" x="1936"/>
        <item h="1" m="1" x="2530"/>
        <item h="1" m="1" x="2767"/>
        <item h="1" m="1" x="2493"/>
        <item h="1" m="1" x="2560"/>
        <item h="1" m="1" x="2562"/>
        <item h="1" m="1" x="2563"/>
        <item h="1" m="1" x="2564"/>
        <item h="1" m="1" x="2570"/>
        <item h="1" m="1" x="2209"/>
        <item h="1" m="1" x="2427"/>
        <item h="1" m="1" x="2498"/>
        <item h="1" m="1" x="2575"/>
        <item h="1" m="1" x="2221"/>
        <item h="1" m="1" x="2583"/>
        <item h="1" m="1" x="2500"/>
        <item h="1" m="1" x="2501"/>
        <item h="1" m="1" x="2586"/>
        <item h="1" m="1" x="2587"/>
        <item h="1" m="1" x="2588"/>
        <item h="1" m="1" x="2589"/>
        <item h="1" m="1" x="2590"/>
        <item h="1" m="1" x="982"/>
        <item h="1" m="1" x="2428"/>
        <item h="1" m="1" x="2591"/>
        <item h="1" m="1" x="2509"/>
        <item h="1" m="1" x="2515"/>
        <item h="1" m="1" x="2241"/>
        <item h="1" m="1" x="2242"/>
        <item h="1" m="1" x="2244"/>
        <item h="1" m="1" x="2257"/>
        <item h="1" m="1" x="2258"/>
        <item h="1" m="1" x="2259"/>
        <item h="1" m="1" x="2263"/>
        <item h="1" m="1" x="2254"/>
        <item h="1" m="1" x="2594"/>
        <item h="1" m="1" x="2516"/>
        <item h="1" m="1" x="2596"/>
        <item h="1" m="1" x="1922"/>
        <item h="1" m="1" x="2271"/>
        <item h="1" m="1" x="2269"/>
        <item h="1" m="1" x="2270"/>
        <item h="1" m="1" x="2272"/>
        <item h="1" m="1" x="2606"/>
        <item h="1" m="1" x="2607"/>
        <item h="1" m="1" x="2279"/>
        <item h="1" m="1" x="2523"/>
        <item h="1" m="1" x="2610"/>
        <item h="1" m="1" x="1726"/>
        <item h="1" m="1" x="1749"/>
        <item h="1" m="1" x="2612"/>
        <item h="1" m="1" x="2613"/>
        <item h="1" m="1" x="1910"/>
        <item h="1" m="1" x="2614"/>
        <item h="1" m="1" x="2615"/>
        <item h="1" m="1" x="2616"/>
        <item h="1" m="1" x="1776"/>
        <item h="1" m="1" x="1774"/>
        <item h="1" m="1" x="1775"/>
        <item h="1" m="1" x="2524"/>
        <item h="1" m="1" x="2526"/>
        <item h="1" m="1" x="2525"/>
        <item h="1" x="44"/>
        <item h="1" m="1" x="2618"/>
        <item h="1" m="1" x="1836"/>
        <item h="1" m="1" x="2619"/>
        <item h="1" m="1" x="2620"/>
        <item h="1" m="1" x="2286"/>
        <item h="1" m="1" x="2287"/>
        <item h="1" m="1" x="1846"/>
        <item h="1" m="1" x="2531"/>
        <item h="1" m="1" x="2621"/>
        <item h="1" m="1" x="2622"/>
        <item h="1" m="1" x="1869"/>
        <item h="1" m="1" x="2623"/>
        <item h="1" m="1" x="804"/>
        <item h="1" m="1" x="1847"/>
        <item h="1" m="1" x="2416"/>
        <item h="1" m="1" x="2204"/>
        <item h="1" m="1" x="2495"/>
        <item h="1" m="1" x="2496"/>
        <item h="1" m="1" x="2220"/>
        <item h="1" m="1" x="2499"/>
        <item h="1" m="1" x="2503"/>
        <item h="1" m="1" x="2434"/>
        <item h="1" m="1" x="2430"/>
        <item h="1" m="1" x="2230"/>
        <item h="1" m="1" x="2231"/>
        <item h="1" m="1" x="2432"/>
        <item h="1" m="1" x="2433"/>
        <item h="1" m="1" x="2248"/>
        <item h="1" m="1" x="2507"/>
        <item h="1" m="1" x="2508"/>
        <item h="1" m="1" x="2511"/>
        <item h="1" m="1" x="2512"/>
        <item h="1" m="1" x="2513"/>
        <item h="1" m="1" x="2264"/>
        <item h="1" m="1" x="2517"/>
        <item h="1" m="1" x="2518"/>
        <item h="1" m="1" x="2519"/>
        <item h="1" m="1" x="2520"/>
        <item h="1" m="1" x="2521"/>
        <item h="1" m="1" x="2522"/>
        <item h="1" m="1" x="2280"/>
        <item h="1" m="1" x="2528"/>
        <item h="1" m="1" x="2438"/>
        <item h="1" m="1" x="2285"/>
        <item h="1" m="1" x="1560"/>
        <item h="1" m="1" x="2529"/>
        <item h="1" m="1" x="2532"/>
        <item h="1" m="1" x="2533"/>
        <item h="1" m="1" x="2534"/>
        <item h="1" m="1" x="2535"/>
        <item h="1" m="1" x="2293"/>
        <item h="1" m="1" x="2422"/>
        <item h="1" m="1" x="2418"/>
        <item h="1" m="1" x="2420"/>
        <item h="1" m="1" x="2421"/>
        <item h="1" m="1" x="2212"/>
        <item h="1" m="1" x="2536"/>
        <item h="1" m="1" x="2206"/>
        <item h="1" m="1" x="2537"/>
        <item h="1" m="1" x="2538"/>
        <item h="1" m="1" x="2431"/>
        <item h="1" m="1" x="2539"/>
        <item h="1" m="1" x="2540"/>
        <item h="1" m="1" x="2541"/>
        <item h="1" m="1" x="2245"/>
        <item h="1" m="1" x="2243"/>
        <item h="1" m="1" x="2240"/>
        <item h="1" m="1" x="2542"/>
        <item h="1" m="1" x="2543"/>
        <item h="1" m="1" x="2544"/>
        <item h="1" m="1" x="2261"/>
        <item h="1" m="1" x="1923"/>
        <item h="1" m="1" x="2545"/>
        <item h="1" m="1" x="2546"/>
        <item h="1" m="1" x="2547"/>
        <item h="1" m="1" x="2548"/>
        <item h="1" m="1" x="2549"/>
        <item h="1" m="1" x="2551"/>
        <item h="1" m="1" x="2552"/>
        <item h="1" m="1" x="2553"/>
        <item h="1" m="1" x="2554"/>
        <item h="1" m="1" x="1731"/>
        <item h="1" m="1" x="1821"/>
        <item h="1" m="1" x="2288"/>
        <item h="1" m="1" x="1938"/>
        <item h="1" m="1" x="1939"/>
        <item h="1" m="1" x="2557"/>
        <item h="1" m="1" x="1861"/>
        <item h="1" m="1" x="2558"/>
        <item h="1" m="1" x="2207"/>
        <item h="1" m="1" x="2423"/>
        <item h="1" m="1" x="2213"/>
        <item h="1" m="1" x="2425"/>
        <item h="1" m="1" x="2223"/>
        <item h="1" m="1" x="2224"/>
        <item h="1" m="1" x="2429"/>
        <item h="1" m="1" x="2247"/>
        <item h="1" m="1" x="2253"/>
        <item h="1" m="1" x="2260"/>
        <item h="1" m="1" x="2267"/>
        <item h="1" m="1" x="2268"/>
        <item h="1" m="1" x="1802"/>
        <item h="1" m="1" x="2278"/>
        <item h="1" m="1" x="2436"/>
        <item h="1" m="1" x="2282"/>
        <item h="1" m="1" x="2437"/>
        <item h="1" m="1" x="2289"/>
        <item h="1" m="1" x="2440"/>
        <item h="1" m="1" x="2441"/>
        <item h="1" m="1" x="2294"/>
        <item h="1" m="1" x="2295"/>
        <item h="1" m="1" x="2296"/>
        <item h="1" m="1" x="2444"/>
        <item h="1" m="1" x="2200"/>
        <item h="1" m="1" x="2445"/>
        <item h="1" m="1" x="2446"/>
        <item h="1" m="1" x="2447"/>
        <item h="1" m="1" x="2448"/>
        <item h="1" m="1" x="2211"/>
        <item h="1" m="1" x="2208"/>
        <item h="1" m="1" x="2450"/>
        <item h="1" m="1" x="2451"/>
        <item h="1" m="1" x="2453"/>
        <item h="1" m="1" x="2455"/>
        <item h="1" m="1" x="2226"/>
        <item h="1" m="1" x="2227"/>
        <item h="1" m="1" x="2457"/>
        <item h="1" m="1" x="2229"/>
        <item h="1" m="1" x="2228"/>
        <item h="1" m="1" x="2235"/>
        <item h="1" m="1" x="2251"/>
        <item h="1" m="1" x="2459"/>
        <item h="1" m="1" x="2250"/>
        <item h="1" m="1" x="2236"/>
        <item h="1" m="1" x="2237"/>
        <item h="1" m="1" x="2238"/>
        <item h="1" m="1" x="2239"/>
        <item h="1" m="1" x="2460"/>
        <item h="1" m="1" x="2262"/>
        <item h="1" m="1" x="2265"/>
        <item h="1" m="1" x="2461"/>
        <item h="1" m="1" x="2266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274"/>
        <item h="1" m="1" x="2283"/>
        <item h="1" m="1" x="2469"/>
        <item h="1" m="1" x="2470"/>
        <item h="1" m="1" x="1940"/>
        <item h="1" m="1" x="2471"/>
        <item h="1" m="1" x="2472"/>
        <item h="1" m="1" x="2297"/>
        <item h="1" m="1" x="2199"/>
        <item h="1" m="1" x="2225"/>
        <item h="1" m="1" x="2234"/>
        <item h="1" m="1" x="2255"/>
        <item h="1" m="1" x="2256"/>
        <item h="1" m="1" x="1921"/>
        <item h="1" m="1" x="2273"/>
        <item h="1" m="1" x="1713"/>
        <item h="1" m="1" x="1708"/>
        <item h="1" m="1" x="1719"/>
        <item h="1" m="1" x="1765"/>
        <item h="1" m="1" x="1785"/>
        <item h="1" m="1" x="2275"/>
        <item h="1" m="1" x="2276"/>
        <item h="1" m="1" x="1782"/>
        <item h="1" m="1" x="1730"/>
        <item h="1" m="1" x="1728"/>
        <item h="1" m="1" x="1738"/>
        <item h="1" m="1" x="1740"/>
        <item h="1" m="1" x="1734"/>
        <item h="1" m="1" x="1810"/>
        <item h="1" m="1" x="1816"/>
        <item h="1" m="1" x="1505"/>
        <item h="1" m="1" x="1823"/>
        <item h="1" m="1" x="2281"/>
        <item h="1" m="1" x="1837"/>
        <item h="1" m="1" x="1860"/>
        <item h="1" m="1" x="2290"/>
        <item h="1" m="1" x="2298"/>
        <item h="1" m="1" x="2301"/>
        <item h="1" m="1" x="2303"/>
        <item h="1" m="1" x="2304"/>
        <item h="1" m="1" x="2305"/>
        <item h="1" m="1" x="2307"/>
        <item h="1" m="1" x="2308"/>
        <item h="1" m="1" x="2309"/>
        <item h="1" m="1" x="2310"/>
        <item h="1" m="1" x="2311"/>
        <item h="1" x="139"/>
        <item h="1" m="1" x="2314"/>
        <item h="1" m="1" x="2315"/>
        <item h="1" m="1" x="2316"/>
        <item h="1" m="1" x="2318"/>
        <item h="1" m="1" x="2320"/>
        <item h="1" m="1" x="2321"/>
        <item h="1" m="1" x="2322"/>
        <item h="1" m="1" x="1035"/>
        <item h="1" m="1" x="383"/>
        <item h="1" m="1" x="2325"/>
        <item h="1" m="1" x="2326"/>
        <item h="1" m="1" x="2327"/>
        <item h="1" m="1" x="2329"/>
        <item h="1" m="1" x="2331"/>
        <item h="1" m="1" x="2332"/>
        <item h="1" m="1" x="2333"/>
        <item h="1" m="1" x="2334"/>
        <item h="1" m="1" x="2335"/>
        <item h="1" m="1" x="2337"/>
        <item h="1" m="1" x="2338"/>
        <item h="1" m="1" x="2339"/>
        <item h="1" m="1" x="2340"/>
        <item h="1" m="1" x="2341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709"/>
        <item h="1" m="1" x="2352"/>
        <item h="1" m="1" x="1729"/>
        <item h="1" m="1" x="2353"/>
        <item h="1" m="1" x="2354"/>
        <item h="1" m="1" x="2355"/>
        <item h="1" m="1" x="2356"/>
        <item h="1" m="1" x="2357"/>
        <item h="1" m="1" x="1748"/>
        <item h="1" m="1" x="1741"/>
        <item h="1" m="1" x="1784"/>
        <item h="1" m="1" x="2013"/>
        <item h="1" m="1" x="1767"/>
        <item h="1" m="1" x="2358"/>
        <item h="1" m="1" x="1797"/>
        <item h="1" m="1" x="2359"/>
        <item h="1" m="1" x="1799"/>
        <item h="1" m="1" x="1753"/>
        <item h="1" m="1" x="2360"/>
        <item h="1" m="1" x="1754"/>
        <item h="1" m="1" x="1750"/>
        <item h="1" m="1" x="2361"/>
        <item h="1" m="1" x="2362"/>
        <item h="1" m="1" x="2363"/>
        <item h="1" m="1" x="2364"/>
        <item h="1" m="1" x="2365"/>
        <item h="1" m="1" x="2366"/>
        <item h="1" m="1" x="2367"/>
        <item h="1" m="1" x="2368"/>
        <item h="1" m="1" x="2369"/>
        <item h="1" m="1" x="2370"/>
        <item h="1" m="1" x="2371"/>
        <item h="1" m="1" x="2372"/>
        <item h="1" m="1" x="2373"/>
        <item h="1" m="1" x="2374"/>
        <item h="1" m="1" x="1848"/>
        <item h="1" m="1" x="819"/>
        <item h="1" m="1" x="2375"/>
        <item h="1" m="1" x="2376"/>
        <item h="1" m="1" x="818"/>
        <item h="1" m="1" x="2377"/>
        <item h="1" m="1" x="2378"/>
        <item h="1" m="1" x="2379"/>
        <item h="1" m="1" x="2380"/>
        <item h="1" m="1" x="2381"/>
        <item h="1" m="1" x="2382"/>
        <item h="1" m="1" x="2384"/>
        <item h="1" m="1" x="2385"/>
        <item h="1" m="1" x="2386"/>
        <item h="1" m="1" x="2387"/>
        <item h="1" m="1" x="2388"/>
        <item h="1" m="1" x="2389"/>
        <item h="1" m="1" x="1408"/>
        <item h="1" m="1" x="1407"/>
        <item h="1" m="1" x="1894"/>
        <item h="1" m="1" x="1895"/>
        <item h="1" m="1" x="1834"/>
        <item h="1" m="1" x="1896"/>
        <item h="1" m="1" x="1897"/>
        <item h="1" m="1" x="1898"/>
        <item h="1" m="1" x="765"/>
        <item h="1" m="1" x="1780"/>
        <item h="1" m="1" x="1900"/>
        <item h="1" m="1" x="1901"/>
        <item h="1" m="1" x="810"/>
        <item h="1" m="1" x="1736"/>
        <item h="1" m="1" x="1909"/>
        <item h="1" m="1" x="1737"/>
        <item h="1" m="1" x="1914"/>
        <item h="1" m="1" x="1698"/>
        <item h="1" m="1" x="1697"/>
        <item h="1" m="1" x="1699"/>
        <item h="1" m="1" x="1916"/>
        <item h="1" m="1" x="1917"/>
        <item h="1" m="1" x="1918"/>
        <item h="1" m="1" x="1919"/>
        <item h="1" m="1" x="1920"/>
        <item h="1" m="1" x="1690"/>
        <item h="1" m="1" x="1691"/>
        <item h="1" m="1" x="1773"/>
        <item h="1" m="1" x="1378"/>
        <item h="1" m="1" x="1808"/>
        <item h="1" m="1" x="1924"/>
        <item h="1" m="1" x="1790"/>
        <item h="1" m="1" x="1925"/>
        <item h="1" m="1" x="1926"/>
        <item h="1" m="1" x="1723"/>
        <item h="1" m="1" x="1796"/>
        <item h="1" m="1" x="1725"/>
        <item h="1" m="1" x="1827"/>
        <item h="1" m="1" x="1829"/>
        <item h="1" m="1" x="1830"/>
        <item h="1" m="1" x="1929"/>
        <item h="1" m="1" x="1930"/>
        <item h="1" m="1" x="1932"/>
        <item h="1" m="1" x="1933"/>
        <item h="1" m="1" x="1934"/>
        <item h="1" m="1" x="1935"/>
        <item h="1" m="1" x="1942"/>
        <item h="1" m="1" x="1944"/>
        <item h="1" m="1" x="1618"/>
        <item h="1" m="1" x="1945"/>
        <item h="1" m="1" x="1946"/>
        <item h="1" m="1" x="1947"/>
        <item h="1" m="1" x="1948"/>
        <item h="1" m="1" x="1949"/>
        <item h="1" m="1" x="1595"/>
        <item h="1" m="1" x="1950"/>
        <item h="1" m="1" x="1605"/>
        <item h="1" m="1" x="1466"/>
        <item h="1" m="1" x="1613"/>
        <item h="1" m="1" x="1614"/>
        <item h="1" m="1" x="1951"/>
        <item h="1" m="1" x="1617"/>
        <item h="1" m="1" x="1952"/>
        <item h="1" m="1" x="1953"/>
        <item h="1" m="1" x="1954"/>
        <item h="1" m="1" x="1955"/>
        <item h="1" m="1" x="1956"/>
        <item h="1" m="1" x="1957"/>
        <item h="1" m="1" x="1958"/>
        <item h="1" m="1" x="1960"/>
        <item h="1" m="1" x="1961"/>
        <item h="1" m="1" x="1962"/>
        <item h="1" m="1" x="1963"/>
        <item h="1" m="1" x="1510"/>
        <item h="1" m="1" x="1964"/>
        <item h="1" m="1" x="1965"/>
        <item h="1" m="1" x="1511"/>
        <item h="1" m="1" x="1513"/>
        <item h="1" m="1" x="1968"/>
        <item h="1" m="1" x="1970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x="15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821"/>
        <item h="1" m="1" x="1998"/>
        <item h="1" m="1" x="1442"/>
        <item h="1" m="1" x="1999"/>
        <item h="1" m="1" x="823"/>
        <item h="1" m="1" x="822"/>
        <item h="1" m="1" x="1533"/>
        <item h="1" m="1" x="2002"/>
        <item h="1" m="1" x="830"/>
        <item h="1" m="1" x="831"/>
        <item h="1" m="1" x="812"/>
        <item h="1" m="1" x="1535"/>
        <item h="1" m="1" x="829"/>
        <item h="1" m="1" x="2003"/>
        <item h="1" m="1" x="828"/>
        <item h="1" m="1" x="2005"/>
        <item h="1" m="1" x="2006"/>
        <item h="1" m="1" x="601"/>
        <item h="1" m="1" x="824"/>
        <item h="1" m="1" x="825"/>
        <item h="1" m="1" x="826"/>
        <item h="1" m="1" x="2007"/>
        <item h="1" m="1" x="827"/>
        <item h="1" m="1" x="2008"/>
        <item h="1" m="1" x="2009"/>
        <item h="1" m="1" x="834"/>
        <item h="1" m="1" x="1747"/>
        <item h="1" m="1" x="1743"/>
        <item h="1" m="1" x="1540"/>
        <item h="1" m="1" x="1538"/>
        <item h="1" m="1" x="833"/>
        <item h="1" m="1" x="1539"/>
        <item h="1" m="1" x="838"/>
        <item h="1" m="1" x="839"/>
        <item h="1" m="1" x="2010"/>
        <item h="1" m="1" x="2011"/>
        <item h="1" m="1" x="2012"/>
        <item h="1" m="1" x="836"/>
        <item h="1" m="1" x="2015"/>
        <item h="1" m="1" x="2016"/>
        <item h="1" m="1" x="835"/>
        <item h="1" m="1" x="2017"/>
        <item h="1" m="1" x="2018"/>
        <item h="1" m="1" x="832"/>
        <item h="1" m="1" x="813"/>
        <item h="1" m="1" x="837"/>
        <item h="1" m="1" x="840"/>
        <item h="1" m="1" x="1553"/>
        <item h="1" m="1" x="841"/>
        <item h="1" m="1" x="842"/>
        <item h="1" m="1" x="843"/>
        <item h="1" m="1" x="1842"/>
        <item h="1" m="1" x="2020"/>
        <item h="1" m="1" x="2021"/>
        <item h="1" m="1" x="2022"/>
        <item h="1" m="1" x="2023"/>
        <item h="1" m="1" x="2024"/>
        <item h="1" m="1" x="2025"/>
        <item h="1" m="1" x="2026"/>
        <item h="1" m="1" x="2027"/>
        <item h="1" m="1" x="2028"/>
        <item h="1" m="1" x="2030"/>
        <item h="1" m="1" x="2031"/>
        <item h="1" m="1" x="1880"/>
        <item h="1" m="1" x="1883"/>
        <item h="1" m="1" x="1888"/>
        <item h="1" m="1" x="2032"/>
        <item h="1" m="1" x="2034"/>
        <item h="1" m="1" x="2036"/>
        <item h="1" m="1" x="2037"/>
        <item h="1" m="1" x="2038"/>
        <item h="1" m="1" x="2039"/>
        <item h="1" m="1" x="2040"/>
        <item h="1" m="1" x="2042"/>
        <item h="1" m="1" x="2043"/>
        <item h="1" m="1" x="2044"/>
        <item h="1" m="1" x="2045"/>
        <item h="1" m="1" x="2046"/>
        <item h="1" m="1" x="1122"/>
        <item h="1" m="1" x="2047"/>
        <item h="1" m="1" x="2051"/>
        <item h="1" m="1" x="2052"/>
        <item h="1" m="1" x="1475"/>
        <item h="1" m="1" x="2055"/>
        <item h="1" m="1" x="2056"/>
        <item h="1" m="1" x="1622"/>
        <item h="1" m="1" x="2057"/>
        <item h="1" m="1" x="2058"/>
        <item h="1" m="1" x="2059"/>
        <item h="1" m="1" x="2060"/>
        <item h="1" m="1" x="2061"/>
        <item h="1" m="1" x="2064"/>
        <item h="1" m="1" x="2065"/>
        <item h="1" m="1" x="2066"/>
        <item h="1" m="1" x="2067"/>
        <item h="1" m="1" x="2068"/>
        <item h="1" m="1" x="2072"/>
        <item h="1" m="1" x="2073"/>
        <item h="1" m="1" x="2076"/>
        <item h="1" m="1" x="2078"/>
        <item h="1" m="1" x="2079"/>
        <item h="1" m="1" x="2080"/>
        <item h="1" m="1" x="2081"/>
        <item h="1" m="1" x="125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4"/>
        <item h="1" m="1" x="2095"/>
        <item h="1" m="1" x="2098"/>
        <item h="1" m="1" x="2100"/>
        <item h="1" m="1" x="2101"/>
        <item h="1" m="1" x="2102"/>
        <item h="1" m="1" x="2103"/>
        <item h="1" m="1" x="1273"/>
        <item h="1" m="1" x="2104"/>
        <item h="1" m="1" x="2105"/>
        <item h="1" m="1" x="2106"/>
        <item h="1" m="1" x="2108"/>
        <item h="1" m="1" x="786"/>
        <item h="1" m="1" x="2110"/>
        <item h="1" m="1" x="2111"/>
        <item h="1" m="1" x="2112"/>
        <item h="1" m="1" x="2113"/>
        <item h="1" m="1" x="852"/>
        <item h="1" m="1" x="2114"/>
        <item h="1" m="1" x="2115"/>
        <item h="1" m="1" x="2116"/>
        <item h="1" m="1" x="2117"/>
        <item h="1" m="1" x="858"/>
        <item h="1" m="1" x="2118"/>
        <item h="1" m="1" x="2119"/>
        <item h="1" m="1" x="1759"/>
        <item h="1" m="1" x="2120"/>
        <item h="1" m="1" x="863"/>
        <item h="1" m="1" x="864"/>
        <item h="1" m="1" x="2122"/>
        <item h="1" m="1" x="870"/>
        <item h="1" m="1" x="2124"/>
        <item h="1" m="1" x="873"/>
        <item h="1" m="1" x="1735"/>
        <item h="1" m="1" x="1822"/>
        <item h="1" m="1" x="2125"/>
        <item h="1" m="1" x="1831"/>
        <item h="1" m="1" x="844"/>
        <item h="1" m="1" x="845"/>
        <item h="1" m="1" x="892"/>
        <item h="1" m="1" x="2126"/>
        <item h="1" m="1" x="2127"/>
        <item h="1" m="1" x="895"/>
        <item h="1" m="1" x="894"/>
        <item h="1" m="1" x="2128"/>
        <item h="1" m="1" x="1857"/>
        <item h="1" m="1" x="1580"/>
        <item h="1" m="1" x="846"/>
        <item h="1" x="98"/>
        <item h="1" m="1" x="1594"/>
        <item h="1" m="1" x="2129"/>
        <item h="1" m="1" x="2130"/>
        <item h="1" m="1" x="2132"/>
        <item h="1" m="1" x="2133"/>
        <item h="1" m="1" x="2134"/>
        <item h="1" m="1" x="2135"/>
        <item h="1" m="1" x="2136"/>
        <item h="1" m="1" x="2137"/>
        <item h="1" m="1" x="1596"/>
        <item h="1" m="1" x="1445"/>
        <item h="1" m="1" x="1446"/>
        <item h="1" m="1" x="1597"/>
        <item h="1" m="1" x="1598"/>
        <item h="1" m="1" x="1599"/>
        <item h="1" m="1" x="1601"/>
        <item h="1" m="1" x="1602"/>
        <item h="1" m="1" x="1454"/>
        <item h="1" m="1" x="1604"/>
        <item h="1" m="1" x="1457"/>
        <item h="1" m="1" x="1465"/>
        <item h="1" m="1" x="1464"/>
        <item h="1" m="1" x="1606"/>
        <item h="1" m="1" x="1456"/>
        <item h="1" m="1" x="1458"/>
        <item h="1" m="1" x="1607"/>
        <item h="1" m="1" x="1608"/>
        <item h="1" m="1" x="1609"/>
        <item h="1" m="1" x="1473"/>
        <item h="1" m="1" x="1611"/>
        <item h="1" m="1" x="1470"/>
        <item h="1" m="1" x="1467"/>
        <item h="1" m="1" x="1468"/>
        <item h="1" m="1" x="1612"/>
        <item h="1" m="1" x="336"/>
        <item h="1" m="1" x="1619"/>
        <item h="1" m="1" x="906"/>
        <item h="1" m="1" x="1620"/>
        <item h="1" m="1" x="1621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849"/>
        <item h="1" m="1" x="1632"/>
        <item h="1" m="1" x="1633"/>
        <item h="1" m="1" x="1634"/>
        <item h="1" m="1" x="1635"/>
        <item h="1" m="1" x="1636"/>
        <item h="1" m="1" x="1637"/>
        <item h="1" m="1" x="1638"/>
        <item h="1" m="1" x="1640"/>
        <item h="1" m="1" x="1641"/>
        <item h="1" m="1" x="1642"/>
        <item h="1" m="1" x="1643"/>
        <item h="1" m="1" x="1497"/>
        <item h="1" m="1" x="1644"/>
        <item h="1" m="1" x="1645"/>
        <item h="1" m="1" x="1646"/>
        <item h="1" m="1" x="1647"/>
        <item h="1" m="1" x="1648"/>
        <item h="1" m="1" x="1649"/>
        <item h="1" m="1" x="809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508"/>
        <item h="1" m="1" x="1658"/>
        <item h="1" m="1" x="1659"/>
        <item h="1" m="1" x="1660"/>
        <item h="1" m="1" x="1661"/>
        <item h="1" m="1" x="1662"/>
        <item h="1" m="1" x="1663"/>
        <item h="1" m="1" x="1664"/>
        <item h="1" m="1" x="1667"/>
        <item h="1" m="1" x="1668"/>
        <item h="1" m="1" x="1525"/>
        <item h="1" m="1" x="1207"/>
        <item h="1" m="1" x="1671"/>
        <item h="1" m="1" x="1672"/>
        <item h="1" m="1" x="1673"/>
        <item h="1" m="1" x="1674"/>
        <item h="1" m="1" x="1675"/>
        <item h="1" m="1" x="1676"/>
        <item h="1" m="1" x="1677"/>
        <item h="1" m="1" x="1678"/>
        <item h="1" m="1" x="1679"/>
        <item h="1" m="1" x="1680"/>
        <item h="1" m="1" x="1682"/>
        <item h="1" m="1" x="1683"/>
        <item h="1" m="1" x="1684"/>
        <item h="1" m="1" x="1685"/>
        <item h="1" m="1" x="1686"/>
        <item h="1" m="1" x="1687"/>
        <item h="1" m="1" x="1688"/>
        <item h="1" m="1" x="853"/>
        <item h="1" m="1" x="1529"/>
        <item h="1" m="1" x="1692"/>
        <item h="1" m="1" x="1693"/>
        <item h="1" m="1" x="1694"/>
        <item h="1" m="1" x="1695"/>
        <item h="1" m="1" x="854"/>
        <item h="1" m="1" x="1700"/>
        <item h="1" m="1" x="1701"/>
        <item h="1" m="1" x="1702"/>
        <item h="1" m="1" x="855"/>
        <item h="1" m="1" x="1703"/>
        <item h="1" m="1" x="1704"/>
        <item h="1" m="1" x="1705"/>
        <item h="1" m="1" x="857"/>
        <item h="1" m="1" x="1715"/>
        <item h="1" m="1" x="1716"/>
        <item h="1" m="1" x="1717"/>
        <item h="1" m="1" x="859"/>
        <item h="1" m="1" x="1720"/>
        <item h="1" m="1" x="1721"/>
        <item h="1" m="1" x="871"/>
        <item h="1" m="1" x="1722"/>
        <item h="1" m="1" x="1427"/>
        <item h="1" m="1" x="1751"/>
        <item h="1" m="1" x="868"/>
        <item h="1" m="1" x="1096"/>
        <item h="1" m="1" x="925"/>
        <item h="1" m="1" x="872"/>
        <item h="1" m="1" x="1760"/>
        <item h="1" m="1" x="1763"/>
        <item h="1" m="1" x="1769"/>
        <item h="1" m="1" x="1772"/>
        <item h="1" m="1" x="1779"/>
        <item h="1" m="1" x="1783"/>
        <item h="1" m="1" x="1786"/>
        <item h="1" m="1" x="1787"/>
        <item h="1" m="1" x="1788"/>
        <item h="1" m="1" x="1789"/>
        <item h="1" m="1" x="1791"/>
        <item h="1" m="1" x="1792"/>
        <item h="1" m="1" x="860"/>
        <item h="1" m="1" x="1793"/>
        <item h="1" m="1" x="614"/>
        <item h="1" m="1" x="861"/>
        <item h="1" m="1" x="862"/>
        <item h="1" m="1" x="867"/>
        <item h="1" m="1" x="1800"/>
        <item h="1" m="1" x="1801"/>
        <item h="1" m="1" x="1804"/>
        <item h="1" m="1" x="1805"/>
        <item h="1" m="1" x="1806"/>
        <item h="1" m="1" x="865"/>
        <item h="1" m="1" x="866"/>
        <item h="1" m="1" x="1807"/>
        <item h="1" m="1" x="942"/>
        <item h="1" m="1" x="874"/>
        <item h="1" m="1" x="1811"/>
        <item h="1" m="1" x="875"/>
        <item h="1" m="1" x="877"/>
        <item h="1" m="1" x="876"/>
        <item h="1" m="1" x="878"/>
        <item h="1" m="1" x="1813"/>
        <item h="1" m="1" x="1814"/>
        <item h="1" m="1" x="1815"/>
        <item h="1" m="1" x="1817"/>
        <item h="1" m="1" x="1819"/>
        <item h="1" m="1" x="879"/>
        <item h="1" m="1" x="950"/>
        <item h="1" m="1" x="880"/>
        <item h="1" m="1" x="881"/>
        <item h="1" m="1" x="952"/>
        <item h="1" m="1" x="882"/>
        <item h="1" m="1" x="1824"/>
        <item h="1" m="1" x="887"/>
        <item h="1" m="1" x="1554"/>
        <item h="1" m="1" x="885"/>
        <item h="1" m="1" x="886"/>
        <item h="1" m="1" x="889"/>
        <item h="1" m="1" x="888"/>
        <item h="1" m="1" x="1826"/>
        <item h="1" m="1" x="884"/>
        <item h="1" m="1" x="883"/>
        <item h="1" m="1" x="890"/>
        <item h="1" m="1" x="891"/>
        <item h="1" m="1" x="1833"/>
        <item h="1" m="1" x="1835"/>
        <item h="1" m="1" x="1840"/>
        <item h="1" m="1" x="1841"/>
        <item h="1" m="1" x="816"/>
        <item h="1" m="1" x="1559"/>
        <item h="1" m="1" x="1843"/>
        <item h="1" m="1" x="1844"/>
        <item h="1" m="1" x="1563"/>
        <item h="1" m="1" x="1850"/>
        <item h="1" m="1" x="1851"/>
        <item h="1" m="1" x="1852"/>
        <item h="1" m="1" x="896"/>
        <item h="1" m="1" x="1564"/>
        <item h="1" m="1" x="1853"/>
        <item h="1" m="1" x="1565"/>
        <item h="1" m="1" x="1854"/>
        <item h="1" m="1" x="1855"/>
        <item h="1" m="1" x="893"/>
        <item h="1" m="1" x="1863"/>
        <item h="1" m="1" x="1864"/>
        <item h="1" m="1" x="897"/>
        <item h="1" m="1" x="979"/>
        <item h="1" m="1" x="1865"/>
        <item h="1" m="1" x="1866"/>
        <item h="1" m="1" x="1867"/>
        <item h="1" m="1" x="898"/>
        <item h="1" m="1" x="1870"/>
        <item h="1" m="1" x="1871"/>
        <item h="1" m="1" x="1873"/>
        <item h="1" m="1" x="1874"/>
        <item h="1" m="1" x="1876"/>
        <item h="1" m="1" x="1585"/>
        <item h="1" m="1" x="1584"/>
        <item h="1" m="1" x="1586"/>
        <item h="1" m="1" x="1877"/>
        <item h="1" m="1" x="1878"/>
        <item h="1" m="1" x="1588"/>
        <item h="1" m="1" x="1881"/>
        <item h="1" m="1" x="1882"/>
        <item h="1" m="1" x="1884"/>
        <item h="1" m="1" x="1885"/>
        <item h="1" m="1" x="1886"/>
        <item h="1" m="1" x="1887"/>
        <item h="1" m="1" x="1890"/>
        <item h="1" m="1" x="1891"/>
        <item h="1" m="1" x="900"/>
        <item h="1" m="1" x="1892"/>
        <item h="1" m="1" x="1444"/>
        <item h="1" m="1" x="1449"/>
        <item h="1" m="1" x="1450"/>
        <item h="1" m="1" x="1452"/>
        <item h="1" m="1" x="1453"/>
        <item h="1" m="1" x="1455"/>
        <item h="1" m="1" x="1459"/>
        <item h="1" m="1" x="1460"/>
        <item h="1" m="1" x="1462"/>
        <item h="1" m="1" x="1463"/>
        <item h="1" m="1" x="902"/>
        <item h="1" m="1" x="903"/>
        <item h="1" m="1" x="1469"/>
        <item h="1" m="1" x="1471"/>
        <item h="1" m="1" x="1472"/>
        <item h="1" m="1" x="1474"/>
        <item h="1" m="1" x="1476"/>
        <item h="1" m="1" x="1478"/>
        <item h="1" m="1" x="1479"/>
        <item h="1" m="1" x="1480"/>
        <item h="1" m="1" x="1481"/>
        <item h="1" m="1" x="1482"/>
        <item h="1" m="1" x="1483"/>
        <item h="1" m="1" x="1484"/>
        <item h="1" m="1" x="1485"/>
        <item h="1" m="1" x="1486"/>
        <item h="1" m="1" x="1487"/>
        <item h="1" m="1" x="1488"/>
        <item h="1" m="1" x="1490"/>
        <item h="1" m="1" x="1491"/>
        <item h="1" m="1" x="1492"/>
        <item h="1" m="1" x="1493"/>
        <item h="1" m="1" x="1494"/>
        <item h="1" m="1" x="1495"/>
        <item h="1" m="1" x="1496"/>
        <item h="1" m="1" x="1498"/>
        <item h="1" m="1" x="1499"/>
        <item h="1" m="1" x="1500"/>
        <item h="1" m="1" x="1502"/>
        <item h="1" m="1" x="1503"/>
        <item h="1" m="1" x="1504"/>
        <item h="1" m="1" x="1506"/>
        <item h="1" m="1" x="1507"/>
        <item h="1" m="1" x="1512"/>
        <item h="1" m="1" x="1514"/>
        <item h="1" m="1" x="1516"/>
        <item h="1" m="1" x="910"/>
        <item h="1" m="1" x="1519"/>
        <item h="1" m="1" x="1520"/>
        <item h="1" m="1" x="1523"/>
        <item h="1" m="1" x="1524"/>
        <item h="1" m="1" x="1526"/>
        <item h="1" m="1" x="912"/>
        <item h="1" m="1" x="1527"/>
        <item h="1" m="1" x="1528"/>
        <item h="1" m="1" x="1530"/>
        <item h="1" m="1" x="1531"/>
        <item h="1" m="1" x="1532"/>
        <item h="1" m="1" x="1534"/>
        <item h="1" m="1" x="1349"/>
        <item h="1" m="1" x="1536"/>
        <item h="1" m="1" x="1537"/>
        <item h="1" m="1" x="915"/>
        <item h="1" m="1" x="916"/>
        <item h="1" m="1" x="922"/>
        <item h="1" m="1" x="921"/>
        <item h="1" m="1" x="1541"/>
        <item h="1" m="1" x="1542"/>
        <item h="1" m="1" x="928"/>
        <item h="1" m="1" x="1544"/>
        <item h="1" m="1" x="1545"/>
        <item h="1" m="1" x="1546"/>
        <item h="1" m="1" x="933"/>
        <item h="1" m="1" x="932"/>
        <item h="1" m="1" x="1547"/>
        <item h="1" m="1" x="1548"/>
        <item h="1" m="1" x="1549"/>
        <item h="1" m="1" x="1550"/>
        <item h="1" m="1" x="1551"/>
        <item h="1" m="1" x="936"/>
        <item h="1" m="1" x="926"/>
        <item h="1" m="1" x="1552"/>
        <item h="1" m="1" x="944"/>
        <item h="1" m="1" x="947"/>
        <item h="1" m="1" x="948"/>
        <item h="1" m="1" x="953"/>
        <item h="1" m="1" x="965"/>
        <item h="1" m="1" x="1555"/>
        <item h="1" m="1" x="966"/>
        <item h="1" m="1" x="964"/>
        <item h="1" m="1" x="968"/>
        <item h="1" m="1" x="969"/>
        <item h="1" m="1" x="967"/>
        <item h="1" m="1" x="970"/>
        <item h="1" m="1" x="1557"/>
        <item h="1" m="1" x="798"/>
        <item h="1" m="1" x="1558"/>
        <item h="1" m="1" x="1562"/>
        <item h="1" m="1" x="1567"/>
        <item h="1" m="1" x="1568"/>
        <item h="1" m="1" x="1569"/>
        <item h="1" m="1" x="1373"/>
        <item h="1" m="1" x="1570"/>
        <item h="1" m="1" x="1571"/>
        <item h="1" m="1" x="1572"/>
        <item h="1" m="1" x="1573"/>
        <item h="1" m="1" x="1574"/>
        <item h="1" m="1" x="1575"/>
        <item h="1" m="1" x="1576"/>
        <item h="1" m="1" x="975"/>
        <item h="1" m="1" x="1577"/>
        <item h="1" m="1" x="1578"/>
        <item h="1" m="1" x="976"/>
        <item h="1" m="1" x="1581"/>
        <item h="1" m="1" x="1587"/>
        <item h="1" m="1" x="1589"/>
        <item h="1" m="1" x="1118"/>
        <item h="1" m="1" x="1592"/>
        <item h="1" m="1" x="989"/>
        <item h="1" m="1" x="307"/>
        <item h="1" m="1" x="1593"/>
        <item h="1" m="1" x="993"/>
        <item h="1" m="1" x="991"/>
        <item h="1" m="1" x="992"/>
        <item h="1" m="1" x="998"/>
        <item h="1" m="1" x="1382"/>
        <item h="1" m="1" x="999"/>
        <item h="1" m="1" x="901"/>
        <item h="1" m="1" x="1008"/>
        <item h="1" m="1" x="1009"/>
        <item h="1" m="1" x="1007"/>
        <item h="1" m="1" x="1003"/>
        <item h="1" m="1" x="1004"/>
        <item h="1" m="1" x="1005"/>
        <item h="1" m="1" x="1006"/>
        <item h="1" m="1" x="1000"/>
        <item h="1" m="1" x="1002"/>
        <item h="1" m="1" x="1001"/>
        <item h="1" m="1" x="1383"/>
        <item h="1" m="1" x="904"/>
        <item h="1" m="1" x="1299"/>
        <item h="1" m="1" x="1012"/>
        <item h="1" m="1" x="1384"/>
        <item h="1" m="1" x="1303"/>
        <item h="1" m="1" x="1312"/>
        <item h="1" m="1" x="1313"/>
        <item h="1" m="1" x="1385"/>
        <item h="1" m="1" x="1386"/>
        <item h="1" m="1" x="1387"/>
        <item h="1" m="1" x="1314"/>
        <item h="1" m="1" x="1304"/>
        <item h="1" m="1" x="1305"/>
        <item h="1" m="1" x="1307"/>
        <item h="1" m="1" x="1308"/>
        <item h="1" m="1" x="1306"/>
        <item h="1" m="1" x="1015"/>
        <item h="1" m="1" x="1016"/>
        <item h="1" m="1" x="1302"/>
        <item h="1" m="1" x="1317"/>
        <item h="1" m="1" x="1300"/>
        <item h="1" m="1" x="1318"/>
        <item h="1" m="1" x="1388"/>
        <item h="1" m="1" x="1018"/>
        <item h="1" m="1" x="1017"/>
        <item h="1" m="1" x="1389"/>
        <item h="1" m="1" x="1390"/>
        <item h="1" m="1" x="1391"/>
        <item h="1" m="1" x="1392"/>
        <item h="1" m="1" x="1393"/>
        <item h="1" x="160"/>
        <item h="1" m="1" x="1019"/>
        <item h="1" m="1" x="762"/>
        <item h="1" m="1" x="1028"/>
        <item h="1" m="1" x="1029"/>
        <item h="1" m="1" x="1332"/>
        <item h="1" m="1" x="1329"/>
        <item h="1" m="1" x="1330"/>
        <item h="1" m="1" x="1331"/>
        <item h="1" m="1" x="1327"/>
        <item h="1" m="1" x="1394"/>
        <item h="1" m="1" x="1023"/>
        <item h="1" m="1" x="1025"/>
        <item h="1" m="1" x="1024"/>
        <item h="1" m="1" x="1026"/>
        <item h="1" m="1" x="1031"/>
        <item h="1" m="1" x="907"/>
        <item h="1" m="1" x="908"/>
        <item h="1" m="1" x="1034"/>
        <item h="1" m="1" x="1333"/>
        <item h="1" m="1" x="1395"/>
        <item h="1" m="1" x="1396"/>
        <item h="1" m="1" x="1036"/>
        <item h="1" m="1" x="1037"/>
        <item h="1" m="1" x="1397"/>
        <item h="1" m="1" x="1038"/>
        <item h="1" m="1" x="1047"/>
        <item h="1" m="1" x="1048"/>
        <item h="1" m="1" x="1049"/>
        <item h="1" m="1" x="1050"/>
        <item h="1" m="1" x="1398"/>
        <item h="1" m="1" x="1399"/>
        <item h="1" m="1" x="1043"/>
        <item h="1" m="1" x="1044"/>
        <item h="1" m="1" x="1042"/>
        <item h="1" m="1" x="1040"/>
        <item h="1" m="1" x="1041"/>
        <item h="1" m="1" x="1334"/>
        <item h="1" m="1" x="1400"/>
        <item h="1" m="1" x="1401"/>
        <item h="1" m="1" x="1402"/>
        <item h="1" m="1" x="1339"/>
        <item h="1" m="1" x="1335"/>
        <item h="1" m="1" x="1336"/>
        <item h="1" m="1" x="1338"/>
        <item h="1" m="1" x="1337"/>
        <item h="1" m="1" x="1051"/>
        <item h="1" m="1" x="1055"/>
        <item h="1" m="1" x="1057"/>
        <item h="1" m="1" x="1058"/>
        <item h="1" m="1" x="750"/>
        <item h="1" m="1" x="1053"/>
        <item h="1" m="1" x="1054"/>
        <item h="1" m="1" x="1061"/>
        <item h="1" m="1" x="1403"/>
        <item h="1" m="1" x="911"/>
        <item h="1" m="1" x="1065"/>
        <item h="1" m="1" x="1067"/>
        <item h="1" m="1" x="1068"/>
        <item h="1" m="1" x="1069"/>
        <item h="1" m="1" x="1066"/>
        <item h="1" m="1" x="1073"/>
        <item h="1" m="1" x="1071"/>
        <item h="1" m="1" x="1342"/>
        <item h="1" m="1" x="1074"/>
        <item h="1" m="1" x="1075"/>
        <item h="1" m="1" x="1404"/>
        <item h="1" m="1" x="1076"/>
        <item h="1" m="1" x="1077"/>
        <item h="1" m="1" x="1405"/>
        <item h="1" m="1" x="1078"/>
        <item h="1" m="1" x="1344"/>
        <item h="1" m="1" x="1079"/>
        <item h="1" m="1" x="1406"/>
        <item h="1" m="1" x="913"/>
        <item h="1" m="1" x="1080"/>
        <item h="1" m="1" x="914"/>
        <item h="1" m="1" x="1350"/>
        <item h="1" m="1" x="1351"/>
        <item h="1" m="1" x="1347"/>
        <item h="1" m="1" x="1348"/>
        <item h="1" m="1" x="917"/>
        <item h="1" m="1" x="918"/>
        <item h="1" m="1" x="1082"/>
        <item h="1" m="1" x="1083"/>
        <item h="1" m="1" x="1409"/>
        <item h="1" m="1" x="1084"/>
        <item h="1" m="1" x="1085"/>
        <item h="1" m="1" x="1086"/>
        <item h="1" m="1" x="1352"/>
        <item h="1" m="1" x="1356"/>
        <item h="1" m="1" x="1357"/>
        <item h="1" m="1" x="1355"/>
        <item h="1" m="1" x="1358"/>
        <item h="1" m="1" x="1359"/>
        <item h="1" m="1" x="1360"/>
        <item h="1" m="1" x="1361"/>
        <item h="1" m="1" x="931"/>
        <item h="1" m="1" x="1092"/>
        <item h="1" m="1" x="929"/>
        <item h="1" m="1" x="930"/>
        <item h="1" m="1" x="1410"/>
        <item h="1" m="1" x="1411"/>
        <item h="1" m="1" x="1412"/>
        <item h="1" m="1" x="1413"/>
        <item h="1" m="1" x="927"/>
        <item h="1" m="1" x="1353"/>
        <item h="1" m="1" x="934"/>
        <item h="1" m="1" x="935"/>
        <item h="1" m="1" x="937"/>
        <item h="1" m="1" x="1090"/>
        <item h="1" m="1" x="939"/>
        <item h="1" m="1" x="1417"/>
        <item h="1" m="1" x="1418"/>
        <item h="1" m="1" x="1419"/>
        <item h="1" m="1" x="940"/>
        <item h="1" m="1" x="938"/>
        <item h="1" m="1" x="1420"/>
        <item h="1" m="1" x="1421"/>
        <item h="1" m="1" x="1093"/>
        <item h="1" m="1" x="1422"/>
        <item h="1" m="1" x="1088"/>
        <item h="1" m="1" x="1089"/>
        <item h="1" m="1" x="815"/>
        <item h="1" m="1" x="814"/>
        <item h="1" m="1" x="941"/>
        <item h="1" m="1" x="1423"/>
        <item h="1" m="1" x="920"/>
        <item h="1" m="1" x="923"/>
        <item h="1" m="1" x="924"/>
        <item h="1" m="1" x="1364"/>
        <item h="1" m="1" x="1424"/>
        <item h="1" m="1" x="1425"/>
        <item h="1" m="1" x="1426"/>
        <item h="1" m="1" x="1095"/>
        <item h="1" m="1" x="1365"/>
        <item h="1" m="1" x="946"/>
        <item h="1" m="1" x="945"/>
        <item h="1" m="1" x="1097"/>
        <item h="1" m="1" x="943"/>
        <item h="1" m="1" x="1098"/>
        <item h="1" m="1" x="1099"/>
        <item h="1" m="1" x="1100"/>
        <item h="1" m="1" x="1101"/>
        <item h="1" m="1" x="1428"/>
        <item h="1" m="1" x="949"/>
        <item h="1" m="1" x="951"/>
        <item h="1" m="1" x="1102"/>
        <item h="1" m="1" x="954"/>
        <item h="1" m="1" x="1103"/>
        <item h="1" m="1" x="1429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1430"/>
        <item h="1" m="1" x="962"/>
        <item h="1" m="1" x="963"/>
        <item h="1" m="1" x="1432"/>
        <item h="1" m="1" x="1107"/>
        <item h="1" m="1" x="1433"/>
        <item h="1" m="1" x="1434"/>
        <item h="1" m="1" x="558"/>
        <item h="1" m="1" x="1435"/>
        <item h="1" m="1" x="1436"/>
        <item h="1" m="1" x="1437"/>
        <item h="1" m="1" x="1438"/>
        <item h="1" m="1" x="974"/>
        <item h="1" m="1" x="1439"/>
        <item h="1" m="1" x="1440"/>
        <item h="1" m="1" x="1112"/>
        <item h="1" m="1" x="1111"/>
        <item h="1" m="1" x="1109"/>
        <item h="1" m="1" x="1110"/>
        <item h="1" m="1" x="1441"/>
        <item h="1" m="1" x="1113"/>
        <item h="1" m="1" x="981"/>
        <item h="1" m="1" x="980"/>
        <item h="1" m="1" x="978"/>
        <item h="1" m="1" x="977"/>
        <item h="1" m="1" x="1115"/>
        <item h="1" m="1" x="984"/>
        <item h="1" m="1" x="985"/>
        <item h="1" m="1" x="1120"/>
        <item h="1" m="1" x="986"/>
        <item h="1" m="1" x="1123"/>
        <item h="1" m="1" x="1443"/>
        <item h="1" x="108"/>
        <item h="1" m="1" x="1129"/>
        <item h="1" m="1" x="1128"/>
        <item h="1" m="1" x="1379"/>
        <item h="1" m="1" x="1380"/>
        <item h="1" m="1" x="1131"/>
        <item h="1" m="1" x="742"/>
        <item h="1" m="1" x="1138"/>
        <item h="1" m="1" x="995"/>
        <item h="1" m="1" x="996"/>
        <item h="1" m="1" x="997"/>
        <item h="1" m="1" x="1297"/>
        <item h="1" m="1" x="1145"/>
        <item h="1" m="1" x="1146"/>
        <item h="1" m="1" x="1143"/>
        <item h="1" m="1" x="1155"/>
        <item h="1" m="1" x="1010"/>
        <item h="1" m="1" x="1301"/>
        <item h="1" m="1" x="1162"/>
        <item h="1" m="1" x="1309"/>
        <item h="1" m="1" x="1310"/>
        <item h="1" m="1" x="1315"/>
        <item h="1" m="1" x="1316"/>
        <item h="1" m="1" x="1319"/>
        <item h="1" m="1" x="1021"/>
        <item h="1" m="1" x="1020"/>
        <item h="1" m="1" x="1320"/>
        <item h="1" m="1" x="1321"/>
        <item h="1" m="1" x="1322"/>
        <item h="1" m="1" x="1323"/>
        <item h="1" m="1" x="1324"/>
        <item h="1" m="1" x="1164"/>
        <item h="1" m="1" x="1165"/>
        <item h="1" m="1" x="1173"/>
        <item h="1" m="1" x="1178"/>
        <item h="1" m="1" x="1179"/>
        <item h="1" m="1" x="1326"/>
        <item h="1" m="1" x="760"/>
        <item h="1" m="1" x="1027"/>
        <item h="1" m="1" x="1030"/>
        <item h="1" m="1" x="1184"/>
        <item h="1" m="1" x="1192"/>
        <item h="1" m="1" x="1039"/>
        <item h="1" m="1" x="1195"/>
        <item h="1" m="1" x="1045"/>
        <item h="1" m="1" x="1062"/>
        <item h="1" m="1" x="1340"/>
        <item h="1" m="1" x="1060"/>
        <item h="1" m="1" x="1063"/>
        <item h="1" m="1" x="1204"/>
        <item h="1" m="1" x="1070"/>
        <item h="1" m="1" x="1282"/>
        <item h="1" m="1" x="1072"/>
        <item h="1" m="1" x="1341"/>
        <item h="1" m="1" x="1287"/>
        <item h="1" m="1" x="1343"/>
        <item h="1" m="1" x="1345"/>
        <item h="1" m="1" x="1346"/>
        <item h="1" m="1" x="1081"/>
        <item h="1" m="1" x="1230"/>
        <item h="1" m="1" x="1087"/>
        <item h="1" m="1" x="1238"/>
        <item h="1" m="1" x="1362"/>
        <item h="1" m="1" x="1091"/>
        <item h="1" m="1" x="1363"/>
        <item h="1" m="1" x="1094"/>
        <item h="1" m="1" x="1366"/>
        <item h="1" m="1" x="1369"/>
        <item h="1" m="1" x="1370"/>
        <item h="1" m="1" x="1372"/>
        <item h="1" m="1" x="1260"/>
        <item h="1" m="1" x="1261"/>
        <item h="1" x="3"/>
        <item h="1" m="1" x="1263"/>
        <item h="1" m="1" x="1374"/>
        <item h="1" m="1" x="1376"/>
        <item h="1" m="1" x="1121"/>
        <item h="1" m="1" x="1124"/>
        <item h="1" m="1" x="1127"/>
        <item h="1" m="1" x="1269"/>
        <item h="1" m="1" x="1013"/>
        <item h="1" m="1" x="1133"/>
        <item h="1" m="1" x="1134"/>
        <item h="1" m="1" x="1136"/>
        <item h="1" m="1" x="1139"/>
        <item h="1" m="1" x="1140"/>
        <item h="1" m="1" x="1141"/>
        <item h="1" m="1" x="1142"/>
        <item h="1" m="1" x="1144"/>
        <item h="1" m="1" x="1147"/>
        <item h="1" x="90"/>
        <item h="1" m="1" x="1148"/>
        <item h="1" m="1" x="1151"/>
        <item h="1" m="1" x="1152"/>
        <item h="1" m="1" x="1153"/>
        <item h="1" m="1" x="1154"/>
        <item h="1" x="58"/>
        <item h="1" m="1" x="1156"/>
        <item h="1" m="1" x="1157"/>
        <item h="1" m="1" x="1158"/>
        <item h="1" m="1" x="1159"/>
        <item h="1" m="1" x="1160"/>
        <item h="1" m="1" x="1161"/>
        <item h="1" x="137"/>
        <item h="1" m="1" x="1166"/>
        <item h="1" m="1" x="1167"/>
        <item h="1" m="1" x="1168"/>
        <item h="1" m="1" x="1169"/>
        <item h="1" m="1" x="1170"/>
        <item h="1" m="1" x="1171"/>
        <item h="1" m="1" x="1172"/>
        <item h="1" m="1" x="1174"/>
        <item h="1" m="1" x="1175"/>
        <item h="1" m="1" x="1176"/>
        <item h="1" m="1" x="1177"/>
        <item h="1" m="1" x="1180"/>
        <item h="1" m="1" x="1181"/>
        <item h="1" m="1" x="1182"/>
        <item h="1" m="1" x="1183"/>
        <item h="1" m="1" x="1185"/>
        <item h="1" m="1" x="1186"/>
        <item h="1" m="1" x="1187"/>
        <item h="1" m="1" x="1188"/>
        <item h="1" m="1" x="1189"/>
        <item h="1" m="1" x="1190"/>
        <item h="1" m="1" x="1191"/>
        <item h="1" m="1" x="1193"/>
        <item h="1" m="1" x="1194"/>
        <item h="1" m="1" x="1196"/>
        <item h="1" m="1" x="1197"/>
        <item h="1" m="1" x="1198"/>
        <item h="1" m="1" x="1199"/>
        <item h="1" m="1" x="1200"/>
        <item h="1" m="1" x="1201"/>
        <item h="1" m="1" x="1206"/>
        <item h="1" m="1" x="1208"/>
        <item h="1" m="1" x="1209"/>
        <item h="1" m="1" x="1214"/>
        <item h="1" m="1" x="1215"/>
        <item h="1" m="1" x="1216"/>
        <item h="1" m="1" x="1217"/>
        <item h="1" m="1" x="1218"/>
        <item h="1" m="1" x="1220"/>
        <item h="1" m="1" x="1221"/>
        <item h="1" m="1" x="1222"/>
        <item h="1" m="1" x="1223"/>
        <item h="1" m="1" x="1225"/>
        <item h="1" m="1" x="1226"/>
        <item h="1" m="1" x="1227"/>
        <item h="1" m="1" x="1228"/>
        <item h="1" m="1" x="1229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9"/>
        <item h="1" m="1" x="1240"/>
        <item h="1" m="1" x="1241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1249"/>
        <item h="1" m="1" x="1250"/>
        <item h="1" m="1" x="1251"/>
        <item h="1" m="1" x="1252"/>
        <item h="1" m="1" x="1254"/>
        <item h="1" m="1" x="1255"/>
        <item h="1" m="1" x="1256"/>
        <item h="1" m="1" x="1258"/>
        <item h="1" m="1" x="1259"/>
        <item h="1" m="1" x="1264"/>
        <item h="1" m="1" x="1268"/>
        <item h="1" m="1" x="1270"/>
        <item h="1" m="1" x="1271"/>
        <item h="1" m="1" x="1272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3"/>
        <item h="1" m="1" x="1284"/>
        <item h="1" m="1" x="1285"/>
        <item h="1" m="1" x="1286"/>
        <item h="1" m="1" x="1288"/>
        <item h="1" m="1" x="1290"/>
        <item h="1" m="1" x="1292"/>
        <item h="1" m="1" x="1293"/>
        <item h="1" m="1" x="1294"/>
        <item h="1" m="1" x="1295"/>
        <item h="1" m="1" x="1296"/>
        <item h="1" m="1" x="671"/>
        <item h="1" m="1" x="508"/>
        <item h="1" m="1" x="509"/>
        <item h="1" x="5"/>
        <item h="1" m="1" x="514"/>
        <item h="1" m="1" x="673"/>
        <item h="1" m="1" x="674"/>
        <item h="1" m="1" x="675"/>
        <item h="1" m="1" x="676"/>
        <item h="1" m="1" x="677"/>
        <item h="1" m="1" x="678"/>
        <item h="1" m="1" x="679"/>
        <item h="1" m="1" x="680"/>
        <item h="1" m="1" x="681"/>
        <item h="1" m="1" x="682"/>
        <item h="1" m="1" x="683"/>
        <item h="1" m="1" x="684"/>
        <item h="1" m="1" x="685"/>
        <item h="1" m="1" x="686"/>
        <item h="1" m="1" x="687"/>
        <item h="1" m="1" x="688"/>
        <item h="1" m="1" x="689"/>
        <item h="1" m="1" x="690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432"/>
        <item h="1" m="1" x="515"/>
        <item h="1" m="1" x="516"/>
        <item h="1" m="1" x="703"/>
        <item h="1" m="1" x="704"/>
        <item h="1" m="1" x="438"/>
        <item h="1" m="1" x="705"/>
        <item h="1" x="13"/>
        <item h="1" m="1" x="527"/>
        <item h="1" m="1" x="519"/>
        <item h="1" m="1" x="517"/>
        <item h="1" m="1" x="436"/>
        <item h="1" m="1" x="442"/>
        <item h="1" m="1" x="707"/>
        <item h="1" m="1" x="708"/>
        <item h="1" m="1" x="709"/>
        <item h="1" m="1" x="524"/>
        <item h="1" m="1" x="710"/>
        <item h="1" m="1" x="711"/>
        <item h="1" m="1" x="526"/>
        <item h="1" m="1" x="534"/>
        <item h="1" m="1" x="713"/>
        <item h="1" m="1" x="714"/>
        <item h="1" m="1" x="715"/>
        <item h="1" m="1" x="716"/>
        <item h="1" m="1" x="717"/>
        <item h="1" m="1" x="718"/>
        <item h="1" m="1" x="719"/>
        <item h="1" m="1" x="720"/>
        <item h="1" m="1" x="532"/>
        <item h="1" m="1" x="721"/>
        <item h="1" m="1" x="528"/>
        <item h="1" m="1" x="529"/>
        <item h="1" m="1" x="535"/>
        <item h="1" m="1" x="723"/>
        <item h="1" x="41"/>
        <item h="1" m="1" x="536"/>
        <item h="1" m="1" x="724"/>
        <item h="1" m="1" x="725"/>
        <item h="1" m="1" x="726"/>
        <item h="1" m="1" x="727"/>
        <item h="1" m="1" x="530"/>
        <item h="1" m="1" x="531"/>
        <item h="1" x="47"/>
        <item h="1" x="57"/>
        <item h="1" x="59"/>
        <item h="1" m="1" x="457"/>
        <item h="1" m="1" x="458"/>
        <item h="1" x="54"/>
        <item h="1" m="1" x="553"/>
        <item h="1" m="1" x="552"/>
        <item h="1" x="60"/>
        <item h="1" m="1" x="728"/>
        <item h="1" m="1" x="729"/>
        <item h="1" m="1" x="565"/>
        <item h="1" m="1" x="730"/>
        <item h="1" m="1" x="731"/>
        <item h="1" m="1" x="733"/>
        <item h="1" m="1" x="463"/>
        <item h="1" m="1" x="461"/>
        <item h="1" m="1" x="460"/>
        <item h="1" x="65"/>
        <item h="1" m="1" x="462"/>
        <item h="1" m="1" x="735"/>
        <item h="1" m="1" x="736"/>
        <item h="1" m="1" x="737"/>
        <item h="1" m="1" x="470"/>
        <item h="1" m="1" x="579"/>
        <item h="1" m="1" x="574"/>
        <item h="1" m="1" x="575"/>
        <item h="1" m="1" x="576"/>
        <item h="1" m="1" x="577"/>
        <item h="1" x="103"/>
        <item h="1" x="104"/>
        <item h="1" x="105"/>
        <item h="1" x="107"/>
        <item h="1" x="114"/>
        <item h="1" m="1" x="741"/>
        <item h="1" m="1" x="743"/>
        <item h="1" m="1" x="581"/>
        <item h="1" m="1" x="582"/>
        <item h="1" m="1" x="744"/>
        <item h="1" m="1" x="584"/>
        <item h="1" m="1" x="585"/>
        <item h="1" m="1" x="745"/>
        <item h="1" m="1" x="589"/>
        <item h="1" x="127"/>
        <item h="1" m="1" x="590"/>
        <item h="1" m="1" x="591"/>
        <item h="1" m="1" x="592"/>
        <item h="1" m="1" x="604"/>
        <item h="1" m="1" x="746"/>
        <item h="1" m="1" x="607"/>
        <item h="1" m="1" x="605"/>
        <item h="1" m="1" x="609"/>
        <item h="1" m="1" x="610"/>
        <item h="1" m="1" x="611"/>
        <item h="1" m="1" x="612"/>
        <item h="1" x="141"/>
        <item h="1" m="1" x="748"/>
        <item h="1" m="1" x="617"/>
        <item h="1" m="1" x="749"/>
        <item h="1" m="1" x="751"/>
        <item h="1" m="1" x="753"/>
        <item h="1" m="1" x="615"/>
        <item h="1" m="1" x="754"/>
        <item h="1" m="1" x="755"/>
        <item h="1" m="1" x="756"/>
        <item h="1" m="1" x="757"/>
        <item h="1" m="1" x="618"/>
        <item h="1" m="1" x="758"/>
        <item h="1" m="1" x="759"/>
        <item h="1" m="1" x="619"/>
        <item h="1" x="184"/>
        <item h="1" m="1" x="761"/>
        <item h="1" m="1" x="763"/>
        <item h="1" x="162"/>
        <item h="1" x="164"/>
        <item h="1" x="165"/>
        <item h="1" x="166"/>
        <item h="1" x="167"/>
        <item h="1" m="1" x="764"/>
        <item h="1" m="1" x="766"/>
        <item h="1" m="1" x="767"/>
        <item h="1" m="1" x="768"/>
        <item h="1" m="1" x="769"/>
        <item h="1" m="1" x="770"/>
        <item h="1" m="1" x="626"/>
        <item h="1" m="1" x="624"/>
        <item h="1" m="1" x="625"/>
        <item h="1" x="194"/>
        <item h="1" x="195"/>
        <item h="1" m="1" x="489"/>
        <item h="1" m="1" x="772"/>
        <item h="1" m="1" x="637"/>
        <item h="1" m="1" x="633"/>
        <item h="1" m="1" x="629"/>
        <item h="1" m="1" x="631"/>
        <item h="1" x="197"/>
        <item h="1" m="1" x="639"/>
        <item h="1" m="1" x="638"/>
        <item h="1" x="219"/>
        <item h="1" m="1" x="493"/>
        <item h="1" m="1" x="773"/>
        <item h="1" m="1" x="643"/>
        <item h="1" m="1" x="774"/>
        <item h="1" m="1" x="644"/>
        <item h="1" m="1" x="775"/>
        <item h="1" m="1" x="645"/>
        <item h="1" m="1" x="776"/>
        <item h="1" m="1" x="646"/>
        <item h="1" m="1" x="778"/>
        <item h="1" m="1" x="781"/>
        <item h="1" m="1" x="782"/>
        <item h="1" m="1" x="494"/>
        <item h="1" m="1" x="783"/>
        <item h="1" m="1" x="647"/>
        <item h="1" m="1" x="648"/>
        <item h="1" m="1" x="785"/>
        <item h="1" x="245"/>
        <item h="1" m="1" x="649"/>
        <item h="1" x="249"/>
        <item h="1" x="250"/>
        <item h="1" m="1" x="653"/>
        <item h="1" m="1" x="787"/>
        <item h="1" m="1" x="788"/>
        <item h="1" m="1" x="789"/>
        <item h="1" m="1" x="496"/>
        <item h="1" m="1" x="659"/>
        <item h="1" m="1" x="655"/>
        <item h="1" m="1" x="656"/>
        <item h="1" m="1" x="657"/>
        <item h="1" m="1" x="658"/>
        <item h="1" x="258"/>
        <item h="1" m="1" x="660"/>
        <item h="1" m="1" x="790"/>
        <item h="1" m="1" x="791"/>
        <item h="1" m="1" x="792"/>
        <item h="1" x="257"/>
        <item h="1" m="1" x="793"/>
        <item h="1" m="1" x="794"/>
        <item h="1" m="1" x="795"/>
        <item h="1" m="1" x="797"/>
        <item h="1" m="1" x="661"/>
        <item h="1" m="1" x="410"/>
        <item h="1" m="1" x="413"/>
        <item h="1" m="1" x="799"/>
        <item h="1" m="1" x="411"/>
        <item h="1" m="1" x="800"/>
        <item h="1" m="1" x="801"/>
        <item h="1" m="1" x="802"/>
        <item h="1" m="1" x="803"/>
        <item h="1" m="1" x="665"/>
        <item h="1" m="1" x="670"/>
        <item h="1" m="1" x="668"/>
        <item h="1" m="1" x="669"/>
        <item h="1" m="1" x="427"/>
        <item h="1" m="1" x="506"/>
        <item h="1" m="1" x="507"/>
        <item h="1" x="6"/>
        <item h="1" m="1" x="510"/>
        <item h="1" m="1" x="511"/>
        <item h="1" m="1" x="512"/>
        <item h="1" m="1" x="435"/>
        <item h="1" m="1" x="518"/>
        <item h="1" m="1" x="441"/>
        <item h="1" m="1" x="521"/>
        <item h="1" m="1" x="522"/>
        <item h="1" m="1" x="523"/>
        <item h="1" m="1" x="443"/>
        <item h="1" m="1" x="525"/>
        <item h="1" m="1" x="445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4"/>
        <item h="1" m="1" x="545"/>
        <item h="1" m="1" x="546"/>
        <item h="1" m="1" x="547"/>
        <item h="1" m="1" x="548"/>
        <item h="1" m="1" x="549"/>
        <item h="1" m="1" x="550"/>
        <item h="1" m="1" x="454"/>
        <item h="1" m="1" x="551"/>
        <item h="1" m="1" x="554"/>
        <item h="1" m="1" x="456"/>
        <item h="1" m="1" x="555"/>
        <item h="1" m="1" x="556"/>
        <item h="1" m="1" x="557"/>
        <item h="1" m="1" x="559"/>
        <item h="1" m="1" x="561"/>
        <item h="1" m="1" x="562"/>
        <item h="1" m="1" x="563"/>
        <item h="1" m="1" x="464"/>
        <item h="1" m="1" x="466"/>
        <item h="1" m="1" x="467"/>
        <item h="1" m="1" x="468"/>
        <item h="1" m="1" x="570"/>
        <item h="1" m="1" x="572"/>
        <item h="1" m="1" x="573"/>
        <item h="1" m="1" x="578"/>
        <item h="1" x="82"/>
        <item h="1" m="1" x="580"/>
        <item h="1" x="102"/>
        <item h="1" x="117"/>
        <item h="1" m="1" x="583"/>
        <item h="1" m="1" x="586"/>
        <item h="1" m="1" x="587"/>
        <item h="1" m="1" x="588"/>
        <item h="1" m="1" x="593"/>
        <item h="1" m="1" x="594"/>
        <item h="1" m="1" x="595"/>
        <item h="1" x="135"/>
        <item h="1" m="1" x="597"/>
        <item h="1" x="138"/>
        <item h="1" m="1" x="598"/>
        <item h="1" m="1" x="616"/>
        <item h="1" m="1" x="620"/>
        <item h="1" m="1" x="622"/>
        <item h="1" x="169"/>
        <item h="1" x="171"/>
        <item h="1" x="182"/>
        <item h="1" m="1" x="627"/>
        <item h="1" m="1" x="628"/>
        <item h="1" m="1" x="491"/>
        <item h="1" m="1" x="490"/>
        <item h="1" m="1" x="389"/>
        <item h="1" x="203"/>
        <item h="1" x="198"/>
        <item h="1" m="1" x="630"/>
        <item h="1" m="1" x="634"/>
        <item h="1" m="1" x="635"/>
        <item h="1" m="1" x="636"/>
        <item h="1" m="1" x="641"/>
        <item h="1" m="1" x="642"/>
        <item h="1" x="231"/>
        <item h="1" x="232"/>
        <item h="1" m="1" x="495"/>
        <item h="1" x="237"/>
        <item h="1" m="1" x="650"/>
        <item h="1" m="1" x="651"/>
        <item h="1" m="1" x="652"/>
        <item h="1" x="240"/>
        <item h="1" m="1" x="654"/>
        <item h="1" x="262"/>
        <item h="1" m="1" x="500"/>
        <item h="1" x="276"/>
        <item h="1" x="277"/>
        <item h="1" m="1" x="666"/>
        <item h="1" m="1" x="667"/>
        <item h="1" x="282"/>
        <item h="1" x="0"/>
        <item h="1" m="1" x="428"/>
        <item h="1" m="1" x="430"/>
        <item h="1" m="1" x="431"/>
        <item h="1" x="11"/>
        <item h="1" x="12"/>
        <item h="1" m="1" x="433"/>
        <item h="1" m="1" x="434"/>
        <item h="1" m="1" x="437"/>
        <item h="1" m="1" x="439"/>
        <item h="1" m="1" x="440"/>
        <item h="1" m="1" x="444"/>
        <item h="1" m="1" x="446"/>
        <item h="1" m="1" x="447"/>
        <item h="1" m="1" x="448"/>
        <item h="1" m="1" x="449"/>
        <item h="1" m="1" x="322"/>
        <item h="1" m="1" x="323"/>
        <item h="1" m="1" x="450"/>
        <item h="1" m="1" x="451"/>
        <item h="1" m="1" x="319"/>
        <item h="1" m="1" x="452"/>
        <item h="1" m="1" x="453"/>
        <item h="1" x="56"/>
        <item h="1" m="1" x="455"/>
        <item h="1" m="1" x="344"/>
        <item h="1" m="1" x="349"/>
        <item h="1" x="92"/>
        <item h="1" x="80"/>
        <item h="1" x="94"/>
        <item h="1" m="1" x="345"/>
        <item h="1" m="1" x="346"/>
        <item h="1" x="101"/>
        <item h="1" m="1" x="354"/>
        <item h="1" m="1" x="473"/>
        <item h="1" m="1" x="474"/>
        <item h="1" m="1" x="475"/>
        <item h="1" m="1" x="476"/>
        <item h="1" m="1" x="477"/>
        <item h="1" m="1" x="478"/>
        <item h="1" m="1" x="480"/>
        <item h="1" x="132"/>
        <item h="1" m="1" x="368"/>
        <item h="1" m="1" x="366"/>
        <item h="1" m="1" x="370"/>
        <item h="1" x="146"/>
        <item h="1" m="1" x="482"/>
        <item h="1" m="1" x="483"/>
        <item h="1" m="1" x="484"/>
        <item h="1" m="1" x="378"/>
        <item h="1" x="190"/>
        <item h="1" x="191"/>
        <item h="1" x="217"/>
        <item h="1" m="1" x="388"/>
        <item h="1" m="1" x="387"/>
        <item h="1" m="1" x="492"/>
        <item h="1" x="204"/>
        <item h="1" x="205"/>
        <item h="1" x="209"/>
        <item h="1" x="225"/>
        <item h="1" x="233"/>
        <item h="1" x="238"/>
        <item h="1" m="1" x="394"/>
        <item h="1" m="1" x="395"/>
        <item h="1" m="1" x="396"/>
        <item h="1" m="1" x="398"/>
        <item h="1" m="1" x="399"/>
        <item h="1" x="255"/>
        <item h="1" m="1" x="404"/>
        <item h="1" m="1" x="405"/>
        <item h="1" m="1" x="406"/>
        <item h="1" m="1" x="407"/>
        <item h="1" x="260"/>
        <item h="1" x="263"/>
        <item h="1" m="1" x="497"/>
        <item h="1" m="1" x="498"/>
        <item h="1" m="1" x="414"/>
        <item h="1" m="1" x="415"/>
        <item h="1" m="1" x="416"/>
        <item h="1" m="1" x="502"/>
        <item h="1" m="1" x="503"/>
        <item h="1" m="1" x="505"/>
        <item h="1" m="1" x="418"/>
        <item h="1" m="1" x="420"/>
        <item h="1" m="1" x="421"/>
        <item h="1" m="1" x="422"/>
        <item h="1" m="1" x="423"/>
        <item h="1" m="1" x="424"/>
        <item h="1" m="1" x="425"/>
        <item h="1" x="291"/>
        <item h="1" m="1" x="419"/>
        <item h="1" m="1" x="293"/>
        <item h="1" m="1" x="294"/>
        <item h="1" m="1" x="295"/>
        <item h="1" m="1" x="296"/>
        <item h="1" m="1" x="297"/>
        <item h="1" m="1" x="298"/>
        <item h="1" x="16"/>
        <item h="1" x="17"/>
        <item h="1" m="1" x="300"/>
        <item h="1" m="1" x="302"/>
        <item h="1" m="1" x="303"/>
        <item h="1" m="1" x="304"/>
        <item h="1" m="1" x="305"/>
        <item h="1" m="1" x="306"/>
        <item h="1" x="37"/>
        <item h="1" x="38"/>
        <item h="1" m="1" x="308"/>
        <item h="1" m="1" x="309"/>
        <item h="1" m="1" x="310"/>
        <item h="1" m="1" x="311"/>
        <item h="1" x="39"/>
        <item h="1" m="1" x="312"/>
        <item h="1" m="1" x="313"/>
        <item h="1" m="1" x="314"/>
        <item h="1" m="1" x="316"/>
        <item h="1" m="1" x="317"/>
        <item h="1" x="27"/>
        <item h="1" m="1" x="320"/>
        <item h="1" m="1" x="321"/>
        <item h="1" m="1" x="324"/>
        <item h="1" m="1" x="325"/>
        <item h="1" m="1" x="326"/>
        <item h="1" x="32"/>
        <item h="1" x="33"/>
        <item h="1" m="1" x="327"/>
        <item h="1" m="1" x="328"/>
        <item h="1" x="26"/>
        <item h="1" m="1" x="329"/>
        <item h="1" m="1" x="330"/>
        <item h="1" m="1" x="331"/>
        <item h="1" m="1" x="333"/>
        <item h="1" m="1" x="334"/>
        <item h="1" m="1" x="340"/>
        <item h="1" m="1" x="341"/>
        <item h="1" m="1" x="342"/>
        <item h="1" x="95"/>
        <item h="1" x="76"/>
        <item h="1" m="1" x="347"/>
        <item h="1" m="1" x="351"/>
        <item h="1" m="1" x="352"/>
        <item h="1" m="1" x="353"/>
        <item h="1" x="115"/>
        <item h="1" x="120"/>
        <item h="1" m="1" x="356"/>
        <item h="1" m="1" x="357"/>
        <item h="1" m="1" x="358"/>
        <item h="1" m="1" x="359"/>
        <item h="1" m="1" x="360"/>
        <item h="1" m="1" x="361"/>
        <item h="1" m="1" x="362"/>
        <item h="1" m="1" x="363"/>
        <item h="1" m="1" x="364"/>
        <item h="1" x="123"/>
        <item h="1" x="124"/>
        <item h="1" m="1" x="369"/>
        <item h="1" m="1" x="371"/>
        <item h="1" m="1" x="372"/>
        <item h="1" m="1" x="373"/>
        <item h="1" m="1" x="374"/>
        <item h="1" m="1" x="375"/>
        <item h="1" m="1" x="377"/>
        <item h="1" x="178"/>
        <item h="1" x="179"/>
        <item h="1" x="175"/>
        <item h="1" x="177"/>
        <item h="1" x="192"/>
        <item h="1" m="1" x="379"/>
        <item h="1" m="1" x="380"/>
        <item h="1" m="1" x="381"/>
        <item h="1" m="1" x="382"/>
        <item h="1" m="1" x="384"/>
        <item h="1" x="208"/>
        <item h="1" x="212"/>
        <item h="1" x="211"/>
        <item h="1" x="200"/>
        <item h="1" x="201"/>
        <item h="1" x="202"/>
        <item h="1" m="1" x="390"/>
        <item h="1" m="1" x="391"/>
        <item h="1" m="1" x="392"/>
        <item h="1" x="224"/>
        <item h="1" x="239"/>
        <item h="1" m="1" x="397"/>
        <item h="1" m="1" x="400"/>
        <item h="1" x="251"/>
        <item h="1" m="1" x="401"/>
        <item h="1" m="1" x="403"/>
        <item h="1" m="1" x="417"/>
        <item h="1" x="273"/>
        <item h="1" x="288"/>
        <item h="1" x="289"/>
        <item h="1" m="1" x="426"/>
        <item h="1" x="7"/>
        <item h="1" x="8"/>
        <item h="1" x="9"/>
        <item h="1" x="15"/>
        <item h="1" x="18"/>
        <item h="1" x="19"/>
        <item h="1" x="20"/>
        <item h="1" x="21"/>
        <item h="1" x="22"/>
        <item h="1" x="23"/>
        <item h="1" x="24"/>
        <item h="1" x="28"/>
        <item h="1" x="30"/>
        <item h="1" x="31"/>
        <item h="1" x="34"/>
        <item h="1" x="35"/>
        <item h="1" x="36"/>
        <item h="1" x="42"/>
        <item h="1" x="43"/>
        <item h="1" x="45"/>
        <item h="1" x="46"/>
        <item h="1" x="48"/>
        <item h="1" x="49"/>
        <item h="1" x="50"/>
        <item h="1" x="51"/>
        <item h="1" x="52"/>
        <item h="1" x="55"/>
        <item h="1" x="64"/>
        <item h="1" x="67"/>
        <item h="1" x="68"/>
        <item h="1" x="69"/>
        <item h="1" x="70"/>
        <item h="1" x="71"/>
        <item h="1" x="72"/>
        <item h="1" x="73"/>
        <item h="1" x="78"/>
        <item h="1" x="86"/>
        <item h="1" x="87"/>
        <item h="1" x="97"/>
        <item h="1" x="99"/>
        <item h="1" x="100"/>
        <item h="1" x="106"/>
        <item h="1" x="110"/>
        <item h="1" x="112"/>
        <item h="1" x="113"/>
        <item h="1" x="118"/>
        <item h="1" x="136"/>
        <item h="1" x="147"/>
        <item h="1" x="148"/>
        <item h="1" x="149"/>
        <item h="1" x="150"/>
        <item h="1" x="151"/>
        <item h="1" x="153"/>
        <item h="1" x="154"/>
        <item h="1" x="157"/>
        <item h="1" x="158"/>
        <item h="1" x="172"/>
        <item h="1" x="176"/>
        <item h="1" x="187"/>
        <item h="1" x="188"/>
        <item h="1" x="189"/>
        <item h="1" x="193"/>
        <item h="1" x="196"/>
        <item h="1" x="206"/>
        <item h="1" x="213"/>
        <item h="1" x="214"/>
        <item h="1" x="215"/>
        <item h="1" x="216"/>
        <item h="1" x="218"/>
        <item h="1" x="220"/>
        <item h="1" x="228"/>
        <item h="1" x="234"/>
        <item h="1" x="235"/>
        <item h="1" x="241"/>
        <item h="1" x="242"/>
        <item h="1" x="243"/>
        <item h="1" x="244"/>
        <item h="1" x="252"/>
        <item h="1" x="253"/>
        <item h="1" x="254"/>
        <item h="1" x="259"/>
        <item h="1" x="261"/>
        <item h="1" x="267"/>
        <item h="1" x="271"/>
        <item h="1" x="272"/>
        <item h="1" x="278"/>
        <item h="1" x="279"/>
        <item h="1" x="280"/>
        <item h="1" x="281"/>
        <item h="1" x="283"/>
        <item h="1" x="284"/>
        <item h="1" x="285"/>
        <item h="1" x="286"/>
        <item h="1" x="2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/>
    </i>
    <i>
      <x v="1"/>
    </i>
    <i>
      <x v="3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5">
    <format dxfId="332">
      <pivotArea outline="0" collapsedLevelsAreSubtotals="1" fieldPosition="0"/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dataOnly="0" labelOnly="1" grandRow="1" outline="0" fieldPosition="0"/>
    </format>
    <format dxfId="328">
      <pivotArea dataOnly="0" labelOnly="1" outline="0" axis="axisValues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dataOnly="0" labelOnly="1" grandRow="1" outline="0" fieldPosition="0"/>
    </format>
    <format dxfId="314">
      <pivotArea dataOnly="0" labelOnly="1" outline="0" axis="axisValues" fieldPosition="0"/>
    </format>
    <format dxfId="313">
      <pivotArea field="27" type="button" dataOnly="0" labelOnly="1" outline="0" axis="axisPage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type="all" dataOnly="0" outline="0" fieldPosition="0"/>
    </format>
    <format dxfId="307">
      <pivotArea dataOnly="0" labelOnly="1" outline="0" axis="axisValues" fieldPosition="0"/>
    </format>
    <format dxfId="306">
      <pivotArea outline="0" collapsedLevelsAreSubtotals="1" fieldPosition="0"/>
    </format>
    <format dxfId="305">
      <pivotArea dataOnly="0" labelOnly="1" grandRow="1" outline="0" fieldPosition="0"/>
    </format>
    <format dxfId="304">
      <pivotArea dataOnly="0" labelOnly="1" grandRow="1" outline="0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dataOnly="0" labelOnly="1" grandRow="1" outline="0" fieldPosition="0"/>
    </format>
    <format dxfId="300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dataOnly="0" labelOnly="1" outline="0" axis="axisValues" fieldPosition="0"/>
    </format>
    <format dxfId="299">
      <pivotArea dataOnly="0" labelOnly="1" fieldPosition="0">
        <references count="1">
          <reference field="6" count="0"/>
        </references>
      </pivotArea>
    </format>
    <format dxfId="298">
      <pivotArea dataOnly="0" labelOnly="1" fieldPosition="0">
        <references count="1">
          <reference field="6" count="0"/>
        </references>
      </pivotArea>
    </format>
    <format dxfId="297">
      <pivotArea field="27" type="button" dataOnly="0" labelOnly="1" outline="0" axis="axisPage" fieldPosition="0"/>
    </format>
    <format dxfId="296">
      <pivotArea field="6" type="button" dataOnly="0" labelOnly="1" outline="0" axis="axisRow" fieldPosition="0"/>
    </format>
    <format dxfId="295">
      <pivotArea dataOnly="0" labelOnly="1" fieldPosition="0">
        <references count="1">
          <reference field="6" count="5">
            <x v="0"/>
            <x v="1"/>
            <x v="2"/>
            <x v="5"/>
            <x v="6"/>
          </reference>
        </references>
      </pivotArea>
    </format>
    <format dxfId="29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11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I63" firstHeaderRow="1" firstDataRow="2" firstDataCol="1"/>
  <pivotFields count="45">
    <pivotField showAll="0"/>
    <pivotField showAll="0"/>
    <pivotField showAll="0"/>
    <pivotField numFmtId="164"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1"/>
        <item h="1" m="1" x="9"/>
        <item x="6"/>
        <item x="5"/>
        <item x="7"/>
        <item x="0"/>
        <item x="4"/>
        <item h="1" x="2"/>
        <item x="3"/>
        <item h="1" x="8"/>
        <item t="default"/>
      </items>
    </pivotField>
    <pivotField axis="axisRow" showAll="0" sortType="descending">
      <items count="34">
        <item x="3"/>
        <item m="1" x="29"/>
        <item m="1" x="26"/>
        <item x="6"/>
        <item x="1"/>
        <item x="4"/>
        <item x="10"/>
        <item x="11"/>
        <item x="20"/>
        <item x="13"/>
        <item m="1" x="30"/>
        <item x="17"/>
        <item m="1" x="28"/>
        <item m="1" x="27"/>
        <item x="5"/>
        <item x="16"/>
        <item m="1" x="32"/>
        <item m="1" x="31"/>
        <item m="1" x="24"/>
        <item m="1" x="23"/>
        <item x="7"/>
        <item x="8"/>
        <item x="2"/>
        <item x="18"/>
        <item x="12"/>
        <item x="15"/>
        <item x="0"/>
        <item x="9"/>
        <item x="14"/>
        <item m="1" x="25"/>
        <item m="1" x="22"/>
        <item m="1" x="21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20">
    <i>
      <x v="4"/>
    </i>
    <i>
      <x/>
    </i>
    <i>
      <x v="14"/>
    </i>
    <i>
      <x v="26"/>
    </i>
    <i>
      <x v="3"/>
    </i>
    <i>
      <x v="20"/>
    </i>
    <i>
      <x v="25"/>
    </i>
    <i>
      <x v="6"/>
    </i>
    <i>
      <x v="7"/>
    </i>
    <i>
      <x v="5"/>
    </i>
    <i>
      <x v="27"/>
    </i>
    <i>
      <x v="28"/>
    </i>
    <i>
      <x v="21"/>
    </i>
    <i>
      <x v="9"/>
    </i>
    <i>
      <x v="24"/>
    </i>
    <i>
      <x v="23"/>
    </i>
    <i>
      <x v="11"/>
    </i>
    <i>
      <x v="32"/>
    </i>
    <i>
      <x v="1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OBTS" fld="36" subtotal="count" baseField="0" baseItem="0"/>
  </dataFields>
  <formats count="53">
    <format dxfId="371">
      <pivotArea outline="0" collapsedLevelsAreSubtotals="1" fieldPosition="0"/>
    </format>
    <format dxfId="370">
      <pivotArea dataOnly="0" labelOnly="1" fieldPosition="0">
        <references count="1">
          <reference field="36" count="0"/>
        </references>
      </pivotArea>
    </format>
    <format dxfId="369">
      <pivotArea dataOnly="0" labelOnly="1" grandCol="1" outline="0" fieldPosition="0"/>
    </format>
    <format dxfId="368">
      <pivotArea type="all" dataOnly="0" outline="0" fieldPosition="0"/>
    </format>
    <format dxfId="367">
      <pivotArea outline="0" collapsedLevelsAreSubtotals="1" fieldPosition="0"/>
    </format>
    <format dxfId="366">
      <pivotArea type="origin" dataOnly="0" labelOnly="1" outline="0" fieldPosition="0"/>
    </format>
    <format dxfId="365">
      <pivotArea field="36" type="button" dataOnly="0" labelOnly="1" outline="0" axis="axisCol" fieldPosition="0"/>
    </format>
    <format dxfId="364">
      <pivotArea type="topRight" dataOnly="0" labelOnly="1" outline="0" fieldPosition="0"/>
    </format>
    <format dxfId="363">
      <pivotArea field="37" type="button" dataOnly="0" labelOnly="1" outline="0" axis="axisRow" fieldPosition="0"/>
    </format>
    <format dxfId="362">
      <pivotArea dataOnly="0" labelOnly="1" grandRow="1" outline="0" fieldPosition="0"/>
    </format>
    <format dxfId="361">
      <pivotArea dataOnly="0" labelOnly="1" fieldPosition="0">
        <references count="1">
          <reference field="36" count="0"/>
        </references>
      </pivotArea>
    </format>
    <format dxfId="360">
      <pivotArea dataOnly="0" labelOnly="1" grandCol="1" outline="0" fieldPosition="0"/>
    </format>
    <format>
      <pivotArea type="all" dataOnly="0" outline="0" fieldPosition="0"/>
    </format>
    <format dxfId="359">
      <pivotArea grandRow="1" outline="0" collapsedLevelsAreSubtotals="1" fieldPosition="0"/>
    </format>
    <format>
      <pivotArea type="all" dataOnly="0" outline="0" fieldPosition="0"/>
    </format>
    <format dxfId="358">
      <pivotArea outline="0" collapsedLevelsAreSubtotals="1" fieldPosition="0">
        <references count="1">
          <reference field="36" count="0" selected="0"/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36" type="button" dataOnly="0" labelOnly="1" outline="0" axis="axisCol" fieldPosition="0"/>
    </format>
    <format dxfId="354">
      <pivotArea type="topRight" dataOnly="0" labelOnly="1" outline="0" fieldPosition="0"/>
    </format>
    <format dxfId="353">
      <pivotArea dataOnly="0" labelOnly="1" fieldPosition="0">
        <references count="1">
          <reference field="36" count="0"/>
        </references>
      </pivotArea>
    </format>
    <format dxfId="352">
      <pivotArea dataOnly="0" labelOnly="1" grandCol="1" outline="0" fieldPosition="0"/>
    </format>
    <format dxfId="351">
      <pivotArea type="origin" dataOnly="0" labelOnly="1" outline="0" fieldPosition="0"/>
    </format>
    <format dxfId="350">
      <pivotArea field="37" type="button" dataOnly="0" labelOnly="1" outline="0" axis="axisRow" fieldPosition="0"/>
    </format>
    <format dxfId="349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48">
      <pivotArea dataOnly="0" labelOnly="1" grandRow="1" outline="0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type="origin" dataOnly="0" labelOnly="1" outline="0" fieldPosition="0"/>
    </format>
    <format dxfId="344">
      <pivotArea field="36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37" type="button" dataOnly="0" labelOnly="1" outline="0" axis="axisRow" fieldPosition="0"/>
    </format>
    <format dxfId="341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340">
      <pivotArea dataOnly="0" labelOnly="1" grandRow="1" outline="0" fieldPosition="0"/>
    </format>
    <format dxfId="339">
      <pivotArea dataOnly="0" labelOnly="1" fieldPosition="0">
        <references count="1">
          <reference field="36" count="0"/>
        </references>
      </pivotArea>
    </format>
    <format dxfId="338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37">
      <pivotArea type="origin" dataOnly="0" labelOnly="1" outline="0" fieldPosition="0"/>
    </format>
    <format dxfId="336">
      <pivotArea field="37" type="button" dataOnly="0" labelOnly="1" outline="0" axis="axisRow" fieldPosition="0"/>
    </format>
    <format dxfId="335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334">
      <pivotArea dataOnly="0" labelOnly="1" grandRow="1" outline="0" fieldPosition="0"/>
    </format>
    <format dxfId="333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4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3:I160" firstHeaderRow="1" firstDataRow="2" firstDataCol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3">
        <item x="66"/>
        <item m="1" x="122"/>
        <item x="11"/>
        <item x="5"/>
        <item m="1" x="79"/>
        <item x="17"/>
        <item m="1" x="119"/>
        <item x="18"/>
        <item m="1" x="69"/>
        <item m="1" x="85"/>
        <item x="52"/>
        <item x="41"/>
        <item x="40"/>
        <item m="1" x="68"/>
        <item m="1" x="99"/>
        <item x="15"/>
        <item m="1" x="88"/>
        <item x="16"/>
        <item m="1" x="156"/>
        <item x="24"/>
        <item x="12"/>
        <item m="1" x="111"/>
        <item m="1" x="81"/>
        <item x="39"/>
        <item x="14"/>
        <item x="38"/>
        <item x="23"/>
        <item x="13"/>
        <item x="25"/>
        <item m="1" x="107"/>
        <item x="29"/>
        <item m="1" x="93"/>
        <item x="3"/>
        <item x="22"/>
        <item x="35"/>
        <item x="36"/>
        <item m="1" x="154"/>
        <item x="34"/>
        <item x="37"/>
        <item x="28"/>
        <item x="43"/>
        <item m="1" x="76"/>
        <item x="49"/>
        <item m="1" x="90"/>
        <item m="1" x="125"/>
        <item m="1" x="143"/>
        <item m="1" x="96"/>
        <item x="10"/>
        <item x="0"/>
        <item m="1" x="91"/>
        <item x="51"/>
        <item m="1" x="82"/>
        <item m="1" x="117"/>
        <item m="1" x="123"/>
        <item x="33"/>
        <item x="42"/>
        <item m="1" x="129"/>
        <item x="8"/>
        <item x="9"/>
        <item m="1" x="103"/>
        <item x="50"/>
        <item m="1" x="121"/>
        <item x="48"/>
        <item m="1" x="161"/>
        <item x="53"/>
        <item x="54"/>
        <item x="19"/>
        <item x="1"/>
        <item x="55"/>
        <item m="1" x="113"/>
        <item x="20"/>
        <item m="1" x="128"/>
        <item m="1" x="80"/>
        <item x="32"/>
        <item x="4"/>
        <item m="1" x="75"/>
        <item m="1" x="94"/>
        <item m="1" x="114"/>
        <item m="1" x="105"/>
        <item m="1" x="67"/>
        <item m="1" x="98"/>
        <item m="1" x="138"/>
        <item x="57"/>
        <item m="1" x="72"/>
        <item x="26"/>
        <item m="1" x="112"/>
        <item x="59"/>
        <item m="1" x="131"/>
        <item m="1" x="109"/>
        <item m="1" x="73"/>
        <item x="6"/>
        <item m="1" x="160"/>
        <item x="45"/>
        <item x="2"/>
        <item m="1" x="106"/>
        <item m="1" x="89"/>
        <item m="1" x="110"/>
        <item m="1" x="137"/>
        <item m="1" x="115"/>
        <item x="7"/>
        <item m="1" x="108"/>
        <item m="1" x="134"/>
        <item x="30"/>
        <item m="1" x="74"/>
        <item x="31"/>
        <item x="56"/>
        <item m="1" x="70"/>
        <item m="1" x="130"/>
        <item m="1" x="139"/>
        <item m="1" x="100"/>
        <item m="1" x="142"/>
        <item x="21"/>
        <item m="1" x="144"/>
        <item m="1" x="148"/>
        <item x="27"/>
        <item m="1" x="159"/>
        <item m="1" x="104"/>
        <item m="1" x="158"/>
        <item m="1" x="135"/>
        <item m="1" x="132"/>
        <item m="1" x="78"/>
        <item m="1" x="150"/>
        <item m="1" x="153"/>
        <item x="47"/>
        <item m="1" x="77"/>
        <item m="1" x="102"/>
        <item m="1" x="157"/>
        <item m="1" x="84"/>
        <item m="1" x="118"/>
        <item m="1" x="155"/>
        <item m="1" x="92"/>
        <item m="1" x="87"/>
        <item m="1" x="86"/>
        <item m="1" x="95"/>
        <item m="1" x="152"/>
        <item m="1" x="151"/>
        <item m="1" x="133"/>
        <item m="1" x="149"/>
        <item m="1" x="141"/>
        <item m="1" x="147"/>
        <item m="1" x="146"/>
        <item m="1" x="145"/>
        <item m="1" x="124"/>
        <item m="1" x="120"/>
        <item m="1" x="101"/>
        <item m="1" x="136"/>
        <item m="1" x="116"/>
        <item m="1" x="140"/>
        <item x="44"/>
        <item x="65"/>
        <item m="1" x="127"/>
        <item m="1" x="126"/>
        <item x="58"/>
        <item m="1" x="97"/>
        <item x="60"/>
        <item x="64"/>
        <item x="63"/>
        <item x="46"/>
        <item x="62"/>
        <item x="61"/>
        <item m="1" x="83"/>
        <item m="1" x="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6"/>
        <item x="5"/>
        <item x="7"/>
        <item x="0"/>
        <item x="4"/>
        <item h="1" x="2"/>
        <item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66">
    <i>
      <x v="32"/>
    </i>
    <i>
      <x v="40"/>
    </i>
    <i>
      <x v="20"/>
    </i>
    <i>
      <x v="42"/>
    </i>
    <i>
      <x v="5"/>
    </i>
    <i>
      <x v="155"/>
    </i>
    <i>
      <x v="90"/>
    </i>
    <i>
      <x v="67"/>
    </i>
    <i>
      <x v="17"/>
    </i>
    <i>
      <x v="152"/>
    </i>
    <i>
      <x v="11"/>
    </i>
    <i>
      <x v="39"/>
    </i>
    <i>
      <x v="19"/>
    </i>
    <i>
      <x v="27"/>
    </i>
    <i>
      <x v="38"/>
    </i>
    <i>
      <x v="48"/>
    </i>
    <i>
      <x v="154"/>
    </i>
    <i>
      <x v="86"/>
    </i>
    <i>
      <x v="55"/>
    </i>
    <i>
      <x v="64"/>
    </i>
    <i>
      <x v="156"/>
    </i>
    <i>
      <x v="33"/>
    </i>
    <i>
      <x v="3"/>
    </i>
    <i>
      <x v="62"/>
    </i>
    <i>
      <x v="123"/>
    </i>
    <i>
      <x v="68"/>
    </i>
    <i>
      <x v="23"/>
    </i>
    <i>
      <x v="35"/>
    </i>
    <i>
      <x v="104"/>
    </i>
    <i>
      <x v="7"/>
    </i>
    <i>
      <x v="65"/>
    </i>
    <i>
      <x v="25"/>
    </i>
    <i>
      <x v="111"/>
    </i>
    <i>
      <x v="47"/>
    </i>
    <i>
      <x v="24"/>
    </i>
    <i>
      <x v="54"/>
    </i>
    <i>
      <x v="82"/>
    </i>
    <i>
      <x v="60"/>
    </i>
    <i>
      <x v="74"/>
    </i>
    <i>
      <x v="34"/>
    </i>
    <i>
      <x v="92"/>
    </i>
    <i>
      <x v="50"/>
    </i>
    <i>
      <x v="99"/>
    </i>
    <i>
      <x v="70"/>
    </i>
    <i>
      <x v="30"/>
    </i>
    <i>
      <x v="73"/>
    </i>
    <i>
      <x v="158"/>
    </i>
    <i>
      <x v="84"/>
    </i>
    <i>
      <x v="149"/>
    </i>
    <i>
      <x v="26"/>
    </i>
    <i>
      <x v="159"/>
    </i>
    <i>
      <x v="12"/>
    </i>
    <i>
      <x v="114"/>
    </i>
    <i>
      <x v="66"/>
    </i>
    <i>
      <x v="148"/>
    </i>
    <i>
      <x v="58"/>
    </i>
    <i>
      <x v="28"/>
    </i>
    <i>
      <x v="102"/>
    </i>
    <i>
      <x v="15"/>
    </i>
    <i>
      <x v="37"/>
    </i>
    <i>
      <x v="157"/>
    </i>
    <i>
      <x v="105"/>
    </i>
    <i>
      <x v="2"/>
    </i>
    <i>
      <x v="10"/>
    </i>
    <i>
      <x v="57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49">
    <format dxfId="506">
      <pivotArea outline="0" collapsedLevelsAreSubtotals="1" fieldPosition="0"/>
    </format>
    <format dxfId="505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04">
      <pivotArea dataOnly="0" labelOnly="1" grandCol="1" outline="0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500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499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498">
      <pivotArea dataOnly="0" labelOnly="1" grandCol="1" outline="0" fieldPosition="0"/>
    </format>
    <format dxfId="497">
      <pivotArea outline="0" collapsedLevelsAreSubtotals="1" fieldPosition="0"/>
    </format>
    <format dxfId="496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495">
      <pivotArea dataOnly="0" labelOnly="1" grandCol="1" outline="0" fieldPosition="0"/>
    </format>
    <format dxfId="494">
      <pivotArea field="20" grandCol="1" collapsedLevelsAreSubtotals="1" axis="axisRow" fieldPosition="0">
        <references count="1">
          <reference field="20" count="0"/>
        </references>
      </pivotArea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type="origin" dataOnly="0" labelOnly="1" outline="0" fieldPosition="0"/>
    </format>
    <format dxfId="490">
      <pivotArea field="36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20" type="button" dataOnly="0" labelOnly="1" outline="0" axis="axisRow" fieldPosition="0"/>
    </format>
    <format dxfId="487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486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485">
      <pivotArea dataOnly="0" labelOnly="1" grandRow="1" outline="0" fieldPosition="0"/>
    </format>
    <format dxfId="484">
      <pivotArea dataOnly="0" labelOnly="1" fieldPosition="0">
        <references count="1">
          <reference field="36" count="0"/>
        </references>
      </pivotArea>
    </format>
    <format dxfId="483">
      <pivotArea dataOnly="0" labelOnly="1" grandCol="1" outline="0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type="origin" dataOnly="0" labelOnly="1" outline="0" fieldPosition="0"/>
    </format>
    <format dxfId="479">
      <pivotArea field="36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20" type="button" dataOnly="0" labelOnly="1" outline="0" axis="axisRow" fieldPosition="0"/>
    </format>
    <format dxfId="476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475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474">
      <pivotArea dataOnly="0" labelOnly="1" grandRow="1" outline="0" fieldPosition="0"/>
    </format>
    <format dxfId="473">
      <pivotArea dataOnly="0" labelOnly="1" fieldPosition="0">
        <references count="1">
          <reference field="36" count="0"/>
        </references>
      </pivotArea>
    </format>
    <format dxfId="472">
      <pivotArea dataOnly="0" labelOnly="1" grandCol="1" outline="0" fieldPosition="0"/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type="origin" dataOnly="0" labelOnly="1" outline="0" fieldPosition="0"/>
    </format>
    <format dxfId="468">
      <pivotArea field="36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20" type="button" dataOnly="0" labelOnly="1" outline="0" axis="axisRow" fieldPosition="0"/>
    </format>
    <format dxfId="465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64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36" count="0"/>
        </references>
      </pivotArea>
    </format>
    <format dxfId="461">
      <pivotArea dataOnly="0" labelOnly="1" grandCol="1" outline="0" fieldPosition="0"/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type="origin" dataOnly="0" labelOnly="1" outline="0" fieldPosition="0"/>
    </format>
    <format dxfId="457">
      <pivotArea field="36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20" type="button" dataOnly="0" labelOnly="1" outline="0" axis="axisRow" fieldPosition="0"/>
    </format>
    <format dxfId="454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53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52">
      <pivotArea dataOnly="0" labelOnly="1" grandRow="1" outline="0" fieldPosition="0"/>
    </format>
    <format dxfId="451">
      <pivotArea dataOnly="0" labelOnly="1" fieldPosition="0">
        <references count="1">
          <reference field="36" count="0"/>
        </references>
      </pivotArea>
    </format>
    <format dxfId="450">
      <pivotArea dataOnly="0" labelOnly="1" grandCol="1" outline="0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type="origin" dataOnly="0" labelOnly="1" outline="0" fieldPosition="0"/>
    </format>
    <format dxfId="446">
      <pivotArea field="20" type="button" dataOnly="0" labelOnly="1" outline="0" axis="axisRow" fieldPosition="0"/>
    </format>
    <format dxfId="445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44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43">
      <pivotArea dataOnly="0" labelOnly="1" grandRow="1" outline="0" fieldPosition="0"/>
    </format>
    <format dxfId="442">
      <pivotArea dataOnly="0" labelOnly="1" fieldPosition="0">
        <references count="1">
          <reference field="36" count="0"/>
        </references>
      </pivotArea>
    </format>
    <format dxfId="441">
      <pivotArea dataOnly="0" labelOnly="1" grandCol="1" outline="0" fieldPosition="0"/>
    </format>
    <format dxfId="440">
      <pivotArea type="origin" dataOnly="0" labelOnly="1" outline="0" fieldPosition="0"/>
    </format>
    <format dxfId="439">
      <pivotArea field="20" type="button" dataOnly="0" labelOnly="1" outline="0" axis="axisRow" fieldPosition="0"/>
    </format>
    <format dxfId="43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3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36">
      <pivotArea dataOnly="0" labelOnly="1" grandRow="1" outline="0" fieldPosition="0"/>
    </format>
    <format dxfId="435">
      <pivotArea outline="0" collapsedLevelsAreSubtotals="1" fieldPosition="0"/>
    </format>
    <format dxfId="434">
      <pivotArea dataOnly="0" labelOnly="1" fieldPosition="0">
        <references count="1">
          <reference field="36" count="0"/>
        </references>
      </pivotArea>
    </format>
    <format dxfId="433">
      <pivotArea dataOnly="0" labelOnly="1" grandCol="1" outline="0" fieldPosition="0"/>
    </format>
    <format dxfId="432">
      <pivotArea outline="0" collapsedLevelsAreSubtotals="1" fieldPosition="0"/>
    </format>
    <format dxfId="431">
      <pivotArea dataOnly="0" labelOnly="1" fieldPosition="0">
        <references count="1">
          <reference field="36" count="0"/>
        </references>
      </pivotArea>
    </format>
    <format dxfId="430">
      <pivotArea dataOnly="0" labelOnly="1" grandCol="1" outline="0" fieldPosition="0"/>
    </format>
    <format dxfId="429">
      <pivotArea field="20" grandCol="1" collapsedLevelsAreSubtotals="1" axis="axisRow" fieldPosition="0">
        <references count="1">
          <reference field="20" count="0"/>
        </references>
      </pivotArea>
    </format>
    <format dxfId="428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427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26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425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424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23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422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421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420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19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type="origin" dataOnly="0" labelOnly="1" outline="0" fieldPosition="0"/>
    </format>
    <format dxfId="415">
      <pivotArea field="36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20" type="button" dataOnly="0" labelOnly="1" outline="0" axis="axisRow" fieldPosition="0"/>
    </format>
    <format dxfId="412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411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410">
      <pivotArea dataOnly="0" labelOnly="1" grandRow="1" outline="0" fieldPosition="0"/>
    </format>
    <format dxfId="409">
      <pivotArea dataOnly="0" labelOnly="1" fieldPosition="0">
        <references count="1">
          <reference field="36" count="0"/>
        </references>
      </pivotArea>
    </format>
    <format dxfId="408">
      <pivotArea dataOnly="0" labelOnly="1" grandCol="1" outline="0" fieldPosition="0"/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36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fieldPosition="0">
        <references count="1">
          <reference field="36" count="0"/>
        </references>
      </pivotArea>
    </format>
    <format dxfId="402">
      <pivotArea dataOnly="0" labelOnly="1" grandCol="1" outline="0" fieldPosition="0"/>
    </format>
    <format dxfId="401">
      <pivotArea dataOnly="0" labelOnly="1" fieldPosition="0">
        <references count="1">
          <reference field="20" count="0"/>
        </references>
      </pivotArea>
    </format>
    <format dxfId="400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399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398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397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396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395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394">
      <pivotArea type="origin" dataOnly="0" labelOnly="1" outline="0" fieldPosition="0"/>
    </format>
    <format dxfId="393">
      <pivotArea field="20" type="button" dataOnly="0" labelOnly="1" outline="0" axis="axisRow" fieldPosition="0"/>
    </format>
    <format dxfId="392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391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390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389">
      <pivotArea dataOnly="0" labelOnly="1" grandRow="1" outline="0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type="origin" dataOnly="0" labelOnly="1" outline="0" fieldPosition="0"/>
    </format>
    <format dxfId="385">
      <pivotArea field="36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20" type="button" dataOnly="0" labelOnly="1" outline="0" axis="axisRow" fieldPosition="0"/>
    </format>
    <format dxfId="382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381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380">
      <pivotArea dataOnly="0" labelOnly="1" grandRow="1" outline="0" fieldPosition="0"/>
    </format>
    <format dxfId="379">
      <pivotArea dataOnly="0" labelOnly="1" fieldPosition="0">
        <references count="1">
          <reference field="36" count="0"/>
        </references>
      </pivotArea>
    </format>
    <format dxfId="378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77">
      <pivotArea type="origin" dataOnly="0" labelOnly="1" outline="0" fieldPosition="0"/>
    </format>
    <format dxfId="376">
      <pivotArea field="20" type="button" dataOnly="0" labelOnly="1" outline="0" axis="axisRow" fieldPosition="0"/>
    </format>
    <format dxfId="375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374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373">
      <pivotArea dataOnly="0" labelOnly="1" grandRow="1" outline="0" fieldPosition="0"/>
    </format>
    <format dxfId="372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9" cacheId="14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Q138:R142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327"/>
        <item m="1" x="7187"/>
        <item m="1" x="4888"/>
        <item m="1" x="4887"/>
        <item m="1" x="6564"/>
        <item m="1" x="6565"/>
        <item m="1" x="6782"/>
        <item m="1" x="6611"/>
        <item m="1" x="6827"/>
        <item m="1" x="6248"/>
        <item m="1" x="7108"/>
        <item m="1" x="4891"/>
        <item m="1" x="4892"/>
        <item m="1" x="4893"/>
        <item m="1" x="4890"/>
        <item m="1" x="4889"/>
        <item m="1" x="4899"/>
        <item m="1" x="4896"/>
        <item m="1" x="4895"/>
        <item m="1" x="4894"/>
        <item m="1" x="4897"/>
        <item m="1" x="4906"/>
        <item m="1" x="4914"/>
        <item m="1" x="4904"/>
        <item m="1" x="4916"/>
        <item m="1" x="4898"/>
        <item m="1" x="4912"/>
        <item m="1" x="4907"/>
        <item m="1" x="4911"/>
        <item m="1" x="4908"/>
        <item m="1" x="4919"/>
        <item m="1" x="4920"/>
        <item m="1" x="4909"/>
        <item m="1" x="4910"/>
        <item m="1" x="4918"/>
        <item m="1" x="4905"/>
        <item m="1" x="4902"/>
        <item m="1" x="7645"/>
        <item m="1" x="6559"/>
        <item m="1" x="4917"/>
        <item m="1" x="4913"/>
        <item m="1" x="4901"/>
        <item m="1" x="4900"/>
        <item m="1" x="4903"/>
        <item m="1" x="4915"/>
        <item m="1" x="4921"/>
        <item m="1" x="4021"/>
        <item m="1" x="5461"/>
        <item m="1" x="6561"/>
        <item m="1" x="5844"/>
        <item m="1" x="6734"/>
        <item m="1" x="6733"/>
        <item m="1" x="6735"/>
        <item m="1" x="6736"/>
        <item m="1" x="6737"/>
        <item m="1" x="6738"/>
        <item m="1" x="5652"/>
        <item m="1" x="6826"/>
        <item m="1" x="5752"/>
        <item m="1" x="5026"/>
        <item m="1" x="3372"/>
        <item m="1" x="6780"/>
        <item m="1" x="6889"/>
        <item m="1" x="4707"/>
        <item m="1" x="6525"/>
        <item m="1" x="4923"/>
        <item m="1" x="6888"/>
        <item m="1" x="6596"/>
        <item m="1" x="7454"/>
        <item m="1" x="5765"/>
        <item m="1" x="6714"/>
        <item m="1" x="5178"/>
        <item m="1" x="7303"/>
        <item m="1" x="7084"/>
        <item m="1" x="7085"/>
        <item m="1" x="6542"/>
        <item m="1" x="6544"/>
        <item m="1" x="5937"/>
        <item m="1" x="5808"/>
        <item m="1" x="6541"/>
        <item m="1" x="6554"/>
        <item m="1" x="4770"/>
        <item m="1" x="6560"/>
        <item m="1" x="5764"/>
        <item m="1" x="6537"/>
        <item m="1" x="6538"/>
        <item m="1" x="7764"/>
        <item m="1" x="6539"/>
        <item m="1" x="6540"/>
        <item m="1" x="6543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5"/>
        <item m="1" x="6533"/>
        <item m="1" x="6535"/>
        <item m="1" x="7642"/>
        <item m="1" x="7763"/>
        <item m="1" x="7765"/>
        <item m="1" x="7638"/>
        <item m="1" x="7766"/>
        <item m="1" x="3753"/>
        <item m="1" x="6664"/>
        <item m="1" x="6668"/>
        <item m="1" x="4417"/>
        <item m="1" x="1977"/>
        <item m="1" x="2042"/>
        <item m="1" x="6532"/>
        <item m="1" x="6678"/>
        <item m="1" x="1996"/>
        <item m="1" x="4936"/>
        <item m="1" x="6795"/>
        <item m="1" x="6793"/>
        <item m="1" x="6665"/>
        <item m="1" x="7398"/>
        <item m="1" x="6781"/>
        <item m="1" x="5856"/>
        <item m="1" x="5380"/>
        <item m="1" x="7946"/>
        <item m="1" x="6534"/>
        <item m="1" x="6536"/>
        <item m="1" x="6663"/>
        <item m="1" x="7414"/>
        <item m="1" x="3088"/>
        <item m="1" x="7861"/>
        <item m="1" x="7953"/>
        <item m="1" x="7945"/>
        <item m="1" x="7944"/>
        <item m="1" x="7943"/>
        <item m="1" x="6836"/>
        <item m="1" x="6666"/>
        <item m="1" x="3513"/>
        <item m="1" x="6390"/>
        <item m="1" x="7453"/>
        <item m="1" x="7950"/>
        <item m="1" x="5762"/>
        <item m="1" x="7184"/>
        <item m="1" x="6816"/>
        <item m="1" x="6710"/>
        <item m="1" x="7951"/>
        <item m="1" x="2413"/>
        <item m="1" x="7124"/>
        <item m="1" x="7856"/>
        <item m="1" x="6819"/>
        <item m="1" x="5115"/>
        <item m="1" x="6797"/>
        <item m="1" x="6636"/>
        <item m="1" x="7110"/>
        <item m="1" x="7952"/>
        <item m="1" x="7948"/>
        <item m="1" x="7949"/>
        <item m="1" x="7947"/>
        <item m="1" x="6558"/>
        <item m="1" x="7891"/>
        <item m="1" x="4184"/>
        <item m="1" x="6667"/>
        <item m="1" x="6254"/>
        <item m="1" x="6592"/>
        <item m="1" x="6967"/>
        <item m="1" x="3997"/>
        <item m="1" x="6966"/>
        <item m="1" x="6593"/>
        <item m="1" x="7938"/>
        <item m="1" x="7935"/>
        <item m="1" x="7936"/>
        <item m="1" x="7939"/>
        <item m="1" x="7472"/>
        <item m="1" x="5763"/>
        <item m="1" x="7666"/>
        <item m="1" x="7637"/>
        <item m="1" x="4092"/>
        <item m="1" x="7899"/>
        <item m="1" x="5761"/>
        <item m="1" x="7995"/>
        <item m="1" x="6627"/>
        <item m="1" x="7825"/>
        <item m="1" x="6750"/>
        <item m="1" x="5420"/>
        <item m="1" x="6794"/>
        <item m="1" x="5841"/>
        <item m="1" x="6702"/>
        <item m="1" x="7937"/>
        <item m="1" x="7070"/>
        <item m="1" x="6591"/>
        <item m="1" x="5759"/>
        <item m="1" x="6700"/>
        <item m="1" x="7515"/>
        <item m="1" x="5801"/>
        <item m="1" x="7957"/>
        <item m="1" x="7954"/>
        <item m="1" x="5999"/>
        <item m="1" x="7873"/>
        <item m="1" x="5837"/>
        <item m="1" x="7955"/>
        <item m="1" x="7956"/>
        <item m="1" x="7122"/>
        <item m="1" x="2078"/>
        <item m="1" x="7762"/>
        <item m="1" x="7940"/>
        <item m="1" x="7941"/>
        <item m="1" x="7942"/>
        <item m="1" x="886"/>
        <item m="1" x="888"/>
        <item m="1" x="6228"/>
        <item m="1" x="7427"/>
        <item m="1" x="5240"/>
        <item m="1" x="3363"/>
        <item m="1" x="6928"/>
        <item m="1" x="5090"/>
        <item m="1" x="7478"/>
        <item m="1" x="7968"/>
        <item m="1" x="6523"/>
        <item m="1" x="7959"/>
        <item m="1" x="7960"/>
        <item m="1" x="2092"/>
        <item m="1" x="7958"/>
        <item m="1" x="7618"/>
        <item m="1" x="6639"/>
        <item m="1" x="5660"/>
        <item m="1" x="5758"/>
        <item m="1" x="7652"/>
        <item m="1" x="6638"/>
        <item m="1" x="7817"/>
        <item m="1" x="7752"/>
        <item m="1" x="6683"/>
        <item m="1" x="6685"/>
        <item m="1" x="6691"/>
        <item m="1" x="6701"/>
        <item m="1" x="7674"/>
        <item m="1" x="7029"/>
        <item m="1" x="6792"/>
        <item m="1" x="6722"/>
        <item m="1" x="6728"/>
        <item m="1" x="890"/>
        <item m="1" x="6740"/>
        <item m="1" x="7578"/>
        <item m="1" x="6749"/>
        <item m="1" x="7705"/>
        <item m="1" x="6841"/>
        <item m="1" x="7966"/>
        <item m="1" x="7967"/>
        <item m="1" x="7624"/>
        <item m="1" x="7415"/>
        <item m="1" x="7639"/>
        <item m="1" x="7640"/>
        <item m="1" x="7753"/>
        <item m="1" x="7625"/>
        <item m="1" x="7910"/>
        <item m="1" x="4410"/>
        <item m="1" x="7909"/>
        <item m="1" x="7622"/>
        <item m="1" x="7623"/>
        <item m="1" x="7969"/>
        <item m="1" x="7970"/>
        <item m="1" x="7641"/>
        <item m="1" x="7419"/>
        <item m="1" x="7697"/>
        <item m="1" x="6393"/>
        <item m="1" x="7149"/>
        <item m="1" x="7653"/>
        <item m="1" x="7816"/>
        <item m="1" x="6413"/>
        <item m="1" x="7695"/>
        <item m="1" x="7655"/>
        <item m="1" x="7670"/>
        <item m="1" x="1991"/>
        <item m="1" x="6088"/>
        <item m="1" x="7672"/>
        <item m="1" x="7671"/>
        <item m="1" x="7675"/>
        <item m="1" x="7673"/>
        <item m="1" x="6698"/>
        <item m="1" x="7826"/>
        <item m="1" x="7835"/>
        <item m="1" x="7684"/>
        <item m="1" x="6087"/>
        <item m="1" x="6086"/>
        <item m="1" x="5814"/>
        <item m="1" x="7416"/>
        <item m="1" x="7755"/>
        <item m="1" x="7417"/>
        <item m="1" x="7491"/>
        <item m="1" x="7961"/>
        <item m="1" x="7962"/>
        <item m="1" x="7756"/>
        <item m="1" x="7963"/>
        <item m="1" x="7492"/>
        <item m="1" x="7964"/>
        <item m="1" x="7757"/>
        <item m="1" x="7758"/>
        <item m="1" x="7418"/>
        <item m="1" x="6842"/>
        <item m="1" x="7965"/>
        <item m="1" x="7626"/>
        <item m="1" x="7972"/>
        <item m="1" x="7420"/>
        <item m="1" x="7974"/>
        <item m="1" x="7644"/>
        <item m="1" x="7973"/>
        <item m="1" x="7971"/>
        <item m="1" x="7411"/>
        <item m="1" x="7754"/>
        <item m="1" x="7647"/>
        <item m="1" x="5755"/>
        <item m="1" x="5790"/>
        <item m="1" x="6689"/>
        <item m="1" x="5751"/>
        <item m="1" x="6085"/>
        <item m="1" x="7831"/>
        <item m="1" x="7830"/>
        <item m="1" x="7829"/>
        <item m="1" x="6084"/>
        <item m="1" x="5754"/>
        <item m="1" x="5753"/>
        <item m="1" x="6263"/>
        <item m="1" x="1920"/>
        <item m="1" x="5379"/>
        <item m="1" x="6250"/>
        <item m="1" x="7858"/>
        <item m="1" x="6467"/>
        <item m="1" x="5914"/>
        <item m="1" x="7802"/>
        <item m="1" x="6083"/>
        <item m="1" x="7239"/>
        <item m="1" x="7112"/>
        <item m="1" x="6981"/>
        <item m="1" x="7759"/>
        <item m="1" x="7911"/>
        <item m="1" x="5766"/>
        <item m="1" x="7912"/>
        <item m="1" x="7913"/>
        <item m="1" x="7914"/>
        <item m="1" x="7918"/>
        <item m="1" x="7919"/>
        <item m="1" x="7631"/>
        <item m="1" x="7760"/>
        <item m="1" x="7632"/>
        <item m="1" x="7920"/>
        <item m="1" x="7630"/>
        <item m="1" x="7410"/>
        <item m="1" x="7761"/>
        <item m="1" x="7921"/>
        <item m="1" x="7751"/>
        <item m="1" x="7917"/>
        <item m="1" x="7915"/>
        <item m="1" x="7628"/>
        <item m="1" x="7916"/>
        <item m="1" x="7629"/>
        <item m="1" x="7900"/>
        <item m="1" x="7901"/>
        <item m="1" x="7409"/>
        <item m="1" x="7902"/>
        <item m="1" x="7903"/>
        <item m="1" x="7904"/>
        <item m="1" x="7905"/>
        <item m="1" x="7906"/>
        <item m="1" x="7907"/>
        <item m="1" x="7908"/>
        <item m="1" x="1979"/>
        <item m="1" x="6890"/>
        <item m="1" x="6568"/>
        <item m="1" x="7985"/>
        <item m="1" x="7134"/>
        <item m="1" x="6251"/>
        <item m="1" x="7648"/>
        <item m="1" x="6899"/>
        <item m="1" x="7428"/>
        <item m="1" x="6904"/>
        <item m="1" x="7588"/>
        <item m="1" x="6411"/>
        <item m="1" x="6645"/>
        <item m="1" x="7479"/>
        <item m="1" x="7301"/>
        <item m="1" x="6693"/>
        <item m="1" x="6089"/>
        <item m="1" x="7447"/>
        <item m="1" x="7833"/>
        <item m="1" x="7871"/>
        <item m="1" x="5767"/>
        <item m="1" x="5490"/>
        <item m="1" x="6978"/>
        <item m="1" x="6798"/>
        <item m="1" x="7976"/>
        <item m="1" x="5757"/>
        <item m="1" x="6852"/>
        <item m="1" x="6812"/>
        <item m="1" x="6853"/>
        <item m="1" x="6850"/>
        <item m="1" x="5391"/>
        <item m="1" x="5394"/>
        <item m="1" x="6877"/>
        <item m="1" x="6878"/>
        <item m="1" x="7882"/>
        <item m="1" x="7883"/>
        <item m="1" x="7884"/>
        <item m="1" x="7885"/>
        <item m="1" x="7886"/>
        <item m="1" x="6259"/>
        <item m="1" x="7887"/>
        <item m="1" x="7742"/>
        <item m="1" x="7927"/>
        <item m="1" x="7928"/>
        <item m="1" x="7929"/>
        <item m="1" x="7635"/>
        <item m="1" x="7636"/>
        <item m="1" x="7634"/>
        <item m="1" x="7633"/>
        <item m="1" x="7768"/>
        <item m="1" x="7895"/>
        <item m="1" x="7413"/>
        <item m="1" x="7452"/>
        <item m="1" x="6557"/>
        <item m="1" x="4937"/>
        <item m="1" x="4404"/>
        <item m="1" x="6391"/>
        <item m="1" x="7980"/>
        <item m="1" x="7981"/>
        <item m="1" x="7982"/>
        <item m="1" x="7984"/>
        <item m="1" x="6594"/>
        <item m="1" x="7986"/>
        <item m="1" x="7994"/>
        <item m="1" x="7993"/>
        <item m="1" x="7992"/>
        <item m="1" x="7794"/>
        <item m="1" x="5773"/>
        <item m="1" x="7619"/>
        <item m="1" x="7646"/>
        <item m="1" x="5995"/>
        <item m="1" x="7978"/>
        <item m="1" x="6684"/>
        <item m="1" x="4022"/>
        <item m="1" x="7300"/>
        <item m="1" x="5772"/>
        <item m="1" x="6695"/>
        <item m="1" x="7202"/>
        <item m="1" x="7450"/>
        <item m="1" x="7689"/>
        <item m="1" x="7847"/>
        <item m="1" x="5769"/>
        <item m="1" x="5775"/>
        <item m="1" x="5768"/>
        <item m="1" x="5774"/>
        <item m="1" x="6249"/>
        <item m="1" x="6744"/>
        <item m="1" x="6747"/>
        <item m="1" x="7930"/>
        <item m="1" x="5786"/>
        <item m="1" x="5771"/>
        <item m="1" x="6809"/>
        <item m="1" x="2405"/>
        <item m="1" x="5544"/>
        <item m="1" x="7798"/>
        <item m="1" x="6506"/>
        <item m="1" x="5997"/>
        <item m="1" x="7888"/>
        <item m="1" x="7889"/>
        <item m="1" x="7748"/>
        <item m="1" x="891"/>
        <item m="1" x="6094"/>
        <item m="1" x="7926"/>
        <item m="1" x="6095"/>
        <item m="1" x="7924"/>
        <item m="1" x="7925"/>
        <item m="1" x="6093"/>
        <item m="1" x="6886"/>
        <item m="1" x="7620"/>
        <item m="1" x="7767"/>
        <item m="1" x="7931"/>
        <item m="1" x="7621"/>
        <item m="1" x="7493"/>
        <item m="1" x="7412"/>
        <item m="1" x="7932"/>
        <item m="1" x="7933"/>
        <item m="1" x="7934"/>
        <item m="1" x="7897"/>
        <item m="1" x="7898"/>
        <item m="1" x="7975"/>
        <item m="1" x="7979"/>
        <item m="1" x="7213"/>
        <item m="1" x="7133"/>
        <item m="1" x="7774"/>
        <item m="1" x="7987"/>
        <item m="1" x="6260"/>
        <item m="1" x="7503"/>
        <item m="1" x="5783"/>
        <item m="1" x="7997"/>
        <item m="1" x="7779"/>
        <item m="1" x="6613"/>
        <item m="1" x="7782"/>
        <item m="1" x="6625"/>
        <item m="1" x="6626"/>
        <item m="1" x="5459"/>
        <item m="1" x="5802"/>
        <item m="1" x="5780"/>
        <item m="1" x="6261"/>
        <item m="1" x="6253"/>
        <item m="1" x="5828"/>
        <item m="1" x="6661"/>
        <item m="1" x="7822"/>
        <item m="1" x="4931"/>
        <item m="1" x="6694"/>
        <item m="1" x="7201"/>
        <item m="1" x="7739"/>
        <item m="1" x="7834"/>
        <item m="1" x="6252"/>
        <item m="1" x="5779"/>
        <item m="1" x="5781"/>
        <item m="1" x="7698"/>
        <item m="1" x="7702"/>
        <item m="1" x="5778"/>
        <item m="1" x="7208"/>
        <item m="1" x="5784"/>
        <item m="1" x="5546"/>
        <item m="1" x="6818"/>
        <item m="1" x="6828"/>
        <item m="1" x="7890"/>
        <item m="1" x="7545"/>
        <item m="1" x="7892"/>
        <item m="1" x="7893"/>
        <item m="1" x="7894"/>
        <item m="1" x="7896"/>
        <item m="1" x="7127"/>
        <item m="1" x="7922"/>
        <item m="1" x="7923"/>
        <item m="1" x="7977"/>
        <item m="1" x="7263"/>
        <item m="1" x="7983"/>
        <item m="1" x="6569"/>
        <item m="1" x="6985"/>
        <item m="1" x="7988"/>
        <item m="1" x="7989"/>
        <item m="1" x="7990"/>
        <item m="1" x="7991"/>
        <item m="1" x="7426"/>
        <item m="1" x="7996"/>
        <item m="1" x="3924"/>
        <item m="1" x="5072"/>
        <item m="1" x="7998"/>
        <item m="1" x="6906"/>
        <item m="1" x="6907"/>
        <item m="1" x="7778"/>
        <item m="1" x="6609"/>
        <item m="1" x="7999"/>
        <item m="1" x="7780"/>
        <item m="1" x="7781"/>
        <item m="1" x="7801"/>
        <item m="1" x="7800"/>
        <item m="1" x="7803"/>
        <item m="1" x="7651"/>
        <item m="1" x="6697"/>
        <item m="1" x="6262"/>
        <item m="1" x="5797"/>
        <item m="1" x="7544"/>
        <item m="1" x="7546"/>
        <item m="1" x="7823"/>
        <item m="1" x="5390"/>
        <item m="1" x="7827"/>
        <item m="1" x="6942"/>
        <item m="1" x="6723"/>
        <item m="1" x="7692"/>
        <item m="1" x="7846"/>
        <item m="1" x="7840"/>
        <item m="1" x="5787"/>
        <item m="1" x="7359"/>
        <item m="1" x="7360"/>
        <item m="1" x="7358"/>
        <item m="1" x="7517"/>
        <item m="1" x="6811"/>
        <item m="1" x="7473"/>
        <item m="1" x="7596"/>
        <item m="1" x="6833"/>
        <item m="1" x="6096"/>
        <item m="1" x="7838"/>
        <item m="1" x="6662"/>
        <item m="1" x="7615"/>
        <item m="1" x="7741"/>
        <item m="1" x="6526"/>
        <item m="1" x="7743"/>
        <item m="1" x="7744"/>
        <item m="1" x="7745"/>
        <item m="1" x="7746"/>
        <item m="1" x="7747"/>
        <item m="1" x="7749"/>
        <item m="1" x="7750"/>
        <item m="1" x="4929"/>
        <item m="1" x="4406"/>
        <item m="1" x="4407"/>
        <item m="1" x="6556"/>
        <item m="1" x="4928"/>
        <item m="1" x="7257"/>
        <item m="1" x="7125"/>
        <item m="1" x="7126"/>
        <item m="1" x="7627"/>
        <item m="1" x="7256"/>
        <item m="1" x="7643"/>
        <item m="1" x="4886"/>
        <item m="1" x="4408"/>
        <item m="1" x="5776"/>
        <item m="1" x="7129"/>
        <item m="1" x="7769"/>
        <item m="1" x="7770"/>
        <item m="1" x="6271"/>
        <item m="1" x="7771"/>
        <item m="1" x="7772"/>
        <item m="1" x="7773"/>
        <item m="1" x="6585"/>
        <item m="1" x="5022"/>
        <item m="1" x="5794"/>
        <item m="1" x="6266"/>
        <item m="1" x="7264"/>
        <item m="1" x="7775"/>
        <item m="1" x="7776"/>
        <item m="1" x="6905"/>
        <item m="1" x="7777"/>
        <item m="1" x="2052"/>
        <item m="1" x="7160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5"/>
        <item m="1" x="7796"/>
        <item m="1" x="7797"/>
        <item m="1" x="7799"/>
        <item m="1" x="7804"/>
        <item m="1" x="6634"/>
        <item m="1" x="2469"/>
        <item m="1" x="5795"/>
        <item m="1" x="5792"/>
        <item m="1" x="6635"/>
        <item m="1" x="6097"/>
        <item m="1" x="6092"/>
        <item m="1" x="6090"/>
        <item m="1" x="7805"/>
        <item m="1" x="7806"/>
        <item m="1" x="7807"/>
        <item m="1" x="7808"/>
        <item m="1" x="3365"/>
        <item m="1" x="7809"/>
        <item m="1" x="7810"/>
        <item m="1" x="7811"/>
        <item m="1" x="7812"/>
        <item m="1" x="7813"/>
        <item m="1" x="7814"/>
        <item m="1" x="7815"/>
        <item m="1" x="5858"/>
        <item m="1" x="7818"/>
        <item m="1" x="7819"/>
        <item m="1" x="6652"/>
        <item m="1" x="6654"/>
        <item m="1" x="7820"/>
        <item m="1" x="7821"/>
        <item m="1" x="6669"/>
        <item m="1" x="6670"/>
        <item m="1" x="6671"/>
        <item m="1" x="7824"/>
        <item m="1" x="7661"/>
        <item m="1" x="7662"/>
        <item m="1" x="7663"/>
        <item m="1" x="7664"/>
        <item m="1" x="7665"/>
        <item m="1" x="7185"/>
        <item m="1" x="5471"/>
        <item m="1" x="6708"/>
        <item m="1" x="5554"/>
        <item m="1" x="7828"/>
        <item m="1" x="7446"/>
        <item m="1" x="6975"/>
        <item m="1" x="7832"/>
        <item m="1" x="7836"/>
        <item m="1" x="7837"/>
        <item m="1" x="7839"/>
        <item m="1" x="6255"/>
        <item m="1" x="7458"/>
        <item m="1" x="7841"/>
        <item m="1" x="6257"/>
        <item m="1" x="7690"/>
        <item m="1" x="6258"/>
        <item m="1" x="7842"/>
        <item m="1" x="7843"/>
        <item m="1" x="7844"/>
        <item m="1" x="5089"/>
        <item m="1" x="6256"/>
        <item m="1" x="7845"/>
        <item m="1" x="7693"/>
        <item m="1" x="7848"/>
        <item m="1" x="7849"/>
        <item m="1" x="5423"/>
        <item m="1" x="6919"/>
        <item m="1" x="6091"/>
        <item m="1" x="5770"/>
        <item m="1" x="7461"/>
        <item m="1" x="7850"/>
        <item m="1" x="7851"/>
        <item m="1" x="522"/>
        <item m="1" x="7704"/>
        <item m="1" x="5793"/>
        <item m="1" x="7852"/>
        <item m="1" x="7853"/>
        <item m="1" x="6570"/>
        <item m="1" x="7854"/>
        <item m="1" x="7353"/>
        <item m="1" x="7855"/>
        <item m="1" x="6787"/>
        <item m="1" x="5495"/>
        <item m="1" x="7857"/>
        <item m="1" x="7467"/>
        <item m="1" x="7714"/>
        <item m="1" x="7715"/>
        <item m="1" x="7716"/>
        <item m="1" x="7075"/>
        <item m="1" x="7859"/>
        <item m="1" x="7860"/>
        <item m="1" x="7593"/>
        <item m="1" x="7720"/>
        <item m="1" x="7721"/>
        <item m="1" x="7862"/>
        <item m="1" x="7863"/>
        <item m="1" x="7864"/>
        <item m="1" x="7865"/>
        <item m="1" x="7866"/>
        <item m="1" x="7867"/>
        <item m="1" x="6814"/>
        <item m="1" x="7868"/>
        <item m="1" x="7869"/>
        <item m="1" x="7870"/>
        <item m="1" x="6829"/>
        <item m="1" x="7872"/>
        <item m="1" x="7874"/>
        <item m="1" x="7875"/>
        <item m="1" x="7876"/>
        <item m="1" x="7877"/>
        <item m="1" x="7878"/>
        <item m="1" x="6854"/>
        <item m="1" x="7879"/>
        <item m="1" x="7880"/>
        <item m="1" x="7881"/>
        <item m="1" x="6861"/>
        <item m="1" x="6864"/>
        <item m="1" x="6866"/>
        <item m="1" x="6874"/>
        <item m="1" x="6875"/>
        <item m="1" x="7616"/>
        <item m="1" x="6524"/>
        <item m="1" x="7490"/>
        <item m="1" x="6529"/>
        <item m="1" x="7617"/>
        <item m="1" x="1980"/>
        <item m="1" x="7496"/>
        <item m="1" x="7495"/>
        <item m="1" x="7499"/>
        <item m="1" x="7591"/>
        <item m="1" x="6602"/>
        <item m="1" x="7509"/>
        <item m="1" x="7508"/>
        <item m="1" x="7507"/>
        <item m="1" x="7506"/>
        <item m="1" x="7505"/>
        <item m="1" x="6610"/>
        <item m="1" x="6993"/>
        <item m="1" x="7511"/>
        <item m="1" x="7510"/>
        <item m="1" x="7649"/>
        <item m="1" x="7650"/>
        <item m="1" x="7518"/>
        <item m="1" x="7514"/>
        <item m="1" x="7516"/>
        <item m="1" x="5996"/>
        <item m="1" x="6633"/>
        <item m="1" x="7522"/>
        <item m="1" x="1524"/>
        <item m="1" x="5796"/>
        <item m="1" x="7526"/>
        <item m="1" x="7527"/>
        <item m="1" x="7528"/>
        <item m="1" x="7529"/>
        <item m="1" x="7434"/>
        <item m="1" x="7538"/>
        <item m="1" x="7539"/>
        <item m="1" x="7540"/>
        <item m="1" x="7541"/>
        <item m="1" x="7542"/>
        <item m="1" x="6649"/>
        <item m="1" x="6647"/>
        <item m="1" x="6648"/>
        <item m="1" x="7654"/>
        <item m="1" x="7656"/>
        <item m="1" x="7657"/>
        <item m="1" x="6917"/>
        <item m="1" x="7658"/>
        <item m="1" x="7659"/>
        <item m="1" x="7660"/>
        <item m="1" x="6424"/>
        <item m="1" x="7667"/>
        <item m="1" x="7668"/>
        <item m="1" x="7669"/>
        <item m="1" x="6098"/>
        <item m="1" x="7676"/>
        <item m="1" x="7677"/>
        <item m="1" x="7678"/>
        <item m="1" x="7679"/>
        <item m="1" x="6706"/>
        <item m="1" x="6270"/>
        <item m="1" x="6707"/>
        <item m="1" x="7104"/>
        <item m="1" x="5509"/>
        <item m="1" x="6705"/>
        <item m="1" x="7680"/>
        <item m="1" x="7681"/>
        <item m="1" x="2418"/>
        <item m="1" x="7554"/>
        <item m="1" x="7555"/>
        <item m="1" x="7682"/>
        <item m="1" x="7445"/>
        <item m="1" x="7488"/>
        <item m="1" x="7560"/>
        <item m="1" x="6804"/>
        <item m="1" x="6892"/>
        <item m="1" x="6918"/>
        <item m="1" x="2404"/>
        <item m="1" x="7683"/>
        <item m="1" x="7563"/>
        <item m="1" x="6264"/>
        <item m="1" x="7685"/>
        <item m="1" x="6268"/>
        <item m="1" x="6265"/>
        <item m="1" x="6267"/>
        <item m="1" x="7686"/>
        <item m="1" x="6100"/>
        <item m="1" x="6947"/>
        <item m="1" x="7687"/>
        <item m="1" x="7688"/>
        <item m="1" x="7583"/>
        <item m="1" x="7691"/>
        <item m="1" x="7694"/>
        <item m="1" x="7574"/>
        <item m="1" x="7457"/>
        <item m="1" x="5798"/>
        <item m="1" x="7696"/>
        <item m="1" x="7577"/>
        <item m="1" x="7575"/>
        <item m="1" x="6776"/>
        <item m="1" x="5799"/>
        <item m="1" x="7699"/>
        <item m="1" x="7700"/>
        <item m="1" x="7701"/>
        <item m="1" x="7703"/>
        <item m="1" x="7706"/>
        <item m="1" x="7707"/>
        <item m="1" x="7708"/>
        <item m="1" x="7709"/>
        <item m="1" x="7710"/>
        <item m="1" x="7711"/>
        <item m="1" x="7712"/>
        <item m="1" x="7713"/>
        <item m="1" x="7717"/>
        <item m="1" x="6796"/>
        <item m="1" x="7587"/>
        <item m="1" x="7718"/>
        <item m="1" x="7719"/>
        <item m="1" x="5497"/>
        <item m="1" x="7722"/>
        <item m="1" x="7723"/>
        <item m="1" x="6805"/>
        <item m="1" x="7724"/>
        <item m="1" x="7725"/>
        <item m="1" x="7726"/>
        <item m="1" x="7727"/>
        <item m="1" x="7728"/>
        <item m="1" x="7729"/>
        <item m="1" x="7730"/>
        <item m="1" x="7594"/>
        <item m="1" x="7731"/>
        <item m="1" x="7732"/>
        <item m="1" x="7733"/>
        <item m="1" x="7734"/>
        <item m="1" x="7735"/>
        <item m="1" x="7736"/>
        <item m="1" x="7595"/>
        <item m="1" x="7737"/>
        <item m="1" x="7738"/>
        <item m="1" x="6099"/>
        <item m="1" x="5998"/>
        <item m="1" x="7103"/>
        <item m="1" x="5549"/>
        <item m="1" x="7603"/>
        <item m="1" x="7604"/>
        <item m="1" x="7235"/>
        <item m="1" x="7602"/>
        <item m="1" x="6835"/>
        <item m="1" x="7605"/>
        <item m="1" x="7102"/>
        <item m="1" x="7610"/>
        <item m="1" x="7611"/>
        <item m="1" x="7612"/>
        <item m="1" x="7613"/>
        <item m="1" x="7614"/>
        <item m="1" x="7489"/>
        <item m="1" x="5777"/>
        <item m="1" x="7740"/>
        <item m="1" x="6872"/>
        <item m="1" x="6979"/>
        <item m="1" x="4774"/>
        <item m="1" x="7494"/>
        <item m="1" x="7497"/>
        <item m="1" x="7498"/>
        <item m="1" x="7131"/>
        <item m="1" x="6388"/>
        <item m="1" x="7500"/>
        <item m="1" x="7501"/>
        <item m="1" x="6640"/>
        <item m="1" x="6767"/>
        <item m="1" x="7502"/>
        <item m="1" x="7114"/>
        <item m="1" x="7504"/>
        <item m="1" x="7429"/>
        <item m="1" x="6612"/>
        <item m="1" x="6619"/>
        <item m="1" x="7512"/>
        <item m="1" x="7513"/>
        <item m="1" x="7519"/>
        <item m="1" x="7520"/>
        <item m="1" x="6989"/>
        <item m="1" x="6580"/>
        <item m="1" x="7521"/>
        <item m="1" x="7006"/>
        <item m="1" x="7523"/>
        <item m="1" x="7524"/>
        <item m="1" x="7525"/>
        <item m="1" x="6412"/>
        <item m="1" x="7530"/>
        <item m="1" x="7531"/>
        <item m="1" x="7532"/>
        <item m="1" x="7533"/>
        <item m="1" x="7534"/>
        <item m="1" x="7535"/>
        <item m="1" x="7536"/>
        <item m="1" x="7537"/>
        <item m="1" x="6655"/>
        <item m="1" x="7543"/>
        <item m="1" x="6952"/>
        <item m="1" x="7547"/>
        <item m="1" x="7438"/>
        <item m="1" x="7332"/>
        <item m="1" x="6692"/>
        <item m="1" x="7548"/>
        <item m="1" x="7549"/>
        <item m="1" x="7550"/>
        <item m="1" x="7551"/>
        <item m="1" x="7552"/>
        <item m="1" x="7553"/>
        <item m="1" x="6699"/>
        <item m="1" x="7441"/>
        <item m="1" x="6709"/>
        <item m="1" x="7556"/>
        <item m="1" x="7557"/>
        <item m="1" x="7558"/>
        <item m="1" x="7021"/>
        <item m="1" x="7020"/>
        <item m="1" x="7311"/>
        <item m="1" x="7194"/>
        <item m="1" x="7559"/>
        <item m="1" x="7312"/>
        <item m="1" x="6725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456"/>
        <item m="1" x="5791"/>
        <item m="1" x="5782"/>
        <item m="1" x="7576"/>
        <item m="1" x="7579"/>
        <item m="1" x="6939"/>
        <item m="1" x="6772"/>
        <item m="1" x="6773"/>
        <item m="1" x="6775"/>
        <item m="1" x="6774"/>
        <item m="1" x="6768"/>
        <item m="1" x="6769"/>
        <item m="1" x="6770"/>
        <item m="1" x="6771"/>
        <item m="1" x="7580"/>
        <item m="1" x="7270"/>
        <item m="1" x="7581"/>
        <item m="1" x="7582"/>
        <item m="1" x="7469"/>
        <item m="1" x="7584"/>
        <item m="1" x="7585"/>
        <item m="1" x="7068"/>
        <item m="1" x="7364"/>
        <item m="1" x="7363"/>
        <item m="1" x="6785"/>
        <item m="1" x="7465"/>
        <item m="1" x="7466"/>
        <item m="1" x="7074"/>
        <item m="1" x="7586"/>
        <item m="1" x="7077"/>
        <item m="1" x="5504"/>
        <item m="1" x="7589"/>
        <item m="1" x="7590"/>
        <item m="1" x="7113"/>
        <item m="1" x="7224"/>
        <item m="1" x="5695"/>
        <item m="1" x="7592"/>
        <item m="1" x="6810"/>
        <item m="1" x="7471"/>
        <item m="1" x="7470"/>
        <item m="1" x="7474"/>
        <item m="1" x="6813"/>
        <item m="1" x="7597"/>
        <item m="1" x="7093"/>
        <item m="1" x="6815"/>
        <item m="1" x="7598"/>
        <item m="1" x="7599"/>
        <item m="1" x="6786"/>
        <item m="1" x="7600"/>
        <item m="1" x="7601"/>
        <item m="1" x="7606"/>
        <item m="1" x="7607"/>
        <item m="1" x="7608"/>
        <item m="1" x="7609"/>
        <item m="1" x="7105"/>
        <item m="1" x="6870"/>
        <item m="1" x="6871"/>
        <item m="1" x="7111"/>
        <item m="1" x="7406"/>
        <item m="1" x="7407"/>
        <item m="1" x="7254"/>
        <item m="1" x="7408"/>
        <item m="1" x="6881"/>
        <item m="1" x="6882"/>
        <item m="1" x="6883"/>
        <item m="1" x="7421"/>
        <item m="1" x="7422"/>
        <item m="1" x="7309"/>
        <item m="1" x="4447"/>
        <item m="1" x="6583"/>
        <item m="1" x="7130"/>
        <item m="1" x="6576"/>
        <item m="1" x="5789"/>
        <item m="1" x="6579"/>
        <item m="1" x="7132"/>
        <item m="1" x="4222"/>
        <item m="1" x="6581"/>
        <item m="1" x="6577"/>
        <item m="1" x="6578"/>
        <item m="1" x="6582"/>
        <item m="1" x="6575"/>
        <item m="1" x="7145"/>
        <item m="1" x="7139"/>
        <item m="1" x="7138"/>
        <item m="1" x="7147"/>
        <item m="1" x="7148"/>
        <item m="1" x="6595"/>
        <item m="1" x="6597"/>
        <item m="1" x="6901"/>
        <item m="1" x="6902"/>
        <item m="1" x="7423"/>
        <item m="1" x="6900"/>
        <item m="1" x="7424"/>
        <item m="1" x="7281"/>
        <item m="1" x="6832"/>
        <item m="1" x="7425"/>
        <item m="1" x="5034"/>
        <item m="1" x="6909"/>
        <item m="1" x="6908"/>
        <item m="1" x="7430"/>
        <item m="1" x="6608"/>
        <item m="1" x="5807"/>
        <item m="1" x="6618"/>
        <item m="1" x="7267"/>
        <item m="1" x="7161"/>
        <item m="1" x="7431"/>
        <item m="1" x="6914"/>
        <item m="1" x="6624"/>
        <item m="1" x="7275"/>
        <item m="1" x="7273"/>
        <item m="1" x="7274"/>
        <item m="1" x="7276"/>
        <item m="1" x="7272"/>
        <item m="1" x="7271"/>
        <item m="1" x="7432"/>
        <item m="1" x="6923"/>
        <item m="1" x="5811"/>
        <item m="1" x="7433"/>
        <item m="1" x="6414"/>
        <item m="1" x="7282"/>
        <item m="1" x="7283"/>
        <item m="1" x="7040"/>
        <item m="1" x="7435"/>
        <item m="1" x="7280"/>
        <item m="1" x="6646"/>
        <item m="1" x="7278"/>
        <item m="1" x="7279"/>
        <item m="1" x="7163"/>
        <item m="1" x="7286"/>
        <item m="1" x="7287"/>
        <item m="1" x="7436"/>
        <item m="1" x="7294"/>
        <item m="1" x="7293"/>
        <item m="1" x="7437"/>
        <item m="1" x="7296"/>
        <item m="1" x="6925"/>
        <item m="1" x="7297"/>
        <item m="1" x="7305"/>
        <item m="1" x="7302"/>
        <item m="1" x="7439"/>
        <item m="1" x="6929"/>
        <item m="1" x="7306"/>
        <item m="1" x="7307"/>
        <item m="1" x="7440"/>
        <item m="1" x="7186"/>
        <item m="1" x="7442"/>
        <item m="1" x="6431"/>
        <item m="1" x="7308"/>
        <item m="1" x="7443"/>
        <item m="1" x="7444"/>
        <item m="1" x="7314"/>
        <item m="1" x="7448"/>
        <item m="1" x="7316"/>
        <item m="1" x="7449"/>
        <item m="1" x="7210"/>
        <item m="1" x="5788"/>
        <item m="1" x="7451"/>
        <item m="1" x="7323"/>
        <item m="1" x="7324"/>
        <item m="1" x="7319"/>
        <item m="1" x="7320"/>
        <item m="1" x="7317"/>
        <item m="1" x="7333"/>
        <item m="1" x="7335"/>
        <item m="1" x="7336"/>
        <item m="1" x="7337"/>
        <item m="1" x="7338"/>
        <item m="1" x="7455"/>
        <item m="1" x="7329"/>
        <item m="1" x="6272"/>
        <item m="1" x="7459"/>
        <item m="1" x="7045"/>
        <item m="1" x="7328"/>
        <item m="1" x="7327"/>
        <item m="1" x="7044"/>
        <item m="1" x="7460"/>
        <item m="1" x="5805"/>
        <item m="1" x="6269"/>
        <item m="1" x="6956"/>
        <item m="1" x="7351"/>
        <item m="1" x="5785"/>
        <item m="1" x="5803"/>
        <item m="1" x="6763"/>
        <item m="1" x="5804"/>
        <item m="1" x="6764"/>
        <item m="1" x="7462"/>
        <item m="1" x="7212"/>
        <item m="1" x="7354"/>
        <item m="1" x="7215"/>
        <item m="1" x="7357"/>
        <item m="1" x="7211"/>
        <item m="1" x="6940"/>
        <item m="1" x="7463"/>
        <item m="1" x="7143"/>
        <item m="1" x="7464"/>
        <item m="1" x="4449"/>
        <item m="1" x="7362"/>
        <item m="1" x="7365"/>
        <item m="1" x="7366"/>
        <item m="1" x="7367"/>
        <item m="1" x="6963"/>
        <item m="1" x="7374"/>
        <item m="1" x="7375"/>
        <item m="1" x="7076"/>
        <item m="1" x="7372"/>
        <item m="1" x="7243"/>
        <item m="1" x="5505"/>
        <item m="1" x="7373"/>
        <item m="1" x="7376"/>
        <item m="1" x="7079"/>
        <item m="1" x="7227"/>
        <item m="1" x="5393"/>
        <item m="1" x="5392"/>
        <item m="1" x="7379"/>
        <item m="1" x="7468"/>
        <item m="1" x="7384"/>
        <item m="1" x="7475"/>
        <item m="1" x="7476"/>
        <item m="1" x="7477"/>
        <item m="1" x="7091"/>
        <item m="1" x="7389"/>
        <item m="1" x="7388"/>
        <item m="1" x="7393"/>
        <item m="1" x="6820"/>
        <item m="1" x="7396"/>
        <item m="1" x="6821"/>
        <item m="1" x="7096"/>
        <item m="1" x="5735"/>
        <item m="1" x="5737"/>
        <item m="1" x="6824"/>
        <item m="1" x="6825"/>
        <item m="1" x="6822"/>
        <item m="1" x="6831"/>
        <item m="1" x="6837"/>
        <item m="1" x="6101"/>
        <item m="1" x="7240"/>
        <item m="1" x="7242"/>
        <item m="1" x="7241"/>
        <item m="1" x="7480"/>
        <item m="1" x="7481"/>
        <item m="1" x="7482"/>
        <item m="1" x="7483"/>
        <item m="1" x="7484"/>
        <item m="1" x="7485"/>
        <item m="1" x="6974"/>
        <item m="1" x="7401"/>
        <item m="1" x="7246"/>
        <item m="1" x="7486"/>
        <item m="1" x="7487"/>
        <item m="1" x="5806"/>
        <item m="1" x="5810"/>
        <item m="1" x="7405"/>
        <item m="1" x="7404"/>
        <item m="1" x="7403"/>
        <item m="1" x="6859"/>
        <item m="1" x="5451"/>
        <item m="1" x="6873"/>
        <item m="1" x="5395"/>
        <item m="1" x="7251"/>
        <item m="1" x="7252"/>
        <item m="1" x="7253"/>
        <item m="1" x="7255"/>
        <item m="1" x="6884"/>
        <item m="1" x="6566"/>
        <item m="1" x="7258"/>
        <item m="1" x="7142"/>
        <item m="1" x="7141"/>
        <item m="1" x="7259"/>
        <item m="1" x="6571"/>
        <item m="1" x="7260"/>
        <item m="1" x="7261"/>
        <item m="1" x="7146"/>
        <item m="1" x="7144"/>
        <item m="1" x="6103"/>
        <item m="1" x="7262"/>
        <item m="1" x="6004"/>
        <item m="1" x="6590"/>
        <item m="1" x="6894"/>
        <item m="1" x="7265"/>
        <item m="1" x="7266"/>
        <item m="1" x="7268"/>
        <item m="1" x="7269"/>
        <item m="1" x="6002"/>
        <item m="1" x="6011"/>
        <item m="1" x="7277"/>
        <item m="1" x="7004"/>
        <item m="1" x="6273"/>
        <item m="1" x="7008"/>
        <item m="1" x="7284"/>
        <item m="1" x="7009"/>
        <item m="1" x="7285"/>
        <item m="1" x="7288"/>
        <item m="1" x="7289"/>
        <item m="1" x="7290"/>
        <item m="1" x="7291"/>
        <item m="1" x="7292"/>
        <item m="1" x="7295"/>
        <item m="1" x="6276"/>
        <item m="1" x="6681"/>
        <item m="1" x="6682"/>
        <item m="1" x="6680"/>
        <item m="1" x="7298"/>
        <item m="1" x="7299"/>
        <item m="1" x="7304"/>
        <item m="1" x="6003"/>
        <item m="1" x="7310"/>
        <item m="1" x="6926"/>
        <item m="1" x="7313"/>
        <item m="1" x="7193"/>
        <item m="1" x="7030"/>
        <item m="1" x="7315"/>
        <item m="1" x="7318"/>
        <item m="1" x="7321"/>
        <item m="1" x="7322"/>
        <item m="1" x="7047"/>
        <item m="1" x="7046"/>
        <item m="1" x="7048"/>
        <item m="1" x="7049"/>
        <item m="1" x="7325"/>
        <item m="1" x="7050"/>
        <item m="1" x="7326"/>
        <item m="1" x="7330"/>
        <item m="1" x="6941"/>
        <item m="1" x="7039"/>
        <item m="1" x="7331"/>
        <item m="1" x="7334"/>
        <item m="1" x="5816"/>
        <item m="1" x="7339"/>
        <item m="1" x="7340"/>
        <item m="1" x="7341"/>
        <item m="1" x="7342"/>
        <item m="1" x="7343"/>
        <item m="1" x="7344"/>
        <item m="1" x="5812"/>
        <item m="1" x="5813"/>
        <item m="1" x="7345"/>
        <item m="1" x="7346"/>
        <item m="1" x="7347"/>
        <item m="1" x="7348"/>
        <item m="1" x="7349"/>
        <item m="1" x="7350"/>
        <item m="1" x="5818"/>
        <item m="1" x="6766"/>
        <item m="1" x="6761"/>
        <item m="1" x="6765"/>
        <item m="1" x="6762"/>
        <item m="1" x="7352"/>
        <item m="1" x="7209"/>
        <item m="1" x="7355"/>
        <item m="1" x="7214"/>
        <item m="1" x="7356"/>
        <item m="1" x="6779"/>
        <item m="1" x="7361"/>
        <item m="1" x="7368"/>
        <item m="1" x="7071"/>
        <item m="1" x="7369"/>
        <item m="1" x="7370"/>
        <item m="1" x="7371"/>
        <item m="1" x="5800"/>
        <item m="1" x="7377"/>
        <item m="1" x="7081"/>
        <item m="1" x="6104"/>
        <item m="1" x="6808"/>
        <item m="1" x="5512"/>
        <item m="1" x="5511"/>
        <item m="1" x="4075"/>
        <item m="1" x="7228"/>
        <item m="1" x="7088"/>
        <item m="1" x="7086"/>
        <item m="1" x="7087"/>
        <item m="1" x="7083"/>
        <item m="1" x="7378"/>
        <item m="1" x="6803"/>
        <item m="1" x="7380"/>
        <item m="1" x="7381"/>
        <item m="1" x="7382"/>
        <item m="1" x="7383"/>
        <item m="1" x="5719"/>
        <item m="1" x="7385"/>
        <item m="1" x="7386"/>
        <item m="1" x="7387"/>
        <item m="1" x="6102"/>
        <item m="1" x="7231"/>
        <item m="1" x="5430"/>
        <item m="1" x="7390"/>
        <item m="1" x="7391"/>
        <item m="1" x="7392"/>
        <item m="1" x="7394"/>
        <item m="1" x="7395"/>
        <item m="1" x="6927"/>
        <item m="1" x="7099"/>
        <item m="1" x="6838"/>
        <item m="1" x="6000"/>
        <item m="1" x="7397"/>
        <item m="1" x="6849"/>
        <item m="1" x="6848"/>
        <item m="1" x="7399"/>
        <item m="1" x="7400"/>
        <item m="1" x="7402"/>
        <item m="1" x="6851"/>
        <item m="1" x="6868"/>
        <item m="1" x="6867"/>
        <item m="1" x="7115"/>
        <item m="1" x="7116"/>
        <item m="1" x="7117"/>
        <item m="1" x="7118"/>
        <item m="1" x="7119"/>
        <item m="1" x="7120"/>
        <item m="1" x="7121"/>
        <item m="1" x="7123"/>
        <item m="1" x="6531"/>
        <item m="1" x="6563"/>
        <item m="1" x="7128"/>
        <item m="1" x="6572"/>
        <item m="1" x="7135"/>
        <item m="1" x="7136"/>
        <item m="1" x="7137"/>
        <item m="1" x="7140"/>
        <item m="1" x="6588"/>
        <item m="1" x="6589"/>
        <item m="1" x="6105"/>
        <item m="1" x="6984"/>
        <item m="1" x="7150"/>
        <item m="1" x="5834"/>
        <item m="1" x="6605"/>
        <item m="1" x="7151"/>
        <item m="1" x="7152"/>
        <item m="1" x="7153"/>
        <item m="1" x="7154"/>
        <item m="1" x="7155"/>
        <item m="1" x="7156"/>
        <item m="1" x="6617"/>
        <item m="1" x="7157"/>
        <item m="1" x="7158"/>
        <item m="1" x="7159"/>
        <item m="1" x="6622"/>
        <item m="1" x="6912"/>
        <item m="1" x="6913"/>
        <item m="1" x="7000"/>
        <item m="1" x="7002"/>
        <item m="1" x="6922"/>
        <item m="1" x="7162"/>
        <item m="1" x="7164"/>
        <item m="1" x="7165"/>
        <item m="1" x="7166"/>
        <item m="1" x="6277"/>
        <item m="1" x="6278"/>
        <item m="1" x="7167"/>
        <item m="1" x="6865"/>
        <item m="1" x="7168"/>
        <item m="1" x="7169"/>
        <item m="1" x="7170"/>
        <item m="1" x="7171"/>
        <item m="1" x="7172"/>
        <item m="1" x="7173"/>
        <item m="1" x="7174"/>
        <item m="1" x="5640"/>
        <item m="1" x="7175"/>
        <item m="1" x="7176"/>
        <item m="1" x="7177"/>
        <item m="1" x="7178"/>
        <item m="1" x="7017"/>
        <item m="1" x="6676"/>
        <item m="1" x="6675"/>
        <item m="1" x="6275"/>
        <item m="1" x="5360"/>
        <item m="1" x="5359"/>
        <item m="1" x="4600"/>
        <item m="1" x="7179"/>
        <item m="1" x="7180"/>
        <item m="1" x="6791"/>
        <item m="1" x="7181"/>
        <item m="1" x="6400"/>
        <item m="1" x="6930"/>
        <item m="1" x="6931"/>
        <item m="1" x="6932"/>
        <item m="1" x="6933"/>
        <item m="1" x="7182"/>
        <item m="1" x="7183"/>
        <item m="1" x="7019"/>
        <item m="1" x="6010"/>
        <item m="1" x="7188"/>
        <item m="1" x="7189"/>
        <item m="1" x="7190"/>
        <item m="1" x="7191"/>
        <item m="1" x="7192"/>
        <item m="1" x="7024"/>
        <item m="1" x="7195"/>
        <item m="1" x="7196"/>
        <item m="1" x="7197"/>
        <item m="1" x="7198"/>
        <item m="1" x="7199"/>
        <item m="1" x="6727"/>
        <item m="1" x="4925"/>
        <item m="1" x="7200"/>
        <item m="1" x="6731"/>
        <item m="1" x="6730"/>
        <item m="1" x="7032"/>
        <item m="1" x="7203"/>
        <item m="1" x="7204"/>
        <item m="1" x="7205"/>
        <item m="1" x="7206"/>
        <item m="1" x="7051"/>
        <item m="1" x="7052"/>
        <item m="1" x="6587"/>
        <item m="1" x="7038"/>
        <item m="1" x="7037"/>
        <item m="1" x="6759"/>
        <item m="1" x="7207"/>
        <item m="1" x="5822"/>
        <item m="1" x="7062"/>
        <item m="1" x="5673"/>
        <item m="1" x="5674"/>
        <item m="1" x="6760"/>
        <item m="1" x="5677"/>
        <item m="1" x="3495"/>
        <item m="1" x="6464"/>
        <item m="1" x="5819"/>
        <item m="1" x="6960"/>
        <item m="1" x="5565"/>
        <item m="1" x="6961"/>
        <item m="1" x="6962"/>
        <item m="1" x="7069"/>
        <item m="1" x="7216"/>
        <item m="1" x="7217"/>
        <item m="1" x="6788"/>
        <item m="1" x="7218"/>
        <item m="1" x="7219"/>
        <item m="1" x="7220"/>
        <item m="1" x="7221"/>
        <item m="1" x="7222"/>
        <item m="1" x="7223"/>
        <item m="1" x="6806"/>
        <item m="1" x="7225"/>
        <item m="1" x="7226"/>
        <item m="1" x="7082"/>
        <item m="1" x="6274"/>
        <item m="1" x="7229"/>
        <item m="1" x="7230"/>
        <item m="1" x="6971"/>
        <item m="1" x="6487"/>
        <item m="1" x="7092"/>
        <item m="1" x="7232"/>
        <item m="1" x="5547"/>
        <item m="1" x="6972"/>
        <item m="1" x="7233"/>
        <item m="1" x="7234"/>
        <item m="1" x="7095"/>
        <item m="1" x="6106"/>
        <item m="1" x="7236"/>
        <item m="1" x="7237"/>
        <item m="1" x="7238"/>
        <item m="1" x="7100"/>
        <item m="1" x="7101"/>
        <item m="1" x="6830"/>
        <item m="1" x="6834"/>
        <item m="1" x="6839"/>
        <item m="1" x="6847"/>
        <item m="1" x="6846"/>
        <item m="1" x="6845"/>
        <item m="1" x="6509"/>
        <item m="1" x="7244"/>
        <item m="1" x="7245"/>
        <item m="1" x="7247"/>
        <item m="1" x="6001"/>
        <item m="1" x="7248"/>
        <item m="1" x="7249"/>
        <item m="1" x="7250"/>
        <item m="1" x="5820"/>
        <item m="1" x="5821"/>
        <item m="1" x="6863"/>
        <item m="1" x="6869"/>
        <item m="1" x="6977"/>
        <item m="1" x="6980"/>
        <item m="1" x="6982"/>
        <item m="1" x="6983"/>
        <item m="1" x="6584"/>
        <item m="1" x="6574"/>
        <item m="1" x="6986"/>
        <item m="1" x="6895"/>
        <item m="1" x="6896"/>
        <item m="1" x="6987"/>
        <item m="1" x="6988"/>
        <item m="1" x="6910"/>
        <item m="1" x="6990"/>
        <item m="1" x="6991"/>
        <item m="1" x="6992"/>
        <item m="1" x="6282"/>
        <item m="1" x="6911"/>
        <item m="1" x="6994"/>
        <item m="1" x="6995"/>
        <item m="1" x="6996"/>
        <item m="1" x="6997"/>
        <item m="1" x="6998"/>
        <item m="1" x="6999"/>
        <item m="1" x="7001"/>
        <item m="1" x="6012"/>
        <item m="1" x="7003"/>
        <item m="1" x="7005"/>
        <item m="1" x="7007"/>
        <item m="1" x="6005"/>
        <item m="1" x="6107"/>
        <item m="1" x="6396"/>
        <item m="1" x="7010"/>
        <item m="1" x="6279"/>
        <item m="1" x="6280"/>
        <item m="1" x="6281"/>
        <item m="1" x="7011"/>
        <item m="1" x="7012"/>
        <item m="1" x="7013"/>
        <item m="1" x="7014"/>
        <item m="1" x="7015"/>
        <item m="1" x="7016"/>
        <item m="1" x="6650"/>
        <item m="1" x="6656"/>
        <item m="1" x="6657"/>
        <item m="1" x="6658"/>
        <item m="1" x="6659"/>
        <item m="1" x="6660"/>
        <item m="1" x="6672"/>
        <item m="1" x="6673"/>
        <item m="1" x="6674"/>
        <item m="1" x="7018"/>
        <item m="1" x="6013"/>
        <item m="1" x="6916"/>
        <item m="1" x="6015"/>
        <item m="1" x="6017"/>
        <item m="1" x="5130"/>
        <item m="1" x="3540"/>
        <item m="1" x="7022"/>
        <item m="1" x="7023"/>
        <item m="1" x="6712"/>
        <item m="1" x="6713"/>
        <item m="1" x="5376"/>
        <item m="1" x="7025"/>
        <item m="1" x="7026"/>
        <item m="1" x="7027"/>
        <item m="1" x="7028"/>
        <item m="1" x="7031"/>
        <item m="1" x="6944"/>
        <item m="1" x="6729"/>
        <item m="1" x="7033"/>
        <item m="1" x="7034"/>
        <item m="1" x="7035"/>
        <item m="1" x="7036"/>
        <item m="1" x="6945"/>
        <item m="1" x="7041"/>
        <item m="1" x="7042"/>
        <item m="1" x="7043"/>
        <item m="1" x="6455"/>
        <item m="1" x="6456"/>
        <item m="1" x="7053"/>
        <item m="1" x="7054"/>
        <item m="1" x="7055"/>
        <item m="1" x="7056"/>
        <item m="1" x="7057"/>
        <item m="1" x="6285"/>
        <item m="1" x="5823"/>
        <item m="1" x="7058"/>
        <item m="1" x="7059"/>
        <item m="1" x="7060"/>
        <item m="1" x="6014"/>
        <item m="1" x="7061"/>
        <item m="1" x="5852"/>
        <item m="1" x="5396"/>
        <item m="1" x="5826"/>
        <item m="1" x="6756"/>
        <item m="1" x="6757"/>
        <item m="1" x="6758"/>
        <item m="1" x="7063"/>
        <item m="1" x="7064"/>
        <item m="1" x="5502"/>
        <item m="1" x="7065"/>
        <item m="1" x="7066"/>
        <item m="1" x="7067"/>
        <item m="1" x="6964"/>
        <item m="1" x="6965"/>
        <item m="1" x="6789"/>
        <item m="1" x="7072"/>
        <item m="1" x="7073"/>
        <item m="1" x="5809"/>
        <item m="1" x="6968"/>
        <item m="1" x="7078"/>
        <item m="1" x="5827"/>
        <item m="1" x="7080"/>
        <item m="1" x="7089"/>
        <item m="1" x="7090"/>
        <item m="1" x="5718"/>
        <item m="1" x="6488"/>
        <item m="1" x="6973"/>
        <item m="1" x="7094"/>
        <item m="1" x="7097"/>
        <item m="1" x="7098"/>
        <item m="1" x="4396"/>
        <item m="1" x="7106"/>
        <item m="1" x="7107"/>
        <item m="1" x="6858"/>
        <item m="1" x="6862"/>
        <item m="1" x="7109"/>
        <item m="1" x="6879"/>
        <item m="1" x="6880"/>
        <item m="1" x="6528"/>
        <item m="1" x="6885"/>
        <item m="1" x="6887"/>
        <item m="1" x="4394"/>
        <item m="1" x="4395"/>
        <item m="1" x="6573"/>
        <item m="1" x="5829"/>
        <item m="1" x="6392"/>
        <item m="1" x="6891"/>
        <item m="1" x="6389"/>
        <item m="1" x="6893"/>
        <item m="1" x="4415"/>
        <item m="1" x="6897"/>
        <item m="1" x="6898"/>
        <item m="1" x="6903"/>
        <item m="1" x="4089"/>
        <item m="1" x="6397"/>
        <item m="1" x="6607"/>
        <item m="1" x="5486"/>
        <item m="1" x="6621"/>
        <item m="1" x="6623"/>
        <item m="1" x="6915"/>
        <item m="1" x="5131"/>
        <item m="1" x="6016"/>
        <item m="1" x="6006"/>
        <item m="1" x="5027"/>
        <item m="1" x="6403"/>
        <item m="1" x="6404"/>
        <item m="1" x="6920"/>
        <item m="1" x="6921"/>
        <item m="1" x="6644"/>
        <item m="1" x="6284"/>
        <item m="1" x="6641"/>
        <item m="1" x="6642"/>
        <item m="1" x="6643"/>
        <item m="1" x="6111"/>
        <item m="1" x="6410"/>
        <item m="1" x="6009"/>
        <item m="1" x="6419"/>
        <item m="1" x="6420"/>
        <item m="1" x="6421"/>
        <item m="1" x="6289"/>
        <item m="1" x="6924"/>
        <item m="1" x="6651"/>
        <item m="1" x="6288"/>
        <item m="1" x="6423"/>
        <item m="1" x="6688"/>
        <item m="1" x="6687"/>
        <item m="1" x="6934"/>
        <item m="1" x="6935"/>
        <item m="1" x="6936"/>
        <item m="1" x="6937"/>
        <item m="1" x="6938"/>
        <item m="1" x="6007"/>
        <item m="1" x="6008"/>
        <item m="1" x="6696"/>
        <item m="1" x="6440"/>
        <item m="1" x="6711"/>
        <item m="1" x="6519"/>
        <item m="1" x="5817"/>
        <item m="1" x="6715"/>
        <item m="1" x="4926"/>
        <item m="1" x="6726"/>
        <item m="1" x="6943"/>
        <item m="1" x="6283"/>
        <item m="1" x="6449"/>
        <item m="1" x="6946"/>
        <item m="1" x="6448"/>
        <item m="1" x="6447"/>
        <item m="1" x="6108"/>
        <item m="1" x="6948"/>
        <item m="1" x="6949"/>
        <item m="1" x="6950"/>
        <item m="1" x="6951"/>
        <item m="1" x="6953"/>
        <item m="1" x="6954"/>
        <item m="1" x="6955"/>
        <item m="1" x="6957"/>
        <item m="1" x="6745"/>
        <item m="1" x="6958"/>
        <item m="1" x="6755"/>
        <item m="1" x="6753"/>
        <item m="1" x="6754"/>
        <item m="1" x="6959"/>
        <item m="1" x="4230"/>
        <item m="1" x="5847"/>
        <item m="1" x="6784"/>
        <item m="1" x="6790"/>
        <item m="1" x="6286"/>
        <item m="1" x="6472"/>
        <item m="1" x="6473"/>
        <item m="1" x="6474"/>
        <item m="1" x="6969"/>
        <item m="1" x="5515"/>
        <item m="1" x="5387"/>
        <item m="1" x="6802"/>
        <item m="1" x="6970"/>
        <item m="1" x="6485"/>
        <item m="1" x="6287"/>
        <item m="1" x="6294"/>
        <item m="1" x="5429"/>
        <item m="1" x="6491"/>
        <item m="1" x="6492"/>
        <item m="1" x="6504"/>
        <item m="1" x="6505"/>
        <item m="1" x="6499"/>
        <item m="1" x="6500"/>
        <item m="1" x="6501"/>
        <item m="1" x="6823"/>
        <item m="1" x="6510"/>
        <item m="1" x="6511"/>
        <item m="1" x="6518"/>
        <item m="1" x="6520"/>
        <item m="1" x="6109"/>
        <item m="1" x="6110"/>
        <item m="1" x="6855"/>
        <item m="1" x="6976"/>
        <item m="1" x="6379"/>
        <item m="1" x="6380"/>
        <item m="1" x="5840"/>
        <item m="1" x="6527"/>
        <item m="1" x="6381"/>
        <item m="1" x="6385"/>
        <item m="1" x="6384"/>
        <item m="1" x="6530"/>
        <item m="1" x="1970"/>
        <item m="1" x="1993"/>
        <item m="1" x="6562"/>
        <item m="1" x="6567"/>
        <item m="1" x="5353"/>
        <item m="1" x="6586"/>
        <item m="1" x="6387"/>
        <item m="1" x="5831"/>
        <item m="1" x="6598"/>
        <item m="1" x="6599"/>
        <item m="1" x="6600"/>
        <item m="1" x="6601"/>
        <item m="1" x="5489"/>
        <item m="1" x="6603"/>
        <item m="1" x="6604"/>
        <item m="1" x="6606"/>
        <item m="1" x="6398"/>
        <item m="1" x="6399"/>
        <item m="1" x="5650"/>
        <item m="1" x="6401"/>
        <item m="1" x="6614"/>
        <item m="1" x="6615"/>
        <item m="1" x="6616"/>
        <item m="1" x="6620"/>
        <item m="1" x="6628"/>
        <item m="1" x="6629"/>
        <item m="1" x="6630"/>
        <item m="1" x="6631"/>
        <item m="1" x="6632"/>
        <item m="1" x="5832"/>
        <item m="1" x="5824"/>
        <item m="1" x="6406"/>
        <item m="1" x="6407"/>
        <item m="1" x="6637"/>
        <item m="1" x="3224"/>
        <item m="1" x="6418"/>
        <item m="1" x="6416"/>
        <item m="1" x="6417"/>
        <item m="1" x="6653"/>
        <item m="1" x="6677"/>
        <item m="1" x="6679"/>
        <item m="1" x="6122"/>
        <item m="1" x="6686"/>
        <item m="1" x="6690"/>
        <item m="1" x="6703"/>
        <item m="1" x="6704"/>
        <item m="1" x="6432"/>
        <item m="1" x="6437"/>
        <item m="1" x="6436"/>
        <item m="1" x="6433"/>
        <item m="1" x="6434"/>
        <item m="1" x="6435"/>
        <item m="1" x="4947"/>
        <item m="1" x="5830"/>
        <item m="1" x="6716"/>
        <item m="1" x="6717"/>
        <item m="1" x="6718"/>
        <item m="1" x="6719"/>
        <item m="1" x="6720"/>
        <item m="1" x="6721"/>
        <item m="1" x="6724"/>
        <item m="1" x="3977"/>
        <item m="1" x="6292"/>
        <item m="1" x="6293"/>
        <item m="1" x="6298"/>
        <item m="1" x="6299"/>
        <item m="1" x="6732"/>
        <item m="1" x="6112"/>
        <item m="1" x="5838"/>
        <item m="1" x="5825"/>
        <item m="1" x="6739"/>
        <item m="1" x="6444"/>
        <item m="1" x="6741"/>
        <item m="1" x="6446"/>
        <item m="1" x="6742"/>
        <item m="1" x="6743"/>
        <item m="1" x="6452"/>
        <item m="1" x="6450"/>
        <item m="1" x="6451"/>
        <item m="1" x="6453"/>
        <item m="1" x="6746"/>
        <item m="1" x="6459"/>
        <item m="1" x="6748"/>
        <item m="1" x="5836"/>
        <item m="1" x="6751"/>
        <item m="1" x="6752"/>
        <item m="1" x="6777"/>
        <item m="1" x="6778"/>
        <item m="1" x="6783"/>
        <item m="1" x="6466"/>
        <item m="1" x="5384"/>
        <item m="1" x="6470"/>
        <item m="1" x="6471"/>
        <item m="1" x="6799"/>
        <item m="1" x="6514"/>
        <item m="1" x="6300"/>
        <item m="1" x="6800"/>
        <item m="1" x="6801"/>
        <item m="1" x="6483"/>
        <item m="1" x="6484"/>
        <item m="1" x="6807"/>
        <item m="1" x="6486"/>
        <item m="1" x="6113"/>
        <item m="1" x="6490"/>
        <item m="1" x="6489"/>
        <item m="1" x="6817"/>
        <item m="1" x="6495"/>
        <item m="1" x="6496"/>
        <item m="1" x="6497"/>
        <item m="1" x="6498"/>
        <item m="1" x="6840"/>
        <item m="1" x="6843"/>
        <item m="1" x="6844"/>
        <item m="1" x="6517"/>
        <item m="1" x="6512"/>
        <item m="1" x="6513"/>
        <item m="1" x="6515"/>
        <item m="1" x="6516"/>
        <item m="1" x="5835"/>
        <item m="1" x="6856"/>
        <item m="1" x="6857"/>
        <item m="1" x="6860"/>
        <item m="1" x="6876"/>
        <item m="1" x="5853"/>
        <item m="1" x="6382"/>
        <item m="1" x="5849"/>
        <item m="1" x="5839"/>
        <item m="1" x="6383"/>
        <item m="1" x="6386"/>
        <item m="1" x="5756"/>
        <item m="1" x="6118"/>
        <item m="1" x="5861"/>
        <item m="1" x="6394"/>
        <item m="1" x="6395"/>
        <item m="1" x="5369"/>
        <item m="1" x="6019"/>
        <item m="1" x="6020"/>
        <item m="1" x="5859"/>
        <item m="1" x="5845"/>
        <item m="1" x="6313"/>
        <item m="1" x="6303"/>
        <item m="1" x="5516"/>
        <item m="1" x="5848"/>
        <item m="1" x="6320"/>
        <item m="1" x="5854"/>
        <item m="1" x="6302"/>
        <item m="1" x="6301"/>
        <item m="1" x="6314"/>
        <item m="1" x="6311"/>
        <item m="1" x="6308"/>
        <item m="1" x="6402"/>
        <item m="1" x="6405"/>
        <item m="1" x="6408"/>
        <item m="1" x="6409"/>
        <item m="1" x="5487"/>
        <item m="1" x="6415"/>
        <item m="1" x="6422"/>
        <item m="1" x="6119"/>
        <item m="1" x="6120"/>
        <item m="1" x="6114"/>
        <item m="1" x="6116"/>
        <item m="1" x="6117"/>
        <item m="1" x="5846"/>
        <item m="1" x="6425"/>
        <item m="1" x="6426"/>
        <item m="1" x="6427"/>
        <item m="1" x="6428"/>
        <item m="1" x="6429"/>
        <item m="1" x="5833"/>
        <item m="1" x="6430"/>
        <item m="1" x="6316"/>
        <item m="1" x="6018"/>
        <item m="1" x="6438"/>
        <item m="1" x="6439"/>
        <item m="1" x="6441"/>
        <item m="1" x="6323"/>
        <item m="1" x="6442"/>
        <item m="1" x="5862"/>
        <item m="1" x="5851"/>
        <item m="1" x="6295"/>
        <item m="1" x="6315"/>
        <item m="1" x="6306"/>
        <item m="1" x="6297"/>
        <item m="1" x="6443"/>
        <item m="1" x="5842"/>
        <item m="1" x="5843"/>
        <item m="1" x="6445"/>
        <item m="1" x="6454"/>
        <item m="1" x="6310"/>
        <item m="1" x="6457"/>
        <item m="1" x="5860"/>
        <item m="1" x="6309"/>
        <item m="1" x="6458"/>
        <item m="1" x="6460"/>
        <item m="1" x="5884"/>
        <item m="1" x="5669"/>
        <item m="1" x="6307"/>
        <item m="1" x="6305"/>
        <item m="1" x="5675"/>
        <item m="1" x="5676"/>
        <item m="1" x="6461"/>
        <item m="1" x="5855"/>
        <item m="1" x="6462"/>
        <item m="1" x="6463"/>
        <item m="1" x="6465"/>
        <item m="1" x="6312"/>
        <item m="1" x="6468"/>
        <item m="1" x="6469"/>
        <item m="1" x="6475"/>
        <item m="1" x="6476"/>
        <item m="1" x="6477"/>
        <item m="1" x="6478"/>
        <item m="1" x="6479"/>
        <item m="1" x="6480"/>
        <item m="1" x="6290"/>
        <item m="1" x="6291"/>
        <item m="1" x="6481"/>
        <item m="1" x="6482"/>
        <item m="1" x="6124"/>
        <item m="1" x="6317"/>
        <item m="1" x="2567"/>
        <item m="1" x="6321"/>
        <item m="1" x="6322"/>
        <item m="1" x="6493"/>
        <item m="1" x="6494"/>
        <item m="1" x="6502"/>
        <item m="1" x="6503"/>
        <item m="1" x="5857"/>
        <item m="1" x="5863"/>
        <item m="1" x="6296"/>
        <item m="1" x="6507"/>
        <item m="1" x="6508"/>
        <item m="1" x="6304"/>
        <item m="1" x="6115"/>
        <item m="1" x="6521"/>
        <item m="1" x="6522"/>
        <item m="1" x="5850"/>
        <item m="1" x="2408"/>
        <item m="1" x="6121"/>
        <item m="1" x="5815"/>
        <item m="1" x="4939"/>
        <item m="1" x="5368"/>
        <item m="1" x="6318"/>
        <item m="1" x="6319"/>
        <item m="1" x="5366"/>
        <item m="1" x="5865"/>
        <item m="1" x="6128"/>
        <item m="1" x="6147"/>
        <item m="1" x="6148"/>
        <item m="1" x="5545"/>
        <item m="1" x="6324"/>
        <item m="1" x="6325"/>
        <item m="1" x="5886"/>
        <item m="1" x="6326"/>
        <item m="1" x="5887"/>
        <item m="1" x="6132"/>
        <item m="1" x="6133"/>
        <item m="1" x="5705"/>
        <item m="1" x="6327"/>
        <item m="1" x="6328"/>
        <item m="1" x="6329"/>
        <item m="1" x="6330"/>
        <item m="1" x="6134"/>
        <item m="1" x="6135"/>
        <item m="1" x="6136"/>
        <item m="1" x="6331"/>
        <item m="1" x="5866"/>
        <item m="1" x="6123"/>
        <item m="1" x="6332"/>
        <item m="1" x="6137"/>
        <item m="1" x="6138"/>
        <item m="1" x="6139"/>
        <item m="1" x="5867"/>
        <item m="1" x="6125"/>
        <item m="1" x="6140"/>
        <item m="1" x="6142"/>
        <item m="1" x="6333"/>
        <item m="1" x="5868"/>
        <item m="1" x="6161"/>
        <item m="1" x="6334"/>
        <item m="1" x="6023"/>
        <item m="1" x="5869"/>
        <item m="1" x="6126"/>
        <item m="1" x="5870"/>
        <item m="1" x="6127"/>
        <item m="1" x="6021"/>
        <item m="1" x="6145"/>
        <item m="1" x="6146"/>
        <item m="1" x="6129"/>
        <item m="1" x="6130"/>
        <item m="1" x="5871"/>
        <item m="1" x="5872"/>
        <item m="1" x="6024"/>
        <item m="1" x="6335"/>
        <item m="1" x="6131"/>
        <item m="1" x="6336"/>
        <item m="1" x="6149"/>
        <item m="1" x="5873"/>
        <item m="1" x="6337"/>
        <item m="1" x="6338"/>
        <item m="1" x="5874"/>
        <item m="1" x="6339"/>
        <item m="1" x="6026"/>
        <item m="1" x="5875"/>
        <item m="1" x="6154"/>
        <item m="1" x="5510"/>
        <item m="1" x="587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155"/>
        <item m="1" x="6349"/>
        <item m="1" x="6350"/>
        <item m="1" x="6156"/>
        <item m="1" x="6351"/>
        <item m="1" x="6352"/>
        <item m="1" x="6353"/>
        <item m="1" x="6157"/>
        <item m="1" x="5864"/>
        <item m="1" x="5880"/>
        <item m="1" x="6354"/>
        <item m="1" x="6355"/>
        <item m="1" x="6356"/>
        <item m="1" x="6357"/>
        <item m="1" x="6358"/>
        <item m="1" x="6044"/>
        <item m="1" x="6027"/>
        <item m="1" x="6141"/>
        <item m="1" x="6359"/>
        <item m="1" x="6360"/>
        <item m="1" x="6361"/>
        <item m="1" x="5883"/>
        <item m="1" x="6362"/>
        <item m="1" x="6158"/>
        <item m="1" x="5904"/>
        <item m="1" x="5488"/>
        <item m="1" x="6143"/>
        <item m="1" x="6363"/>
        <item m="1" x="6364"/>
        <item m="1" x="6165"/>
        <item m="1" x="6144"/>
        <item m="1" x="6365"/>
        <item m="1" x="6366"/>
        <item m="1" x="6367"/>
        <item m="1" x="6159"/>
        <item m="1" x="6160"/>
        <item m="1" x="5654"/>
        <item m="1" x="5891"/>
        <item m="1" x="5892"/>
        <item m="1" x="6029"/>
        <item m="1" x="6368"/>
        <item m="1" x="6369"/>
        <item m="1" x="6370"/>
        <item m="1" x="5482"/>
        <item m="1" x="5483"/>
        <item m="1" x="6030"/>
        <item m="1" x="6150"/>
        <item m="1" x="6371"/>
        <item m="1" x="6162"/>
        <item m="1" x="6151"/>
        <item m="1" x="5407"/>
        <item m="1" x="6152"/>
        <item m="1" x="6153"/>
        <item m="1" x="6163"/>
        <item m="1" x="6164"/>
        <item m="1" x="5450"/>
        <item m="1" x="6372"/>
        <item m="1" x="6166"/>
        <item m="1" x="6025"/>
        <item m="1" x="6373"/>
        <item m="1" x="5442"/>
        <item m="1" x="6374"/>
        <item m="1" x="6375"/>
        <item m="1" x="6376"/>
        <item m="1" x="1981"/>
        <item m="1" x="1990"/>
        <item m="1" x="6167"/>
        <item m="1" x="5876"/>
        <item m="1" x="5877"/>
        <item m="1" x="6377"/>
        <item m="1" x="5878"/>
        <item m="1" x="6168"/>
        <item m="1" x="6378"/>
        <item m="1" x="5760"/>
        <item m="1" x="5749"/>
        <item m="1" x="6169"/>
        <item m="1" x="6170"/>
        <item m="1" x="6028"/>
        <item m="1" x="5893"/>
        <item m="1" x="6171"/>
        <item m="1" x="6172"/>
        <item m="1" x="6173"/>
        <item m="1" x="6174"/>
        <item m="1" x="5895"/>
        <item m="1" x="6175"/>
        <item m="1" x="5720"/>
        <item m="1" x="6176"/>
        <item m="1" x="5896"/>
        <item m="1" x="6177"/>
        <item m="1" x="6178"/>
        <item m="1" x="6179"/>
        <item m="1" x="6033"/>
        <item m="1" x="6034"/>
        <item m="1" x="6035"/>
        <item m="1" x="5898"/>
        <item m="1" x="6180"/>
        <item m="1" x="6181"/>
        <item m="1" x="5881"/>
        <item m="1" x="6182"/>
        <item m="1" x="6041"/>
        <item m="1" x="6042"/>
        <item m="1" x="5655"/>
        <item m="1" x="5882"/>
        <item m="1" x="6183"/>
        <item m="1" x="6031"/>
        <item m="1" x="5670"/>
        <item m="1" x="6184"/>
        <item m="1" x="6185"/>
        <item m="1" x="6186"/>
        <item m="1" x="6043"/>
        <item m="1" x="5899"/>
        <item m="1" x="6187"/>
        <item m="1" x="6188"/>
        <item m="1" x="6189"/>
        <item m="1" x="6190"/>
        <item m="1" x="6191"/>
        <item m="1" x="6192"/>
        <item m="1" x="5484"/>
        <item m="1" x="6193"/>
        <item m="1" x="6194"/>
        <item m="1" x="6195"/>
        <item m="1" x="6196"/>
        <item m="1" x="5671"/>
        <item m="1" x="6197"/>
        <item m="1" x="6198"/>
        <item m="1" x="6199"/>
        <item m="1" x="5885"/>
        <item m="1" x="6200"/>
        <item m="1" x="6201"/>
        <item m="1" x="4111"/>
        <item m="1" x="6045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046"/>
        <item m="1" x="6211"/>
        <item m="1" x="6212"/>
        <item m="1" x="6047"/>
        <item m="1" x="5905"/>
        <item m="1" x="5646"/>
        <item m="1" x="6048"/>
        <item m="1" x="6049"/>
        <item m="1" x="6213"/>
        <item m="1" x="5901"/>
        <item m="1" x="6214"/>
        <item m="1" x="6215"/>
        <item m="1" x="6050"/>
        <item m="1" x="6216"/>
        <item m="1" x="6032"/>
        <item m="1" x="6217"/>
        <item m="1" x="6218"/>
        <item m="1" x="6219"/>
        <item m="1" x="6220"/>
        <item m="1" x="6221"/>
        <item m="1" x="5909"/>
        <item m="1" x="5888"/>
        <item m="1" x="6222"/>
        <item m="1" x="6223"/>
        <item m="1" x="5889"/>
        <item m="1" x="6224"/>
        <item m="1" x="6225"/>
        <item m="1" x="5907"/>
        <item m="1" x="5331"/>
        <item m="1" x="6226"/>
        <item m="1" x="6227"/>
        <item m="1" x="6229"/>
        <item m="1" x="5924"/>
        <item m="1" x="5957"/>
        <item m="1" x="5890"/>
        <item m="1" x="6230"/>
        <item m="1" x="6231"/>
        <item m="1" x="6232"/>
        <item m="1" x="6233"/>
        <item m="1" x="6234"/>
        <item m="1" x="6235"/>
        <item m="1" x="6236"/>
        <item m="1" x="6237"/>
        <item m="1" x="6051"/>
        <item m="1" x="6238"/>
        <item m="1" x="6239"/>
        <item m="1" x="6240"/>
        <item m="1" x="6241"/>
        <item m="1" x="6242"/>
        <item m="1" x="6243"/>
        <item m="1" x="6244"/>
        <item m="1" x="6245"/>
        <item m="1" x="6052"/>
        <item m="1" x="6246"/>
        <item m="1" x="5029"/>
        <item m="1" x="5338"/>
        <item m="1" x="6247"/>
        <item m="1" x="6036"/>
        <item m="1" x="6053"/>
        <item m="1" x="5736"/>
        <item m="1" x="5448"/>
        <item m="1" x="6022"/>
        <item m="1" x="5419"/>
        <item m="1" x="5462"/>
        <item m="1" x="6037"/>
        <item m="1" x="5915"/>
        <item m="1" x="6038"/>
        <item m="1" x="5894"/>
        <item m="1" x="5476"/>
        <item m="1" x="6039"/>
        <item m="1" x="5902"/>
        <item m="1" x="5540"/>
        <item m="1" x="6040"/>
        <item m="1" x="5132"/>
        <item m="1" x="5922"/>
        <item m="1" x="5897"/>
        <item m="1" x="5663"/>
        <item m="1" x="5339"/>
        <item m="1" x="5664"/>
        <item m="1" x="5571"/>
        <item m="1" x="5572"/>
        <item m="1" x="5923"/>
        <item m="1" x="5900"/>
        <item m="1" x="6054"/>
        <item m="1" x="6055"/>
        <item m="1" x="6056"/>
        <item m="1" x="5903"/>
        <item m="1" x="5925"/>
        <item m="1" x="5926"/>
        <item m="1" x="5649"/>
        <item m="1" x="5927"/>
        <item m="1" x="5641"/>
        <item m="1" x="5575"/>
        <item m="1" x="6057"/>
        <item m="1" x="6058"/>
        <item m="1" x="6059"/>
        <item m="1" x="5928"/>
        <item m="1" x="6060"/>
        <item m="1" x="5726"/>
        <item m="1" x="5906"/>
        <item m="1" x="6061"/>
        <item m="1" x="6062"/>
        <item m="1" x="6063"/>
        <item m="1" x="5918"/>
        <item m="1" x="5908"/>
        <item m="1" x="5552"/>
        <item m="1" x="5672"/>
        <item m="1" x="5595"/>
        <item m="1" x="5910"/>
        <item m="1" x="5911"/>
        <item m="1" x="6064"/>
        <item m="1" x="5912"/>
        <item m="1" x="5576"/>
        <item m="1" x="5577"/>
        <item m="1" x="5578"/>
        <item m="1" x="4930"/>
        <item m="1" x="5913"/>
        <item m="1" x="6065"/>
        <item m="1" x="6066"/>
        <item m="1" x="5513"/>
        <item m="1" x="5716"/>
        <item m="1" x="6067"/>
        <item m="1" x="6068"/>
        <item m="1" x="5598"/>
        <item m="1" x="5748"/>
        <item m="1" x="6069"/>
        <item m="1" x="5929"/>
        <item m="1" x="6070"/>
        <item m="1" x="6071"/>
        <item m="1" x="5706"/>
        <item m="1" x="5930"/>
        <item m="1" x="4817"/>
        <item m="1" x="5916"/>
        <item m="1" x="4932"/>
        <item m="1" x="5917"/>
        <item m="1" x="5460"/>
        <item m="1" x="6072"/>
        <item m="1" x="6073"/>
        <item m="1" x="6074"/>
        <item m="1" x="5931"/>
        <item m="1" x="6075"/>
        <item m="1" x="6076"/>
        <item m="1" x="6077"/>
        <item m="1" x="6078"/>
        <item m="1" x="6079"/>
        <item m="1" x="5919"/>
        <item m="1" x="5920"/>
        <item m="1" x="5921"/>
        <item m="1" x="6080"/>
        <item m="1" x="5932"/>
        <item m="1" x="5933"/>
        <item m="1" x="5730"/>
        <item m="1" x="5934"/>
        <item m="1" x="6081"/>
        <item m="1" x="5591"/>
        <item m="1" x="6082"/>
        <item m="1" x="5742"/>
        <item m="1" x="5743"/>
        <item m="1" x="5744"/>
        <item m="1" x="4885"/>
        <item m="1" x="5548"/>
        <item m="1" x="5422"/>
        <item m="1" x="5935"/>
        <item m="1" x="5936"/>
        <item m="1" x="5667"/>
        <item m="1" x="5938"/>
        <item m="1" x="5656"/>
        <item m="1" x="5274"/>
        <item m="1" x="5133"/>
        <item m="1" x="5662"/>
        <item m="1" x="5939"/>
        <item m="1" x="5940"/>
        <item m="1" x="5941"/>
        <item m="1" x="5690"/>
        <item m="1" x="5691"/>
        <item m="1" x="5678"/>
        <item m="1" x="5597"/>
        <item m="1" x="5942"/>
        <item m="1" x="5707"/>
        <item m="1" x="5444"/>
        <item m="1" x="5134"/>
        <item m="1" x="5943"/>
        <item m="1" x="5944"/>
        <item m="1" x="5945"/>
        <item m="1" x="5946"/>
        <item m="1" x="5573"/>
        <item m="1" x="5062"/>
        <item m="1" x="5947"/>
        <item m="1" x="5948"/>
        <item m="1" x="5949"/>
        <item m="1" x="5950"/>
        <item m="1" x="5951"/>
        <item m="1" x="5952"/>
        <item m="1" x="5953"/>
        <item m="1" x="5574"/>
        <item m="1" x="5954"/>
        <item m="1" x="5955"/>
        <item m="1" x="5956"/>
        <item m="1" x="5958"/>
        <item m="1" x="5668"/>
        <item m="1" x="5959"/>
        <item m="1" x="5480"/>
        <item m="1" x="5617"/>
        <item m="1" x="5618"/>
        <item m="1" x="5960"/>
        <item m="1" x="5731"/>
        <item m="1" x="5732"/>
        <item m="1" x="5961"/>
        <item m="1" x="5266"/>
        <item m="1" x="5962"/>
        <item m="1" x="5963"/>
        <item m="1" x="5964"/>
        <item m="1" x="5965"/>
        <item m="1" x="5966"/>
        <item m="1" x="5750"/>
        <item m="1" x="5584"/>
        <item m="1" x="5967"/>
        <item m="1" x="5702"/>
        <item m="1" x="5968"/>
        <item m="1" x="5530"/>
        <item m="1" x="5969"/>
        <item m="1" x="4728"/>
        <item m="1" x="5970"/>
        <item m="1" x="5377"/>
        <item m="1" x="5971"/>
        <item m="1" x="5745"/>
        <item m="1" x="5746"/>
        <item m="1" x="5747"/>
        <item m="1" x="5642"/>
        <item m="1" x="5703"/>
        <item m="1" x="5679"/>
        <item m="1" x="5972"/>
        <item m="1" x="5973"/>
        <item m="1" x="5974"/>
        <item m="1" x="5975"/>
        <item m="1" x="5028"/>
        <item m="1" x="5030"/>
        <item m="1" x="5976"/>
        <item m="1" x="5977"/>
        <item m="1" x="5978"/>
        <item m="1" x="5979"/>
        <item m="1" x="5980"/>
        <item m="1" x="5981"/>
        <item m="1" x="5982"/>
        <item m="1" x="5477"/>
        <item m="1" x="5478"/>
        <item m="1" x="5983"/>
        <item m="1" x="5984"/>
        <item m="1" x="5683"/>
        <item m="1" x="5645"/>
        <item m="1" x="5985"/>
        <item m="1" x="5986"/>
        <item m="1" x="5644"/>
        <item m="1" x="5987"/>
        <item m="1" x="5988"/>
        <item m="1" x="5989"/>
        <item m="1" x="5990"/>
        <item m="1" x="5991"/>
        <item m="1" x="5992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85"/>
        <item m="1" x="5579"/>
        <item m="1" x="5993"/>
        <item m="1" x="5994"/>
        <item m="1" x="5587"/>
        <item m="1" x="5588"/>
        <item m="1" x="5600"/>
        <item m="1" x="5740"/>
        <item m="1" x="5553"/>
        <item m="1" x="5555"/>
        <item m="1" x="5457"/>
        <item m="1" x="5556"/>
        <item m="1" x="5557"/>
        <item m="1" x="5558"/>
        <item m="1" x="5559"/>
        <item m="1" x="5560"/>
        <item m="1" x="5468"/>
        <item m="1" x="5561"/>
        <item m="1" x="5562"/>
        <item m="1" x="5563"/>
        <item m="1" x="5564"/>
        <item m="1" x="5566"/>
        <item m="1" x="5567"/>
        <item m="1" x="5568"/>
        <item m="1" x="5569"/>
        <item m="1" x="5570"/>
        <item m="1" x="5031"/>
        <item m="1" x="5136"/>
        <item m="1" x="5474"/>
        <item m="1" x="5581"/>
        <item m="1" x="5580"/>
        <item m="1" x="5583"/>
        <item m="1" x="5582"/>
        <item m="1" x="4941"/>
        <item m="1" x="5585"/>
        <item m="1" x="5586"/>
        <item m="1" x="5479"/>
        <item m="1" x="5340"/>
        <item m="1" x="5589"/>
        <item m="1" x="5590"/>
        <item m="1" x="5592"/>
        <item m="1" x="5594"/>
        <item m="1" x="5593"/>
        <item m="1" x="5596"/>
        <item m="1" x="5604"/>
        <item m="1" x="5599"/>
        <item m="1" x="5601"/>
        <item m="1" x="5602"/>
        <item m="1" x="5603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6"/>
        <item m="1" x="5615"/>
        <item m="1" x="5643"/>
        <item m="1" x="5035"/>
        <item m="1" x="5647"/>
        <item m="1" x="5492"/>
        <item m="1" x="5648"/>
        <item m="1" x="5651"/>
        <item m="1" x="5653"/>
        <item m="1" x="5657"/>
        <item m="1" x="5498"/>
        <item m="1" x="5661"/>
        <item m="1" x="5275"/>
        <item m="1" x="5658"/>
        <item m="1" x="5665"/>
        <item m="1" x="5135"/>
        <item m="1" x="5666"/>
        <item m="1" x="5282"/>
        <item m="1" x="5682"/>
        <item m="1" x="5680"/>
        <item m="1" x="5681"/>
        <item m="1" x="5684"/>
        <item m="1" x="5686"/>
        <item m="1" x="5687"/>
        <item m="1" x="5688"/>
        <item m="1" x="5507"/>
        <item m="1" x="5508"/>
        <item m="1" x="5506"/>
        <item m="1" x="5689"/>
        <item m="1" x="5514"/>
        <item m="1" x="5693"/>
        <item m="1" x="5692"/>
        <item m="1" x="5694"/>
        <item m="1" x="5696"/>
        <item m="1" x="5697"/>
        <item m="1" x="5698"/>
        <item m="1" x="5699"/>
        <item m="1" x="5700"/>
        <item m="1" x="5701"/>
        <item m="1" x="5519"/>
        <item m="1" x="5520"/>
        <item m="1" x="5521"/>
        <item m="1" x="5522"/>
        <item m="1" x="5704"/>
        <item m="1" x="5532"/>
        <item m="1" x="5533"/>
        <item m="1" x="2110"/>
        <item m="1" x="5711"/>
        <item m="1" x="5710"/>
        <item m="1" x="5708"/>
        <item m="1" x="5709"/>
        <item m="1" x="5712"/>
        <item m="1" x="5714"/>
        <item m="1" x="5715"/>
        <item m="1" x="5713"/>
        <item m="1" x="5717"/>
        <item m="1" x="5542"/>
        <item m="1" x="5543"/>
        <item m="1" x="5721"/>
        <item m="1" x="5416"/>
        <item m="1" x="5722"/>
        <item m="1" x="5723"/>
        <item m="1" x="5725"/>
        <item m="1" x="5724"/>
        <item m="1" x="5137"/>
        <item m="1" x="5727"/>
        <item m="1" x="5728"/>
        <item m="1" x="5138"/>
        <item m="1" x="5305"/>
        <item m="1" x="5733"/>
        <item m="1" x="5729"/>
        <item m="1" x="5734"/>
        <item m="1" x="5741"/>
        <item m="1" x="5738"/>
        <item m="1" x="5739"/>
        <item m="1" x="5309"/>
        <item m="1" x="5445"/>
        <item m="1" x="5449"/>
        <item m="1" x="5659"/>
        <item m="1" x="5446"/>
        <item m="1" x="5447"/>
        <item m="1" x="5452"/>
        <item m="1" x="5453"/>
        <item m="1" x="5454"/>
        <item m="1" x="5455"/>
        <item m="1" x="5456"/>
        <item m="1" x="4442"/>
        <item m="1" x="5458"/>
        <item m="1" x="5324"/>
        <item m="1" x="5325"/>
        <item m="1" x="5463"/>
        <item m="1" x="5464"/>
        <item m="1" x="5465"/>
        <item m="1" x="5348"/>
        <item m="1" x="5466"/>
        <item m="1" x="5467"/>
        <item m="1" x="5469"/>
        <item m="1" x="5470"/>
        <item m="1" x="3762"/>
        <item m="1" x="5472"/>
        <item m="1" x="4268"/>
        <item m="1" x="4269"/>
        <item m="1" x="5372"/>
        <item m="1" x="5473"/>
        <item m="1" x="5345"/>
        <item m="1" x="5344"/>
        <item m="1" x="5475"/>
        <item m="1" x="5481"/>
        <item m="1" x="4935"/>
        <item m="1" x="5358"/>
        <item m="1" x="3387"/>
        <item m="1" x="5354"/>
        <item m="1" x="5361"/>
        <item m="1" x="5485"/>
        <item m="1" x="5246"/>
        <item m="1" x="5491"/>
        <item m="1" x="5493"/>
        <item m="1" x="5494"/>
        <item m="1" x="4938"/>
        <item m="1" x="4927"/>
        <item m="1" x="5496"/>
        <item m="1" x="3381"/>
        <item m="1" x="4711"/>
        <item m="1" x="4814"/>
        <item m="1" x="4815"/>
        <item m="1" x="5373"/>
        <item m="1" x="5499"/>
        <item m="1" x="5500"/>
        <item m="1" x="5501"/>
        <item m="1" x="5276"/>
        <item m="1" x="5036"/>
        <item m="1" x="5271"/>
        <item m="1" x="5272"/>
        <item m="1" x="5273"/>
        <item m="1" x="5139"/>
        <item m="1" x="5033"/>
        <item m="1" x="5503"/>
        <item m="1" x="5381"/>
        <item m="1" x="3871"/>
        <item m="1" x="4933"/>
        <item m="1" x="5517"/>
        <item m="1" x="4924"/>
        <item m="1" x="5518"/>
        <item m="1" x="5523"/>
        <item m="1" x="5524"/>
        <item m="1" x="5525"/>
        <item m="1" x="5526"/>
        <item m="1" x="5527"/>
        <item m="1" x="5438"/>
        <item m="1" x="5528"/>
        <item m="1" x="5529"/>
        <item m="1" x="5531"/>
        <item m="1" x="5042"/>
        <item m="1" x="5032"/>
        <item m="1" x="5534"/>
        <item m="1" x="5294"/>
        <item m="1" x="5535"/>
        <item m="1" x="4813"/>
        <item m="1" x="5536"/>
        <item m="1" x="5292"/>
        <item m="1" x="5537"/>
        <item m="1" x="5538"/>
        <item m="1" x="5293"/>
        <item m="1" x="5539"/>
        <item m="1" x="5295"/>
        <item m="1" x="5541"/>
        <item m="1" x="4819"/>
        <item m="1" x="5327"/>
        <item m="1" x="5410"/>
        <item m="1" x="5411"/>
        <item m="1" x="4922"/>
        <item m="1" x="5417"/>
        <item m="1" x="5418"/>
        <item m="1" x="5421"/>
        <item m="1" x="4820"/>
        <item m="1" x="5304"/>
        <item m="1" x="5435"/>
        <item m="1" x="5436"/>
        <item m="1" x="5434"/>
        <item m="1" x="5433"/>
        <item m="1" x="5550"/>
        <item m="1" x="5551"/>
        <item m="1" x="5439"/>
        <item m="1" x="5443"/>
        <item m="1" x="5310"/>
        <item m="1" x="2107"/>
        <item m="1" x="5144"/>
        <item m="1" x="5311"/>
        <item m="1" x="5312"/>
        <item m="1" x="5313"/>
        <item m="1" x="5314"/>
        <item m="1" x="3563"/>
        <item m="1" x="5315"/>
        <item m="1" x="5316"/>
        <item m="1" x="5317"/>
        <item m="1" x="5318"/>
        <item m="1" x="5319"/>
        <item m="1" x="5320"/>
        <item m="1" x="4988"/>
        <item m="1" x="5140"/>
        <item m="1" x="5218"/>
        <item m="1" x="5321"/>
        <item m="1" x="5142"/>
        <item m="1" x="5322"/>
        <item m="1" x="5323"/>
        <item m="1" x="5326"/>
        <item m="1" x="5328"/>
        <item m="1" x="5329"/>
        <item m="1" x="5250"/>
        <item m="1" x="5330"/>
        <item m="1" x="5249"/>
        <item m="1" x="3436"/>
        <item m="1" x="5255"/>
        <item m="1" x="5332"/>
        <item m="1" x="5333"/>
        <item m="1" x="5334"/>
        <item m="1" x="5335"/>
        <item m="1" x="5336"/>
        <item m="1" x="5337"/>
        <item m="1" x="4270"/>
        <item m="1" x="3504"/>
        <item m="1" x="5341"/>
        <item m="1" x="5342"/>
        <item m="1" x="5343"/>
        <item m="1" x="5346"/>
        <item m="1" x="5347"/>
        <item m="1" x="5349"/>
        <item m="1" x="5350"/>
        <item m="1" x="5351"/>
        <item m="1" x="5352"/>
        <item m="1" x="5355"/>
        <item m="1" x="5356"/>
        <item m="1" x="5357"/>
        <item m="1" x="3425"/>
        <item m="1" x="5362"/>
        <item m="1" x="5145"/>
        <item m="1" x="5146"/>
        <item m="1" x="5147"/>
        <item m="1" x="5148"/>
        <item m="1" x="5149"/>
        <item m="1" x="5363"/>
        <item m="1" x="5364"/>
        <item m="1" x="5365"/>
        <item m="1" x="5141"/>
        <item m="1" x="5367"/>
        <item m="1" x="5267"/>
        <item m="1" x="5370"/>
        <item m="1" x="5371"/>
        <item m="1" x="3355"/>
        <item m="1" x="5277"/>
        <item m="1" x="5280"/>
        <item m="1" x="5374"/>
        <item m="1" x="5281"/>
        <item m="1" x="5378"/>
        <item m="1" x="2106"/>
        <item m="1" x="5375"/>
        <item m="1" x="5283"/>
        <item m="1" x="5105"/>
        <item m="1" x="5382"/>
        <item m="1" x="5383"/>
        <item m="1" x="5385"/>
        <item m="1" x="5386"/>
        <item m="1" x="5287"/>
        <item m="1" x="5388"/>
        <item m="1" x="5389"/>
        <item m="1" x="5296"/>
        <item m="1" x="5397"/>
        <item m="1" x="5398"/>
        <item m="1" x="5040"/>
        <item m="1" x="4742"/>
        <item m="1" x="5399"/>
        <item m="1" x="5400"/>
        <item m="1" x="4951"/>
        <item m="1" x="5401"/>
        <item m="1" x="5402"/>
        <item m="1" x="5403"/>
        <item m="1" x="4934"/>
        <item m="1" x="5404"/>
        <item m="1" x="5405"/>
        <item m="1" x="5406"/>
        <item m="1" x="5408"/>
        <item m="1" x="5409"/>
        <item m="1" x="5412"/>
        <item m="1" x="5413"/>
        <item m="1" x="5414"/>
        <item m="1" x="5415"/>
        <item m="1" x="5424"/>
        <item m="1" x="5425"/>
        <item m="1" x="5426"/>
        <item m="1" x="5427"/>
        <item m="1" x="5428"/>
        <item m="1" x="5302"/>
        <item m="1" x="5431"/>
        <item m="1" x="5432"/>
        <item m="1" x="5437"/>
        <item m="1" x="5440"/>
        <item m="1" x="5441"/>
        <item m="1" x="4816"/>
        <item m="1" x="4144"/>
        <item m="1" x="3489"/>
        <item m="1" x="3541"/>
        <item m="1" x="3915"/>
        <item m="1" x="4566"/>
        <item m="1" x="5046"/>
        <item m="1" x="5239"/>
        <item m="1" x="5151"/>
        <item m="1" x="5154"/>
        <item m="1" x="5155"/>
        <item m="1" x="5156"/>
        <item m="1" x="5241"/>
        <item m="1" x="5242"/>
        <item m="1" x="5243"/>
        <item m="1" x="5244"/>
        <item m="1" x="5245"/>
        <item m="1" x="5247"/>
        <item m="1" x="5248"/>
        <item m="1" x="5251"/>
        <item m="1" x="5252"/>
        <item m="1" x="5253"/>
        <item m="1" x="5254"/>
        <item m="1" x="5256"/>
        <item m="1" x="5257"/>
        <item m="1" x="5258"/>
        <item m="1" x="4949"/>
        <item m="1" x="5259"/>
        <item m="1" x="5260"/>
        <item m="1" x="5261"/>
        <item m="1" x="4478"/>
        <item m="1" x="4370"/>
        <item m="1" x="4347"/>
        <item m="1" x="3479"/>
        <item m="1" x="3480"/>
        <item m="1" x="5262"/>
        <item m="1" x="5263"/>
        <item m="1" x="5163"/>
        <item m="1" x="5164"/>
        <item m="1" x="5165"/>
        <item m="1" x="5166"/>
        <item m="1" x="5167"/>
        <item m="1" x="5168"/>
        <item m="1" x="5159"/>
        <item m="1" x="5160"/>
        <item m="1" x="5161"/>
        <item m="1" x="5162"/>
        <item m="1" x="5150"/>
        <item m="1" x="5264"/>
        <item m="1" x="5265"/>
        <item m="1" x="5143"/>
        <item m="1" x="5268"/>
        <item m="1" x="5269"/>
        <item m="1" x="4709"/>
        <item m="1" x="4710"/>
        <item m="1" x="4714"/>
        <item m="1" x="5158"/>
        <item m="1" x="4715"/>
        <item m="1" x="5270"/>
        <item m="1" x="5278"/>
        <item m="1" x="5279"/>
        <item m="1" x="5284"/>
        <item m="1" x="5285"/>
        <item m="1" x="5286"/>
        <item m="1" x="4062"/>
        <item m="1" x="4454"/>
        <item m="1" x="4455"/>
        <item m="1" x="4456"/>
        <item m="1" x="4457"/>
        <item m="1" x="4458"/>
        <item m="1" x="4450"/>
        <item m="1" x="4255"/>
        <item m="1" x="4492"/>
        <item m="1" x="4943"/>
        <item m="1" x="5288"/>
        <item m="1" x="5152"/>
        <item m="1" x="5289"/>
        <item m="1" x="5290"/>
        <item m="1" x="5291"/>
        <item m="1" x="5220"/>
        <item m="1" x="5219"/>
        <item m="1" x="5297"/>
        <item m="1" x="5298"/>
        <item m="1" x="5299"/>
        <item m="1" x="5153"/>
        <item m="1" x="4522"/>
        <item m="1" x="5300"/>
        <item m="1" x="5301"/>
        <item m="1" x="4157"/>
        <item m="1" x="5044"/>
        <item m="1" x="5157"/>
        <item m="1" x="4663"/>
        <item m="1" x="5303"/>
        <item m="1" x="4545"/>
        <item m="1" x="4664"/>
        <item m="1" x="4805"/>
        <item m="1" x="4665"/>
        <item m="1" x="5306"/>
        <item m="1" x="5307"/>
        <item m="1" x="4758"/>
        <item m="1" x="4759"/>
        <item m="1" x="5308"/>
        <item m="1" x="4970"/>
        <item m="1" x="4687"/>
        <item m="1" x="3500"/>
        <item m="1" x="4808"/>
        <item m="1" x="4624"/>
        <item m="1" x="3367"/>
        <item m="1" x="4561"/>
        <item m="1" x="5128"/>
        <item m="1" x="5129"/>
        <item m="1" x="2403"/>
        <item m="1" x="4725"/>
        <item m="1" x="3446"/>
        <item m="1" x="3485"/>
        <item m="1" x="4940"/>
        <item m="1" x="4795"/>
        <item m="1" x="4818"/>
        <item m="1" x="3362"/>
        <item m="1" x="4950"/>
        <item m="1" x="5169"/>
        <item m="1" x="5170"/>
        <item m="1" x="5171"/>
        <item m="1" x="5172"/>
        <item m="1" x="5173"/>
        <item m="1" x="5174"/>
        <item m="1" x="3887"/>
        <item m="1" x="4944"/>
        <item m="1" x="5175"/>
        <item m="1" x="5176"/>
        <item m="1" x="5177"/>
        <item m="1" x="1989"/>
        <item m="1" x="5179"/>
        <item m="1" x="5038"/>
        <item m="1" x="5180"/>
        <item m="1" x="5181"/>
        <item m="1" x="5182"/>
        <item m="1" x="4654"/>
        <item m="1" x="3505"/>
        <item m="1" x="4459"/>
        <item m="1" x="5183"/>
        <item m="1" x="4322"/>
        <item m="1" x="4084"/>
        <item m="1" x="4376"/>
        <item m="1" x="4085"/>
        <item m="1" x="5184"/>
        <item m="1" x="5185"/>
        <item m="1" x="5186"/>
        <item m="1" x="5048"/>
        <item m="1" x="4821"/>
        <item m="1" x="5187"/>
        <item m="1" x="4712"/>
        <item m="1" x="4713"/>
        <item m="1" x="5188"/>
        <item m="1" x="5189"/>
        <item m="1" x="5190"/>
        <item m="1" x="5191"/>
        <item m="1" x="5192"/>
        <item m="1" x="5193"/>
        <item m="1" x="5194"/>
        <item m="1" x="5043"/>
        <item m="1" x="5195"/>
        <item m="1" x="4945"/>
        <item m="1" x="5196"/>
        <item m="1" x="5197"/>
        <item m="1" x="5198"/>
        <item m="1" x="5039"/>
        <item m="1" x="5045"/>
        <item m="1" x="5199"/>
        <item m="1" x="5200"/>
        <item m="1" x="4946"/>
        <item m="1" x="5120"/>
        <item m="1" x="5047"/>
        <item m="1" x="5201"/>
        <item m="1" x="5202"/>
        <item m="1" x="4948"/>
        <item m="1" x="3518"/>
        <item m="1" x="5037"/>
        <item m="1" x="5203"/>
        <item m="1" x="4220"/>
        <item m="1" x="4425"/>
        <item m="1" x="5204"/>
        <item m="1" x="5205"/>
        <item m="1" x="5206"/>
        <item m="1" x="4822"/>
        <item m="1" x="4565"/>
        <item m="1" x="5207"/>
        <item m="1" x="5208"/>
        <item m="1" x="5209"/>
        <item m="1" x="5210"/>
        <item m="1" x="4114"/>
        <item m="1" x="5211"/>
        <item m="1" x="4653"/>
        <item m="1" x="4487"/>
        <item m="1" x="4037"/>
        <item m="1" x="5212"/>
        <item m="1" x="5213"/>
        <item m="1" x="4469"/>
        <item m="1" x="5041"/>
        <item m="1" x="4470"/>
        <item m="1" x="4471"/>
        <item m="1" x="4472"/>
        <item m="1" x="4349"/>
        <item m="1" x="5214"/>
        <item m="1" x="5215"/>
        <item m="1" x="4773"/>
        <item m="1" x="5216"/>
        <item m="1" x="5217"/>
        <item m="1" x="5221"/>
        <item m="1" x="5222"/>
        <item m="1" x="5223"/>
        <item m="1" x="5224"/>
        <item m="1" x="5225"/>
        <item m="1" x="4488"/>
        <item m="1" x="4942"/>
        <item m="1" x="4833"/>
        <item m="1" x="4110"/>
        <item m="1" x="5226"/>
        <item m="1" x="4524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221"/>
        <item m="1" x="5049"/>
        <item m="1" x="5050"/>
        <item m="1" x="5227"/>
        <item m="1" x="5228"/>
        <item m="1" x="5229"/>
        <item m="1" x="5230"/>
        <item m="1" x="5231"/>
        <item m="1" x="4532"/>
        <item m="1" x="4533"/>
        <item m="1" x="5232"/>
        <item m="1" x="5233"/>
        <item m="1" x="5234"/>
        <item m="1" x="4652"/>
        <item m="1" x="4145"/>
        <item m="1" x="4146"/>
        <item m="1" x="3423"/>
        <item m="1" x="4491"/>
        <item m="1" x="4108"/>
        <item m="1" x="4109"/>
        <item m="1" x="4422"/>
        <item m="1" x="4716"/>
        <item m="1" x="5073"/>
        <item m="1" x="5235"/>
        <item m="1" x="5236"/>
        <item m="1" x="5237"/>
        <item m="1" x="5238"/>
        <item m="1" x="4383"/>
        <item m="1" x="4985"/>
        <item m="1" x="4227"/>
        <item m="1" x="4762"/>
        <item m="1" x="4809"/>
        <item m="1" x="4811"/>
        <item m="1" x="4810"/>
        <item m="1" x="4812"/>
        <item m="1" x="985"/>
        <item m="1" x="4630"/>
        <item m="1" x="4210"/>
        <item m="1" x="5051"/>
        <item m="1" x="4952"/>
        <item m="1" x="4954"/>
        <item m="1" x="4423"/>
        <item m="1" x="4424"/>
        <item m="1" x="4797"/>
        <item m="1" x="4523"/>
        <item m="1" x="3999"/>
        <item m="1" x="4000"/>
        <item m="1" x="4956"/>
        <item m="1" x="5052"/>
        <item m="1" x="4628"/>
        <item m="1" x="5053"/>
        <item m="1" x="5054"/>
        <item m="1" x="4823"/>
        <item m="1" x="5055"/>
        <item m="1" x="5056"/>
        <item m="1" x="5057"/>
        <item m="1" x="5058"/>
        <item m="1" x="5059"/>
        <item m="1" x="5060"/>
        <item m="1" x="5061"/>
        <item m="1" x="435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4953"/>
        <item m="1" x="5074"/>
        <item m="1" x="5075"/>
        <item m="1" x="5076"/>
        <item m="1" x="5077"/>
        <item m="1" x="5078"/>
        <item m="1" x="5079"/>
        <item m="1" x="4231"/>
        <item m="1" x="4962"/>
        <item m="1" x="4965"/>
        <item m="1" x="4473"/>
        <item m="1" x="4971"/>
        <item m="1" x="4973"/>
        <item m="1" x="4974"/>
        <item m="1" x="4972"/>
        <item m="1" x="4486"/>
        <item m="1" x="4083"/>
        <item m="1" x="5080"/>
        <item m="1" x="5081"/>
        <item m="1" x="5082"/>
        <item m="1" x="5083"/>
        <item m="1" x="5084"/>
        <item m="1" x="5085"/>
        <item m="1" x="4332"/>
        <item m="1" x="5086"/>
        <item m="1" x="4536"/>
        <item m="1" x="4651"/>
        <item m="1" x="4649"/>
        <item m="1" x="4655"/>
        <item m="1" x="4650"/>
        <item m="1" x="4673"/>
        <item m="1" x="5087"/>
        <item m="1" x="5088"/>
        <item m="1" x="4435"/>
        <item m="1" x="5091"/>
        <item m="1" x="5092"/>
        <item m="1" x="5093"/>
        <item m="1" x="5094"/>
        <item m="1" x="3916"/>
        <item m="1" x="4987"/>
        <item m="1" x="5095"/>
        <item m="1" x="5096"/>
        <item m="1" x="5097"/>
        <item m="1" x="5098"/>
        <item m="1" x="4990"/>
        <item m="1" x="5099"/>
        <item m="1" x="5100"/>
        <item m="1" x="5101"/>
        <item m="1" x="4421"/>
        <item m="1" x="4995"/>
        <item m="1" x="5102"/>
        <item m="1" x="4826"/>
        <item m="1" x="3391"/>
        <item m="1" x="5103"/>
        <item m="1" x="5104"/>
        <item m="1" x="5106"/>
        <item m="1" x="5107"/>
        <item m="1" x="5108"/>
        <item m="1" x="4996"/>
        <item m="1" x="5109"/>
        <item m="1" x="4829"/>
        <item m="1" x="4830"/>
        <item m="1" x="5110"/>
        <item m="1" x="5111"/>
        <item m="1" x="5112"/>
        <item m="1" x="5113"/>
        <item m="1" x="5114"/>
        <item m="1" x="4831"/>
        <item m="1" x="3538"/>
        <item m="1" x="5004"/>
        <item m="1" x="5116"/>
        <item m="1" x="5117"/>
        <item m="1" x="5118"/>
        <item m="1" x="5119"/>
        <item m="1" x="5121"/>
        <item m="1" x="4226"/>
        <item m="1" x="5122"/>
        <item m="1" x="5123"/>
        <item m="1" x="4803"/>
        <item m="1" x="4729"/>
        <item m="1" x="4434"/>
        <item m="1" x="4209"/>
        <item m="1" x="5124"/>
        <item m="1" x="5125"/>
        <item m="1" x="4362"/>
        <item m="1" x="5126"/>
        <item m="1" x="3982"/>
        <item m="1" x="4474"/>
        <item m="1" x="4079"/>
        <item m="1" x="4485"/>
        <item m="1" x="4757"/>
        <item m="1" x="4825"/>
        <item m="1" x="3403"/>
        <item m="1" x="4077"/>
        <item m="1" x="4078"/>
        <item m="1" x="5127"/>
        <item m="1" x="4832"/>
        <item m="1" x="4224"/>
        <item m="1" x="4225"/>
        <item m="1" x="4432"/>
        <item m="1" x="3970"/>
        <item m="1" x="4433"/>
        <item m="1" x="4955"/>
        <item m="1" x="4835"/>
        <item m="1" x="4010"/>
        <item m="1" x="4838"/>
        <item m="1" x="4957"/>
        <item m="1" x="4411"/>
        <item m="1" x="4412"/>
        <item m="1" x="4413"/>
        <item m="1" x="4958"/>
        <item m="1" x="4959"/>
        <item m="1" x="4960"/>
        <item m="1" x="3971"/>
        <item m="1" x="3972"/>
        <item m="1" x="3973"/>
        <item m="1" x="3503"/>
        <item m="1" x="4961"/>
        <item m="1" x="4963"/>
        <item m="1" x="2670"/>
        <item m="1" x="4964"/>
        <item m="1" x="4966"/>
        <item m="1" x="4967"/>
        <item m="1" x="4968"/>
        <item m="1" x="4851"/>
        <item m="1" x="4969"/>
        <item m="1" x="4975"/>
        <item m="1" x="4494"/>
        <item m="1" x="4976"/>
        <item m="1" x="4977"/>
        <item m="1" x="4978"/>
        <item m="1" x="4979"/>
        <item m="1" x="4980"/>
        <item m="1" x="4981"/>
        <item m="1" x="3410"/>
        <item m="1" x="4824"/>
        <item m="1" x="4982"/>
        <item m="1" x="4983"/>
        <item m="1" x="4537"/>
        <item m="1" x="4344"/>
        <item m="1" x="4666"/>
        <item m="1" x="4182"/>
        <item m="1" x="4183"/>
        <item m="1" x="4984"/>
        <item m="1" x="4986"/>
        <item m="1" x="4147"/>
        <item m="1" x="4989"/>
        <item m="1" x="4991"/>
        <item m="1" x="3947"/>
        <item m="1" x="3398"/>
        <item m="1" x="4992"/>
        <item m="1" x="4788"/>
        <item m="1" x="3581"/>
        <item m="1" x="4827"/>
        <item m="1" x="4993"/>
        <item m="1" x="4994"/>
        <item m="1" x="4329"/>
        <item m="1" x="3411"/>
        <item m="1" x="4828"/>
        <item m="1" x="3415"/>
        <item m="1" x="3421"/>
        <item m="1" x="4148"/>
        <item m="1" x="4997"/>
        <item m="1" x="4998"/>
        <item m="1" x="4283"/>
        <item m="1" x="4999"/>
        <item m="1" x="4680"/>
        <item m="1" x="5000"/>
        <item m="1" x="5001"/>
        <item m="1" x="5002"/>
        <item m="1" x="5003"/>
        <item m="1" x="5005"/>
        <item m="1" x="4511"/>
        <item m="1" x="4264"/>
        <item m="1" x="4266"/>
        <item m="1" x="4265"/>
        <item m="1" x="4267"/>
        <item m="1" x="5006"/>
        <item m="1" x="4807"/>
        <item m="1" x="4223"/>
        <item m="1" x="4430"/>
        <item m="1" x="4431"/>
        <item m="1" x="4515"/>
        <item m="1" x="4516"/>
        <item m="1" x="4839"/>
        <item m="1" x="4840"/>
        <item m="1" x="4841"/>
        <item m="1" x="5007"/>
        <item m="1" x="4453"/>
        <item m="1" x="5008"/>
        <item m="1" x="5009"/>
        <item m="1" x="5010"/>
        <item m="1" x="5011"/>
        <item m="1" x="5012"/>
        <item m="1" x="5013"/>
        <item m="1" x="4667"/>
        <item m="1" x="5014"/>
        <item m="1" x="4865"/>
        <item m="1" x="4804"/>
        <item m="1" x="4751"/>
        <item m="1" x="5015"/>
        <item m="1" x="5016"/>
        <item m="1" x="5017"/>
        <item m="1" x="4674"/>
        <item m="1" x="4151"/>
        <item m="1" x="5018"/>
        <item m="1" x="3382"/>
        <item m="1" x="3413"/>
        <item m="1" x="5019"/>
        <item m="1" x="3412"/>
        <item m="1" x="3418"/>
        <item m="1" x="3419"/>
        <item m="1" x="3449"/>
        <item m="1" x="5020"/>
        <item m="1" x="5021"/>
        <item m="1" x="2009"/>
        <item m="1" x="3437"/>
        <item m="1" x="3478"/>
        <item m="1" x="4864"/>
        <item m="1" x="5023"/>
        <item m="1" x="5024"/>
        <item m="1" x="4868"/>
        <item m="1" x="5025"/>
        <item m="1" x="3702"/>
        <item m="1" x="4834"/>
        <item m="1" x="4427"/>
        <item m="1" x="4428"/>
        <item m="1" x="4796"/>
        <item m="1" x="4701"/>
        <item m="1" x="4387"/>
        <item m="1" x="4836"/>
        <item m="1" x="4837"/>
        <item m="1" x="4520"/>
        <item m="1" x="4518"/>
        <item m="1" x="4519"/>
        <item m="1" x="4842"/>
        <item m="1" x="4772"/>
        <item m="1" x="3809"/>
        <item m="1" x="4843"/>
        <item m="1" x="4321"/>
        <item m="1" x="4374"/>
        <item m="1" x="4048"/>
        <item m="1" x="3862"/>
        <item m="1" x="4844"/>
        <item m="1" x="4845"/>
        <item m="1" x="4462"/>
        <item m="1" x="4846"/>
        <item m="1" x="4847"/>
        <item m="1" x="4049"/>
        <item m="1" x="4848"/>
        <item m="1" x="4849"/>
        <item m="1" x="4595"/>
        <item m="1" x="4850"/>
        <item m="1" x="4467"/>
        <item m="1" x="4468"/>
        <item m="1" x="4463"/>
        <item m="1" x="4464"/>
        <item m="1" x="4465"/>
        <item m="1" x="4466"/>
        <item m="1" x="3867"/>
        <item m="1" x="4477"/>
        <item m="1" x="4493"/>
        <item m="1" x="4490"/>
        <item m="1" x="4852"/>
        <item m="1" x="4489"/>
        <item m="1" x="4694"/>
        <item m="1" x="4330"/>
        <item m="1" x="4331"/>
        <item m="1" x="4853"/>
        <item m="1" x="4854"/>
        <item m="1" x="1523"/>
        <item m="1" x="4343"/>
        <item m="1" x="4345"/>
        <item m="1" x="4346"/>
        <item m="1" x="4669"/>
        <item m="1" x="4546"/>
        <item m="1" x="4534"/>
        <item m="1" x="4535"/>
        <item m="1" x="4670"/>
        <item m="1" x="4671"/>
        <item m="1" x="4668"/>
        <item m="1" x="4855"/>
        <item m="1" x="4753"/>
        <item m="1" x="4752"/>
        <item m="1" x="4678"/>
        <item m="1" x="4743"/>
        <item m="1" x="4856"/>
        <item m="1" x="3383"/>
        <item m="1" x="3386"/>
        <item m="1" x="3389"/>
        <item m="1" x="3424"/>
        <item m="1" x="3497"/>
        <item m="1" x="4857"/>
        <item m="1" x="4858"/>
        <item m="1" x="4859"/>
        <item m="1" x="4860"/>
        <item m="1" x="3593"/>
        <item m="1" x="4737"/>
        <item m="1" x="4622"/>
        <item m="1" x="3465"/>
        <item m="1" x="3404"/>
        <item m="1" x="4861"/>
        <item m="1" x="4862"/>
        <item m="1" x="4734"/>
        <item m="1" x="4863"/>
        <item m="1" x="3471"/>
        <item m="1" x="3491"/>
        <item m="1" x="3498"/>
        <item m="1" x="4866"/>
        <item m="1" x="4867"/>
        <item m="1" x="1102"/>
        <item m="1" x="4695"/>
        <item m="1" x="4781"/>
        <item m="1" x="4784"/>
        <item m="1" x="4782"/>
        <item m="1" x="4780"/>
        <item m="1" x="4779"/>
        <item m="1" x="4307"/>
        <item m="1" x="4869"/>
        <item m="1" x="3854"/>
        <item m="1" x="4118"/>
        <item m="1" x="4771"/>
        <item m="1" x="4271"/>
        <item m="1" x="4426"/>
        <item m="1" x="4429"/>
        <item m="1" x="4521"/>
        <item m="1" x="4596"/>
        <item m="1" x="4597"/>
        <item m="1" x="4870"/>
        <item m="1" x="4373"/>
        <item m="1" x="4371"/>
        <item m="1" x="4375"/>
        <item m="1" x="4372"/>
        <item m="1" x="4461"/>
        <item m="1" x="4746"/>
        <item m="1" x="4747"/>
        <item m="1" x="3368"/>
        <item m="1" x="2416"/>
        <item m="1" x="4871"/>
        <item m="1" x="4689"/>
        <item m="1" x="4765"/>
        <item m="1" x="4696"/>
        <item m="1" x="4619"/>
        <item m="1" x="4592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708"/>
        <item m="1" x="4881"/>
        <item m="1" x="4882"/>
        <item m="1" x="4783"/>
        <item m="1" x="4883"/>
        <item m="1" x="4884"/>
        <item m="1" x="4279"/>
        <item m="1" x="4763"/>
        <item m="1" x="4764"/>
        <item m="1" x="4569"/>
        <item m="1" x="4766"/>
        <item m="1" x="4767"/>
        <item m="1" x="2460"/>
        <item m="1" x="3779"/>
        <item m="1" x="3396"/>
        <item m="1" x="4573"/>
        <item m="1" x="3796"/>
        <item m="1" x="4768"/>
        <item m="1" x="4769"/>
        <item m="1" x="4775"/>
        <item m="1" x="4776"/>
        <item m="1" x="4777"/>
        <item m="1" x="4778"/>
        <item m="1" x="4785"/>
        <item m="1" x="4786"/>
        <item m="1" x="3810"/>
        <item m="1" x="3808"/>
        <item m="1" x="3969"/>
        <item m="1" x="3811"/>
        <item m="1" x="3996"/>
        <item m="1" x="4333"/>
        <item m="1" x="4368"/>
        <item m="1" x="3499"/>
        <item m="1" x="4348"/>
        <item m="1" x="4598"/>
        <item m="1" x="4787"/>
        <item m="1" x="4386"/>
        <item m="1" x="4606"/>
        <item x="65"/>
        <item m="1" x="4607"/>
        <item m="1" x="4200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23"/>
        <item m="1" x="4405"/>
        <item m="1" x="4397"/>
        <item m="1" x="4409"/>
        <item m="1" x="4789"/>
        <item m="1" x="4790"/>
        <item m="1" x="4791"/>
        <item m="1" x="4201"/>
        <item m="1" x="4792"/>
        <item m="1" x="4793"/>
        <item m="1" x="4794"/>
        <item m="1" x="4204"/>
        <item m="1" x="4416"/>
        <item m="1" x="4723"/>
        <item m="1" x="4722"/>
        <item m="1" x="4445"/>
        <item m="1" x="4631"/>
        <item m="1" x="3864"/>
        <item m="1" x="4798"/>
        <item m="1" x="4799"/>
        <item m="1" x="4053"/>
        <item m="1" x="4059"/>
        <item m="1" x="4460"/>
        <item m="1" x="4452"/>
        <item m="1" x="2041"/>
        <item m="1" x="4483"/>
        <item m="1" x="4484"/>
        <item m="1" x="3334"/>
        <item m="1" x="4497"/>
        <item m="1" x="3493"/>
        <item m="1" x="3494"/>
        <item m="1" x="4800"/>
        <item m="1" x="4082"/>
        <item m="1" x="4801"/>
        <item m="1" x="4503"/>
        <item m="1" x="2907"/>
        <item m="1" x="4502"/>
        <item m="1" x="4738"/>
        <item m="1" x="4802"/>
        <item m="1" x="4646"/>
        <item m="1" x="4510"/>
        <item m="1" x="3765"/>
        <item m="1" x="4514"/>
        <item m="1" x="4513"/>
        <item m="1" x="4525"/>
        <item m="1" x="4538"/>
        <item m="1" x="4544"/>
        <item m="1" x="4745"/>
        <item m="1" x="4657"/>
        <item m="1" x="4547"/>
        <item m="1" x="4656"/>
        <item m="1" x="3908"/>
        <item m="1" x="4552"/>
        <item m="1" x="4748"/>
        <item m="1" x="4749"/>
        <item m="1" x="4750"/>
        <item m="1" x="4754"/>
        <item m="1" x="4760"/>
        <item m="1" x="4560"/>
        <item m="1" x="3974"/>
        <item m="1" x="4138"/>
        <item m="1" x="4564"/>
        <item m="1" x="4139"/>
        <item m="1" x="4806"/>
        <item m="1" x="3606"/>
        <item m="1" x="4153"/>
        <item m="1" x="4149"/>
        <item m="1" x="4150"/>
        <item m="1" x="4276"/>
        <item m="1" x="4277"/>
        <item m="1" x="4278"/>
        <item m="1" x="4287"/>
        <item m="1" x="4288"/>
        <item m="1" x="4578"/>
        <item m="1" x="4577"/>
        <item m="1" x="4690"/>
        <item m="1" x="4572"/>
        <item m="1" x="3438"/>
        <item m="1" x="4293"/>
        <item m="1" x="4294"/>
        <item m="1" x="4295"/>
        <item m="1" x="4291"/>
        <item m="1" x="4582"/>
        <item m="1" x="3950"/>
        <item m="1" x="4403"/>
        <item m="1" x="4691"/>
        <item m="1" x="4292"/>
        <item m="1" x="4296"/>
        <item m="1" x="4692"/>
        <item m="1" x="3406"/>
        <item m="1" x="3407"/>
        <item m="1" x="3376"/>
        <item m="1" x="3783"/>
        <item m="1" x="4693"/>
        <item m="1" x="3784"/>
        <item m="1" x="2817"/>
        <item m="1" x="4697"/>
        <item m="1" x="4698"/>
        <item m="1" x="4699"/>
        <item m="1" x="4700"/>
        <item m="1" x="2406"/>
        <item m="1" x="2410"/>
        <item m="1" x="3728"/>
        <item m="1" x="3826"/>
        <item m="1" x="4315"/>
        <item m="1" x="3813"/>
        <item m="1" x="3976"/>
        <item m="1" x="4187"/>
        <item m="1" x="4188"/>
        <item m="1" x="4327"/>
        <item m="1" x="4328"/>
        <item m="1" x="4594"/>
        <item m="1" x="3988"/>
        <item m="1" x="4341"/>
        <item m="1" x="4342"/>
        <item m="1" x="4365"/>
        <item m="1" x="4366"/>
        <item m="1" x="4367"/>
        <item m="1" x="4364"/>
        <item m="1" x="4599"/>
        <item m="1" x="4602"/>
        <item m="1" x="4603"/>
        <item m="1" x="4003"/>
        <item m="1" x="4004"/>
        <item m="1" x="4601"/>
        <item m="1" x="4604"/>
        <item m="1" x="4605"/>
        <item m="1" x="4018"/>
        <item m="1" x="3470"/>
        <item m="1" x="4702"/>
        <item m="1" x="4703"/>
        <item m="1" x="4704"/>
        <item m="1" x="4705"/>
        <item m="1" x="4706"/>
        <item m="1" x="4199"/>
        <item m="1" x="4040"/>
        <item m="1" x="4627"/>
        <item m="1" x="4626"/>
        <item m="1" x="3392"/>
        <item m="1" x="3393"/>
        <item m="1" x="3394"/>
        <item m="1" x="2979"/>
        <item m="1" x="4717"/>
        <item m="1" x="4718"/>
        <item m="1" x="4436"/>
        <item m="1" x="4719"/>
        <item m="1" x="4720"/>
        <item m="1" x="4026"/>
        <item m="1" x="4437"/>
        <item m="1" x="4721"/>
        <item m="1" x="4438"/>
        <item m="1" x="4439"/>
        <item m="1" x="4212"/>
        <item m="1" x="4440"/>
        <item m="1" x="4724"/>
        <item m="1" x="4726"/>
        <item m="1" x="4727"/>
        <item m="1" x="4211"/>
        <item m="1" x="3858"/>
        <item m="1" x="4446"/>
        <item m="1" x="3460"/>
        <item m="1" x="3466"/>
        <item m="1" x="4052"/>
        <item m="1" x="3546"/>
        <item m="1" x="3537"/>
        <item m="1" x="4730"/>
        <item m="1" x="4731"/>
        <item m="1" x="3761"/>
        <item m="1" x="4732"/>
        <item m="1" x="4080"/>
        <item m="1" x="4081"/>
        <item m="1" x="3888"/>
        <item m="1" x="4642"/>
        <item m="1" x="4733"/>
        <item m="1" x="1721"/>
        <item m="1" x="4643"/>
        <item m="1" x="3409"/>
        <item m="1" x="3464"/>
        <item m="1" x="4634"/>
        <item m="1" x="4635"/>
        <item m="1" x="4636"/>
        <item m="1" x="4509"/>
        <item m="1" x="4735"/>
        <item m="1" x="4736"/>
        <item m="1" x="4639"/>
        <item m="1" x="4739"/>
        <item m="1" x="4740"/>
        <item m="1" x="4741"/>
        <item m="1" x="4744"/>
        <item m="1" x="3458"/>
        <item m="1" x="4647"/>
        <item m="1" x="4530"/>
        <item m="1" x="4648"/>
        <item m="1" x="4672"/>
        <item m="1" x="4659"/>
        <item m="1" x="4548"/>
        <item m="1" x="4660"/>
        <item m="1" x="4661"/>
        <item m="1" x="4662"/>
        <item m="1" x="4543"/>
        <item m="1" x="4679"/>
        <item m="1" x="3727"/>
        <item m="1" x="4755"/>
        <item m="1" x="4756"/>
        <item m="1" x="4761"/>
        <item m="1" x="4272"/>
        <item m="1" x="4273"/>
        <item m="1" x="4274"/>
        <item m="1" x="4275"/>
        <item m="1" x="4567"/>
        <item m="1" x="4568"/>
        <item m="1" x="4570"/>
        <item m="1" x="4286"/>
        <item m="1" x="4571"/>
        <item m="1" x="4574"/>
        <item m="1" x="4575"/>
        <item m="1" x="4576"/>
        <item m="1" x="4579"/>
        <item m="1" x="4580"/>
        <item m="1" x="4581"/>
        <item m="1" x="3384"/>
        <item m="1" x="4290"/>
        <item m="1" x="4583"/>
        <item m="1" x="4584"/>
        <item m="1" x="4585"/>
        <item m="1" x="4586"/>
        <item m="1" x="3782"/>
        <item m="1" x="4587"/>
        <item m="1" x="4588"/>
        <item m="1" x="4589"/>
        <item m="1" x="4590"/>
        <item m="1" x="4591"/>
        <item m="1" x="3806"/>
        <item m="1" x="3812"/>
        <item m="1" x="3571"/>
        <item m="1" x="3984"/>
        <item m="1" x="4593"/>
        <item m="1" x="4324"/>
        <item m="1" x="4325"/>
        <item m="1" x="4326"/>
        <item m="1" x="4323"/>
        <item m="1" x="3827"/>
        <item m="1" x="4340"/>
        <item m="1" x="3985"/>
        <item m="1" x="4351"/>
        <item m="1" x="3824"/>
        <item m="1" x="3825"/>
        <item m="1" x="3992"/>
        <item m="1" x="4334"/>
        <item m="1" x="4335"/>
        <item m="1" x="4336"/>
        <item m="1" x="4337"/>
        <item m="1" x="4338"/>
        <item m="1" x="4339"/>
        <item m="1" x="3993"/>
        <item m="1" x="4363"/>
        <item m="1" x="4369"/>
        <item m="1" x="2411"/>
        <item m="1" x="4378"/>
        <item m="1" x="4011"/>
        <item m="1" x="4620"/>
        <item m="1" x="4388"/>
        <item m="1" x="4621"/>
        <item m="1" x="4390"/>
        <item m="1" x="3582"/>
        <item m="1" x="4193"/>
        <item m="1" x="3849"/>
        <item m="1" x="4398"/>
        <item m="1" x="4399"/>
        <item m="1" x="4400"/>
        <item m="1" x="4401"/>
        <item m="1" x="4402"/>
        <item m="1" x="4414"/>
        <item m="1" x="4625"/>
        <item m="1" x="4629"/>
        <item m="1" x="4419"/>
        <item m="1" x="4420"/>
        <item m="1" x="4038"/>
        <item m="1" x="4213"/>
        <item m="1" x="4206"/>
        <item m="1" x="4217"/>
        <item m="1" x="4218"/>
        <item m="1" x="4441"/>
        <item m="1" x="4207"/>
        <item m="1" x="3863"/>
        <item m="1" x="3453"/>
        <item m="1" x="3451"/>
        <item m="1" x="3459"/>
        <item m="1" x="3455"/>
        <item m="1" x="3378"/>
        <item m="1" x="3865"/>
        <item m="1" x="3759"/>
        <item m="1" x="3760"/>
        <item m="1" x="3866"/>
        <item m="1" x="3758"/>
        <item m="1" x="4632"/>
        <item m="1" x="4451"/>
        <item m="1" x="4480"/>
        <item m="1" x="4481"/>
        <item m="1" x="4482"/>
        <item m="1" x="3872"/>
        <item m="1" x="4495"/>
        <item m="1" x="4496"/>
        <item m="1" x="4633"/>
        <item m="1" x="4637"/>
        <item m="1" x="4638"/>
        <item m="1" x="4640"/>
        <item m="1" x="3405"/>
        <item m="1" x="3420"/>
        <item m="1" x="4641"/>
        <item m="1" x="2948"/>
        <item m="1" x="3416"/>
        <item m="1" x="4644"/>
        <item m="1" x="4504"/>
        <item m="1" x="4645"/>
        <item m="1" x="4249"/>
        <item m="1" x="4517"/>
        <item m="1" x="4526"/>
        <item m="1" x="4112"/>
        <item m="1" x="4527"/>
        <item m="1" x="4120"/>
        <item m="1" x="4121"/>
        <item m="1" x="4119"/>
        <item m="1" x="4124"/>
        <item m="1" x="4529"/>
        <item m="1" x="4125"/>
        <item m="1" x="3902"/>
        <item m="1" x="4531"/>
        <item m="1" x="4658"/>
        <item m="1" x="4675"/>
        <item m="1" x="4676"/>
        <item m="1" x="4677"/>
        <item m="1" x="4553"/>
        <item m="1" x="4681"/>
        <item m="1" x="4682"/>
        <item m="1" x="4683"/>
        <item m="1" x="3050"/>
        <item m="1" x="4684"/>
        <item m="1" x="4685"/>
        <item m="1" x="4686"/>
        <item m="1" x="4563"/>
        <item m="1" x="4562"/>
        <item m="1" x="4688"/>
        <item m="1" x="4154"/>
        <item m="1" x="910"/>
        <item m="1" x="3919"/>
        <item m="1" x="3920"/>
        <item m="1" x="3921"/>
        <item m="1" x="3922"/>
        <item m="1" x="3923"/>
        <item m="1" x="3931"/>
        <item m="1" x="3930"/>
        <item m="1" x="3926"/>
        <item m="1" x="3927"/>
        <item m="1" x="3928"/>
        <item m="1" x="3929"/>
        <item m="1" x="4159"/>
        <item m="1" x="4280"/>
        <item m="1" x="2793"/>
        <item m="1" x="4281"/>
        <item m="1" x="4282"/>
        <item m="1" x="3925"/>
        <item m="1" x="3173"/>
        <item m="1" x="3935"/>
        <item m="1" x="3768"/>
        <item m="1" x="3936"/>
        <item m="1" x="3932"/>
        <item m="1" x="3933"/>
        <item m="1" x="3934"/>
        <item m="1" x="3770"/>
        <item m="1" x="3939"/>
        <item m="1" x="3938"/>
        <item m="1" x="3937"/>
        <item m="1" x="4284"/>
        <item m="1" x="3373"/>
        <item m="1" x="4285"/>
        <item m="1" x="4289"/>
        <item m="1" x="4158"/>
        <item m="1" x="3561"/>
        <item m="1" x="4297"/>
        <item m="1" x="4298"/>
        <item m="1" x="4299"/>
        <item m="1" x="4300"/>
        <item m="1" x="4301"/>
        <item m="1" x="3946"/>
        <item m="1" x="2409"/>
        <item m="1" x="4302"/>
        <item m="1" x="4303"/>
        <item m="1" x="4167"/>
        <item m="1" x="3462"/>
        <item m="1" x="4169"/>
        <item m="1" x="4170"/>
        <item m="1" x="4171"/>
        <item m="1" x="4168"/>
        <item m="1" x="4304"/>
        <item m="1" x="4305"/>
        <item m="1" x="4306"/>
        <item m="1" x="4308"/>
        <item m="1" x="4309"/>
        <item m="1" x="4310"/>
        <item m="1" x="4311"/>
        <item m="1" x="4312"/>
        <item m="1" x="3807"/>
        <item m="1" x="4313"/>
        <item m="1" x="4314"/>
        <item m="1" x="3729"/>
        <item m="1" x="3730"/>
        <item m="1" x="4316"/>
        <item m="1" x="4317"/>
        <item m="1" x="4318"/>
        <item m="1" x="4319"/>
        <item m="1" x="4320"/>
        <item m="1" x="4350"/>
        <item m="1" x="3990"/>
        <item m="1" x="4377"/>
        <item m="1" x="4379"/>
        <item m="1" x="4380"/>
        <item m="1" x="4381"/>
        <item m="1" x="4001"/>
        <item m="1" x="4002"/>
        <item m="1" x="4007"/>
        <item m="1" x="4382"/>
        <item m="1" x="4384"/>
        <item m="1" x="4385"/>
        <item m="1" x="4389"/>
        <item m="1" x="4391"/>
        <item m="1" x="4392"/>
        <item m="1" x="4393"/>
        <item m="1" x="4023"/>
        <item m="1" x="3427"/>
        <item m="1" x="4418"/>
        <item m="1" x="4443"/>
        <item m="1" x="4214"/>
        <item m="1" x="4215"/>
        <item m="1" x="4444"/>
        <item m="1" x="4216"/>
        <item m="1" x="4448"/>
        <item m="1" x="3454"/>
        <item m="1" x="3450"/>
        <item m="1" x="3452"/>
        <item m="1" x="3467"/>
        <item m="1" x="3757"/>
        <item m="1" x="4475"/>
        <item m="1" x="4476"/>
        <item m="1" x="4066"/>
        <item m="1" x="4232"/>
        <item m="1" x="4067"/>
        <item m="1" x="4479"/>
        <item m="1" x="3873"/>
        <item m="1" x="4233"/>
        <item m="1" x="4498"/>
        <item m="1" x="4499"/>
        <item m="1" x="4500"/>
        <item m="1" x="4501"/>
        <item m="1" x="4069"/>
        <item m="1" x="1892"/>
        <item m="1" x="3764"/>
        <item m="1" x="4505"/>
        <item m="1" x="4506"/>
        <item m="1" x="4507"/>
        <item m="1" x="4508"/>
        <item m="1" x="4242"/>
        <item m="1" x="4512"/>
        <item m="1" x="4528"/>
        <item m="1" x="4115"/>
        <item m="1" x="4539"/>
        <item m="1" x="4540"/>
        <item m="1" x="4541"/>
        <item m="1" x="4542"/>
        <item m="1" x="4549"/>
        <item m="1" x="4550"/>
        <item m="1" x="4551"/>
        <item m="1" x="4554"/>
        <item m="1" x="4555"/>
        <item m="1" x="4556"/>
        <item m="1" x="4557"/>
        <item m="1" x="4558"/>
        <item m="1" x="4559"/>
        <item m="1" x="4117"/>
        <item m="1" x="3917"/>
        <item m="1" x="3918"/>
        <item m="1" x="3769"/>
        <item m="1" x="4160"/>
        <item m="1" x="4161"/>
        <item m="1" x="4162"/>
        <item m="1" x="4163"/>
        <item m="1" x="3530"/>
        <item m="1" x="3440"/>
        <item m="1" x="4164"/>
        <item m="1" x="3531"/>
        <item m="1" x="3532"/>
        <item m="1" x="4165"/>
        <item m="1" x="3948"/>
        <item m="1" x="3949"/>
        <item m="1" x="3951"/>
        <item m="1" x="3818"/>
        <item m="1" x="4166"/>
        <item m="1" x="3954"/>
        <item m="1" x="3955"/>
        <item m="1" x="4172"/>
        <item m="1" x="4173"/>
        <item m="1" x="3943"/>
        <item m="1" x="3942"/>
        <item m="1" x="4174"/>
        <item m="1" x="3632"/>
        <item m="1" x="4175"/>
        <item m="1" x="3781"/>
        <item m="1" x="3780"/>
        <item m="1" x="4176"/>
        <item m="1" x="4177"/>
        <item m="1" x="4178"/>
        <item m="1" x="4179"/>
        <item m="1" x="4180"/>
        <item m="1" x="4181"/>
        <item m="1" x="3962"/>
        <item m="1" x="3572"/>
        <item m="1" x="2809"/>
        <item m="1" x="4185"/>
        <item m="1" x="4186"/>
        <item m="1" x="3823"/>
        <item m="1" x="3817"/>
        <item m="1" x="3986"/>
        <item m="1" x="3987"/>
        <item m="1" x="3886"/>
        <item m="1" x="3981"/>
        <item m="1" x="3994"/>
        <item m="1" x="3995"/>
        <item m="1" x="3989"/>
        <item m="1" x="2711"/>
        <item m="1" x="4189"/>
        <item m="1" x="4190"/>
        <item m="1" x="4191"/>
        <item m="1" x="4192"/>
        <item m="1" x="4020"/>
        <item m="1" x="4194"/>
        <item m="1" x="4228"/>
        <item m="1" x="4229"/>
        <item m="1" x="3475"/>
        <item m="1" x="3476"/>
        <item m="1" x="4195"/>
        <item m="1" x="4196"/>
        <item m="1" x="4197"/>
        <item m="1" x="4198"/>
        <item m="1" x="2046"/>
        <item m="1" x="3589"/>
        <item m="1" x="3428"/>
        <item m="1" x="3751"/>
        <item m="1" x="4202"/>
        <item m="1" x="4203"/>
        <item m="1" x="3752"/>
        <item m="1" x="4030"/>
        <item m="1" x="3754"/>
        <item m="1" x="3349"/>
        <item m="1" x="4205"/>
        <item m="1" x="4208"/>
        <item m="1" x="3166"/>
        <item m="1" x="4044"/>
        <item m="1" x="4219"/>
        <item m="1" x="3490"/>
        <item m="1" x="4240"/>
        <item m="1" x="3855"/>
        <item m="1" x="4250"/>
        <item m="1" x="3377"/>
        <item m="1" x="4054"/>
        <item m="1" x="4055"/>
        <item m="1" x="4056"/>
        <item m="1" x="3868"/>
        <item m="1" x="3481"/>
        <item m="1" x="4234"/>
        <item m="1" x="4072"/>
        <item m="1" x="4235"/>
        <item m="1" x="4071"/>
        <item m="1" x="4070"/>
        <item m="1" x="4236"/>
        <item m="1" x="4237"/>
        <item m="1" x="4238"/>
        <item m="1" x="4239"/>
        <item m="1" x="2467"/>
        <item m="1" x="3417"/>
        <item m="1" x="4241"/>
        <item m="1" x="2415"/>
        <item m="1" x="4243"/>
        <item m="1" x="4244"/>
        <item m="1" x="2913"/>
        <item m="1" x="4245"/>
        <item m="1" x="4246"/>
        <item m="1" x="2713"/>
        <item m="1" x="4091"/>
        <item m="1" x="4247"/>
        <item m="1" x="4248"/>
        <item m="1" x="4254"/>
        <item m="1" x="4093"/>
        <item m="1" x="4102"/>
        <item m="1" x="4103"/>
        <item m="1" x="4104"/>
        <item m="1" x="4106"/>
        <item m="1" x="4107"/>
        <item m="1" x="4259"/>
        <item m="1" x="4251"/>
        <item m="1" x="4129"/>
        <item m="1" x="4128"/>
        <item m="1" x="4252"/>
        <item m="1" x="4253"/>
        <item m="1" x="3329"/>
        <item m="1" x="4256"/>
        <item m="1" x="4257"/>
        <item m="1" x="4258"/>
        <item m="1" x="4141"/>
        <item m="1" x="3870"/>
        <item m="1" x="3335"/>
        <item m="1" x="4260"/>
        <item m="1" x="4261"/>
        <item m="1" x="4262"/>
        <item m="1" x="4263"/>
        <item m="1" x="4156"/>
        <item m="1" x="3533"/>
        <item m="1" x="3534"/>
        <item m="1" x="3940"/>
        <item m="1" x="3196"/>
        <item m="1" x="2407"/>
        <item m="1" x="3941"/>
        <item m="1" x="3944"/>
        <item m="1" x="898"/>
        <item m="1" x="3945"/>
        <item m="1" x="3539"/>
        <item m="1" x="3952"/>
        <item m="1" x="3793"/>
        <item m="1" x="3794"/>
        <item m="1" x="3795"/>
        <item m="1" x="3953"/>
        <item m="1" x="3956"/>
        <item m="1" x="3957"/>
        <item m="1" x="3958"/>
        <item m="1" x="3959"/>
        <item m="1" x="3960"/>
        <item m="1" x="3961"/>
        <item m="1" x="3963"/>
        <item m="1" x="3964"/>
        <item m="1" x="3965"/>
        <item m="1" x="3966"/>
        <item m="1" x="3967"/>
        <item m="1" x="3968"/>
        <item m="1" x="3975"/>
        <item m="1" x="3814"/>
        <item m="1" x="3978"/>
        <item m="1" x="3979"/>
        <item m="1" x="3980"/>
        <item m="1" x="2117"/>
        <item m="1" x="3820"/>
        <item m="1" x="3821"/>
        <item m="1" x="3822"/>
        <item m="1" x="3815"/>
        <item m="1" x="3983"/>
        <item m="1" x="4027"/>
        <item m="1" x="4013"/>
        <item m="1" x="3991"/>
        <item m="1" x="3323"/>
        <item m="1" x="3998"/>
        <item m="1" x="4005"/>
        <item m="1" x="4006"/>
        <item m="1" x="4008"/>
        <item m="1" x="4009"/>
        <item m="1" x="4012"/>
        <item m="1" x="4014"/>
        <item m="1" x="4015"/>
        <item m="1" x="4016"/>
        <item m="1" x="4017"/>
        <item m="1" x="4019"/>
        <item m="1" x="3848"/>
        <item m="1" x="3850"/>
        <item m="1" x="4024"/>
        <item m="1" x="4025"/>
        <item m="1" x="3000"/>
        <item m="1" x="4028"/>
        <item m="1" x="4029"/>
        <item m="1" x="3657"/>
        <item m="1" x="4031"/>
        <item m="1" x="4032"/>
        <item m="1" x="4033"/>
        <item m="1" x="4034"/>
        <item m="1" x="4035"/>
        <item m="1" x="4036"/>
        <item m="1" x="3380"/>
        <item m="1" x="3395"/>
        <item m="1" x="3526"/>
        <item m="1" x="3515"/>
        <item m="1" x="3512"/>
        <item m="1" x="4039"/>
        <item m="1" x="4041"/>
        <item m="1" x="4042"/>
        <item m="1" x="4043"/>
        <item m="1" x="4045"/>
        <item m="1" x="4046"/>
        <item m="1" x="4047"/>
        <item m="1" x="3853"/>
        <item m="1" x="3444"/>
        <item m="1" x="3859"/>
        <item m="1" x="4050"/>
        <item m="1" x="4051"/>
        <item m="1" x="4057"/>
        <item m="1" x="4058"/>
        <item m="1" x="4060"/>
        <item m="1" x="4061"/>
        <item m="1" x="4063"/>
        <item m="1" x="4064"/>
        <item m="1" x="3869"/>
        <item m="1" x="4065"/>
        <item m="1" x="4068"/>
        <item m="1" x="4073"/>
        <item m="1" x="4074"/>
        <item m="1" x="4076"/>
        <item m="1" x="3803"/>
        <item m="1" x="4086"/>
        <item m="1" x="4087"/>
        <item m="1" x="4088"/>
        <item m="1" x="4090"/>
        <item m="1" x="3683"/>
        <item m="1" x="4094"/>
        <item m="1" x="4095"/>
        <item m="1" x="4096"/>
        <item m="1" x="904"/>
        <item m="1" x="4097"/>
        <item m="1" x="4098"/>
        <item m="1" x="4099"/>
        <item m="1" x="4105"/>
        <item m="1" x="3473"/>
        <item m="1" x="4100"/>
        <item m="1" x="4101"/>
        <item m="1" x="4113"/>
        <item m="1" x="4122"/>
        <item m="1" x="4123"/>
        <item m="1" x="4116"/>
        <item m="1" x="4126"/>
        <item m="1" x="4127"/>
        <item m="1" x="4130"/>
        <item m="1" x="4131"/>
        <item m="1" x="4132"/>
        <item m="1" x="4133"/>
        <item m="1" x="4134"/>
        <item m="1" x="4135"/>
        <item m="1" x="4136"/>
        <item m="1" x="4137"/>
        <item m="1" x="3317"/>
        <item m="1" x="3318"/>
        <item m="1" x="3319"/>
        <item m="1" x="3321"/>
        <item m="1" x="4142"/>
        <item m="1" x="4143"/>
        <item m="1" x="4140"/>
        <item m="1" x="4152"/>
        <item m="1" x="4155"/>
        <item m="1" x="2808"/>
        <item m="1" x="3771"/>
        <item m="1" x="2112"/>
        <item m="1" x="3772"/>
        <item m="1" x="3773"/>
        <item m="1" x="3774"/>
        <item m="1" x="3775"/>
        <item m="1" x="2712"/>
        <item m="1" x="3776"/>
        <item m="1" x="3777"/>
        <item m="1" x="3778"/>
        <item m="1" x="1941"/>
        <item m="1" x="3785"/>
        <item m="1" x="3786"/>
        <item m="1" x="3566"/>
        <item m="1" x="3787"/>
        <item m="1" x="3788"/>
        <item m="1" x="3789"/>
        <item m="1" x="3790"/>
        <item m="1" x="3791"/>
        <item m="1" x="3287"/>
        <item m="1" x="3792"/>
        <item m="1" x="3797"/>
        <item m="1" x="3798"/>
        <item m="1" x="3725"/>
        <item m="1" x="3799"/>
        <item m="1" x="3800"/>
        <item m="1" x="3801"/>
        <item m="1" x="3802"/>
        <item m="1" x="3804"/>
        <item m="1" x="3805"/>
        <item m="1" x="3288"/>
        <item m="1" x="3624"/>
        <item m="1" x="2810"/>
        <item m="1" x="3502"/>
        <item m="1" x="3390"/>
        <item m="1" x="3576"/>
        <item m="1" x="3816"/>
        <item m="1" x="3048"/>
        <item m="1" x="3049"/>
        <item m="1" x="3739"/>
        <item m="1" x="3819"/>
        <item m="1" x="3828"/>
        <item m="1" x="3472"/>
        <item m="1" x="3829"/>
        <item m="1" x="3763"/>
        <item m="1" x="3830"/>
        <item m="1" x="3831"/>
        <item m="1" x="3832"/>
        <item m="1" x="3833"/>
        <item m="1" x="3834"/>
        <item m="1" x="3835"/>
        <item m="1" x="3836"/>
        <item m="1" x="3401"/>
        <item m="1" x="3741"/>
        <item m="1" x="3742"/>
        <item m="1" x="3743"/>
        <item m="1" x="3744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2417"/>
        <item m="1" x="2412"/>
        <item m="1" x="1995"/>
        <item m="1" x="2414"/>
        <item m="1" x="3851"/>
        <item m="1" x="3852"/>
        <item m="1" x="3245"/>
        <item m="1" x="3660"/>
        <item m="1" x="3661"/>
        <item m="1" x="3448"/>
        <item m="1" x="3508"/>
        <item m="1" x="3658"/>
        <item m="1" x="3856"/>
        <item m="1" x="3857"/>
        <item m="1" x="3860"/>
        <item m="1" x="3861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341"/>
        <item m="1" x="3595"/>
        <item m="1" x="3684"/>
        <item m="1" x="3885"/>
        <item m="1" x="3889"/>
        <item m="1" x="3890"/>
        <item m="1" x="3461"/>
        <item m="1" x="2520"/>
        <item m="1" x="3891"/>
        <item m="1" x="3892"/>
        <item m="1" x="3893"/>
        <item m="1" x="3894"/>
        <item m="1" x="3693"/>
        <item m="1" x="3726"/>
        <item m="1" x="3895"/>
        <item m="1" x="3896"/>
        <item m="1" x="3897"/>
        <item m="1" x="3898"/>
        <item m="1" x="3899"/>
        <item m="1" x="3900"/>
        <item m="1" x="3901"/>
        <item m="1" x="3903"/>
        <item m="1" x="3904"/>
        <item m="1" x="3905"/>
        <item m="1" x="3906"/>
        <item m="1" x="3907"/>
        <item m="1" x="3482"/>
        <item m="1" x="3483"/>
        <item m="1" x="3731"/>
        <item m="1" x="3909"/>
        <item m="1" x="3910"/>
        <item m="1" x="3911"/>
        <item m="1" x="3912"/>
        <item m="1" x="3320"/>
        <item m="1" x="3913"/>
        <item m="1" x="3914"/>
        <item m="1" x="3322"/>
        <item m="1" x="3447"/>
        <item m="1" x="3397"/>
        <item m="1" x="3718"/>
        <item m="1" x="3719"/>
        <item m="1" x="3720"/>
        <item m="1" x="3507"/>
        <item m="1" x="3506"/>
        <item m="1" x="3721"/>
        <item m="1" x="3722"/>
        <item m="1" x="2466"/>
        <item m="1" x="1942"/>
        <item m="1" x="3723"/>
        <item m="1" x="3724"/>
        <item m="1" x="3617"/>
        <item m="1" x="3620"/>
        <item m="1" x="3732"/>
        <item m="1" x="3733"/>
        <item m="1" x="3584"/>
        <item m="1" x="3734"/>
        <item m="1" x="3735"/>
        <item m="1" x="3736"/>
        <item m="1" x="2724"/>
        <item m="1" x="3550"/>
        <item m="1" x="3519"/>
        <item m="1" x="3737"/>
        <item m="1" x="3738"/>
        <item m="1" x="3594"/>
        <item m="1" x="3627"/>
        <item m="1" x="3147"/>
        <item m="1" x="3636"/>
        <item m="1" x="3635"/>
        <item m="1" x="3633"/>
        <item m="1" x="3469"/>
        <item m="1" x="3740"/>
        <item m="1" x="3673"/>
        <item m="1" x="3641"/>
        <item m="1" x="3642"/>
        <item m="1" x="3643"/>
        <item m="1" x="3638"/>
        <item m="1" x="3652"/>
        <item m="1" x="3653"/>
        <item m="1" x="3745"/>
        <item m="1" x="3746"/>
        <item m="1" x="3747"/>
        <item m="1" x="3654"/>
        <item m="1" x="3655"/>
        <item m="1" x="3656"/>
        <item m="1" x="3748"/>
        <item m="1" x="3583"/>
        <item m="1" x="3668"/>
        <item m="1" x="3749"/>
        <item m="1" x="3750"/>
        <item m="1" x="3370"/>
        <item m="1" x="3369"/>
        <item m="1" x="2999"/>
        <item m="1" x="3659"/>
        <item m="1" x="3667"/>
        <item m="1" x="3551"/>
        <item m="1" x="3666"/>
        <item m="1" x="3549"/>
        <item m="1" x="3510"/>
        <item m="1" x="3662"/>
        <item m="1" x="3663"/>
        <item m="1" x="3552"/>
        <item m="1" x="3755"/>
        <item m="1" x="3756"/>
        <item m="1" x="3674"/>
        <item m="1" x="3548"/>
        <item m="1" x="3337"/>
        <item m="1" x="3679"/>
        <item m="1" x="3682"/>
        <item m="1" x="3685"/>
        <item m="1" x="3689"/>
        <item m="1" x="3692"/>
        <item m="1" x="3696"/>
        <item m="1" x="3694"/>
        <item m="1" x="3695"/>
        <item m="1" x="3703"/>
        <item m="1" x="3706"/>
        <item m="1" x="3707"/>
        <item m="1" x="3766"/>
        <item m="1" x="3709"/>
        <item m="1" x="3713"/>
        <item m="1" x="3714"/>
        <item m="1" x="3715"/>
        <item m="1" x="3710"/>
        <item m="1" x="3711"/>
        <item m="1" x="3311"/>
        <item m="1" x="3712"/>
        <item m="1" x="3767"/>
        <item m="1" x="3316"/>
        <item m="1" x="3716"/>
        <item m="1" x="3488"/>
        <item m="1" x="3333"/>
        <item m="1" x="3717"/>
        <item m="1" x="3607"/>
        <item m="1" x="3608"/>
        <item m="1" x="3528"/>
        <item m="1" x="3609"/>
        <item m="1" x="2896"/>
        <item m="1" x="3610"/>
        <item m="1" x="3611"/>
        <item m="1" x="3107"/>
        <item m="1" x="3612"/>
        <item m="1" x="3613"/>
        <item m="1" x="3342"/>
        <item m="1" x="3343"/>
        <item m="1" x="3614"/>
        <item m="1" x="3615"/>
        <item m="1" x="3616"/>
        <item m="1" x="3618"/>
        <item m="1" x="3399"/>
        <item m="1" x="3619"/>
        <item m="1" x="3621"/>
        <item m="1" x="2715"/>
        <item m="1" x="2903"/>
        <item m="1" x="3261"/>
        <item m="1" x="3622"/>
        <item m="1" x="3623"/>
        <item m="1" x="3625"/>
        <item m="1" x="2441"/>
        <item m="1" x="3626"/>
        <item m="1" x="3628"/>
        <item m="1" x="3629"/>
        <item m="1" x="3630"/>
        <item m="1" x="3631"/>
        <item m="1" x="3247"/>
        <item m="1" x="3051"/>
        <item m="1" x="3294"/>
        <item m="1" x="3307"/>
        <item m="1" x="3634"/>
        <item m="1" x="3577"/>
        <item m="1" x="3637"/>
        <item m="1" x="3639"/>
        <item m="1" x="3640"/>
        <item m="1" x="3644"/>
        <item m="1" x="3645"/>
        <item m="1" x="3646"/>
        <item m="1" x="3647"/>
        <item m="1" x="3648"/>
        <item m="1" x="3649"/>
        <item m="1" x="3650"/>
        <item m="1" x="3651"/>
        <item m="1" x="2923"/>
        <item m="1" x="3308"/>
        <item m="1" x="2714"/>
        <item m="1" x="2435"/>
        <item m="1" x="3260"/>
        <item m="1" x="3592"/>
        <item m="1" x="3434"/>
        <item m="1" x="3435"/>
        <item m="1" x="3433"/>
        <item m="1" x="3492"/>
        <item m="1" x="3664"/>
        <item m="1" x="3665"/>
        <item m="1" x="3511"/>
        <item m="1" x="3509"/>
        <item m="1" x="3547"/>
        <item m="1" x="3246"/>
        <item m="1" x="2918"/>
        <item m="1" x="3468"/>
        <item m="1" x="3669"/>
        <item m="1" x="3670"/>
        <item m="1" x="3671"/>
        <item m="1" x="3672"/>
        <item m="1" x="3675"/>
        <item m="1" x="2425"/>
        <item m="1" x="3676"/>
        <item m="1" x="3286"/>
        <item m="1" x="3677"/>
        <item m="1" x="3678"/>
        <item m="1" x="2813"/>
        <item m="1" x="2812"/>
        <item m="1" x="3305"/>
        <item m="1" x="3680"/>
        <item m="1" x="3596"/>
        <item m="1" x="3681"/>
        <item m="1" x="3211"/>
        <item m="1" x="3686"/>
        <item m="1" x="3687"/>
        <item m="1" x="1901"/>
        <item m="1" x="3358"/>
        <item m="1" x="3426"/>
        <item m="1" x="3432"/>
        <item m="1" x="3688"/>
        <item m="1" x="3038"/>
        <item m="1" x="3690"/>
        <item m="1" x="3691"/>
        <item m="1" x="3697"/>
        <item m="1" x="3698"/>
        <item m="1" x="3699"/>
        <item m="1" x="3700"/>
        <item m="1" x="3701"/>
        <item m="1" x="3604"/>
        <item m="1" x="2722"/>
        <item m="1" x="3704"/>
        <item m="1" x="3705"/>
        <item m="1" x="3708"/>
        <item m="1" x="2419"/>
        <item m="1" x="2420"/>
        <item m="1" x="3516"/>
        <item m="1" x="3496"/>
        <item m="1" x="3517"/>
        <item m="1" x="3603"/>
        <item m="1" x="3605"/>
        <item m="1" x="3554"/>
        <item m="1" x="3442"/>
        <item m="1" x="3375"/>
        <item m="1" x="3529"/>
        <item m="1" x="3555"/>
        <item m="1" x="3556"/>
        <item m="1" x="3557"/>
        <item m="1" x="3116"/>
        <item m="1" x="1976"/>
        <item m="1" x="2969"/>
        <item m="1" x="3558"/>
        <item m="1" x="3364"/>
        <item m="1" x="3559"/>
        <item m="1" x="3359"/>
        <item m="1" x="3560"/>
        <item m="1" x="3562"/>
        <item m="1" x="3344"/>
        <item m="1" x="3564"/>
        <item m="1" x="2947"/>
        <item m="1" x="3565"/>
        <item m="1" x="3567"/>
        <item m="1" x="3568"/>
        <item m="1" x="3569"/>
        <item m="1" x="3525"/>
        <item m="1" x="3388"/>
        <item m="1" x="3501"/>
        <item m="1" x="3262"/>
        <item m="1" x="3570"/>
        <item m="1" x="3188"/>
        <item m="1" x="3573"/>
        <item m="1" x="3574"/>
        <item m="1" x="3575"/>
        <item m="1" x="3044"/>
        <item m="1" x="3052"/>
        <item m="1" x="3267"/>
        <item m="1" x="3268"/>
        <item m="1" x="2816"/>
        <item m="1" x="3578"/>
        <item m="1" x="3579"/>
        <item m="1" x="3580"/>
        <item m="1" x="3253"/>
        <item m="1" x="3254"/>
        <item m="1" x="3255"/>
        <item m="1" x="1425"/>
        <item m="1" x="3445"/>
        <item m="1" x="3164"/>
        <item m="1" x="3585"/>
        <item m="1" x="3586"/>
        <item m="1" x="2429"/>
        <item m="1" x="3587"/>
        <item m="1" x="3588"/>
        <item m="1" x="3590"/>
        <item m="1" x="3591"/>
        <item m="1" x="3422"/>
        <item m="1" x="3244"/>
        <item m="1" x="3366"/>
        <item m="1" x="3347"/>
        <item m="1" x="3346"/>
        <item m="1" x="3242"/>
        <item m="1" x="3457"/>
        <item m="1" x="1914"/>
        <item m="1" x="3456"/>
        <item m="1" x="3280"/>
        <item m="1" x="3281"/>
        <item m="1" x="3282"/>
        <item m="1" x="3414"/>
        <item m="1" x="3277"/>
        <item m="1" x="2423"/>
        <item m="1" x="3463"/>
        <item m="1" x="3597"/>
        <item m="1" x="3598"/>
        <item m="1" x="3301"/>
        <item m="1" x="3599"/>
        <item m="1" x="3600"/>
        <item m="1" x="3601"/>
        <item m="1" x="3248"/>
        <item m="1" x="3431"/>
        <item m="1" x="3297"/>
        <item m="1" x="3218"/>
        <item m="1" x="3303"/>
        <item m="1" x="3338"/>
        <item m="1" x="3302"/>
        <item m="1" x="3327"/>
        <item m="1" x="3328"/>
        <item m="1" x="3325"/>
        <item m="1" x="3313"/>
        <item m="1" x="3312"/>
        <item m="1" x="3602"/>
        <item m="1" x="3474"/>
        <item m="1" x="3309"/>
        <item m="1" x="2438"/>
        <item m="1" x="3315"/>
        <item m="1" x="3477"/>
        <item m="1" x="3241"/>
        <item m="1" x="3202"/>
        <item m="1" x="3203"/>
        <item m="1" x="3066"/>
        <item m="1" x="3243"/>
        <item m="1" x="2976"/>
        <item m="1" x="2977"/>
        <item m="1" x="3249"/>
        <item m="1" x="3250"/>
        <item m="1" x="3251"/>
        <item m="1" x="3252"/>
        <item m="1" x="3256"/>
        <item m="1" x="3257"/>
        <item m="1" x="3258"/>
        <item m="1" x="3259"/>
        <item m="1" x="3263"/>
        <item m="1" x="2723"/>
        <item m="1" x="3264"/>
        <item m="1" x="3265"/>
        <item m="1" x="3266"/>
        <item m="1" x="3269"/>
        <item m="1" x="3270"/>
        <item m="1" x="3271"/>
        <item m="1" x="3272"/>
        <item m="1" x="3273"/>
        <item m="1" x="3142"/>
        <item m="1" x="3274"/>
        <item m="1" x="3275"/>
        <item m="1" x="3276"/>
        <item m="1" x="2436"/>
        <item m="1" x="3023"/>
        <item m="1" x="2422"/>
        <item m="1" x="3278"/>
        <item m="1" x="3279"/>
        <item m="1" x="2915"/>
        <item m="1" x="2916"/>
        <item m="1" x="2917"/>
        <item m="1" x="3283"/>
        <item m="1" x="3284"/>
        <item m="1" x="3285"/>
        <item m="1" x="2029"/>
        <item m="1" x="2720"/>
        <item m="1" x="3289"/>
        <item m="1" x="3290"/>
        <item m="1" x="3291"/>
        <item m="1" x="3292"/>
        <item m="1" x="3293"/>
        <item m="1" x="3045"/>
        <item m="1" x="3295"/>
        <item m="1" x="3296"/>
        <item m="1" x="3298"/>
        <item m="1" x="3299"/>
        <item m="1" x="3300"/>
        <item m="1" x="3304"/>
        <item m="1" x="3306"/>
        <item m="1" x="3310"/>
        <item m="1" x="2721"/>
        <item m="1" x="3155"/>
        <item m="1" x="3314"/>
        <item m="1" x="2012"/>
        <item m="1" x="911"/>
        <item m="1" x="3324"/>
        <item m="1" x="3326"/>
        <item m="1" x="2814"/>
        <item m="1" x="2815"/>
        <item m="1" x="3330"/>
        <item m="1" x="3331"/>
        <item m="1" x="3332"/>
        <item m="1" x="2953"/>
        <item m="1" x="3336"/>
        <item m="1" x="3339"/>
        <item m="1" x="3340"/>
        <item m="1" x="2718"/>
        <item m="1" x="3345"/>
        <item m="1" x="2941"/>
        <item m="1" x="3348"/>
        <item m="1" x="3350"/>
        <item m="1" x="3351"/>
        <item m="1" x="3352"/>
        <item m="1" x="3353"/>
        <item m="1" x="3354"/>
        <item m="1" x="3356"/>
        <item m="1" x="3357"/>
        <item m="1" x="2942"/>
        <item m="1" x="3360"/>
        <item m="1" x="3361"/>
        <item m="1" x="3371"/>
        <item m="1" x="3374"/>
        <item m="1" x="3379"/>
        <item m="1" x="3385"/>
        <item m="1" x="3400"/>
        <item m="1" x="3402"/>
        <item m="1" x="3408"/>
        <item m="1" x="3429"/>
        <item m="1" x="3430"/>
        <item m="1" x="3439"/>
        <item m="1" x="3441"/>
        <item m="1" x="3443"/>
        <item m="1" x="3484"/>
        <item m="1" x="3486"/>
        <item m="1" x="3487"/>
        <item m="1" x="3104"/>
        <item m="1" x="3106"/>
        <item m="1" x="3514"/>
        <item m="1" x="3520"/>
        <item m="1" x="3521"/>
        <item m="1" x="3232"/>
        <item m="1" x="3190"/>
        <item m="1" x="3522"/>
        <item m="1" x="3523"/>
        <item m="1" x="3524"/>
        <item m="1" x="3527"/>
        <item m="1" x="3535"/>
        <item m="1" x="3536"/>
        <item m="1" x="3542"/>
        <item m="1" x="3543"/>
        <item m="1" x="3544"/>
        <item m="1" x="3545"/>
        <item m="1" x="2710"/>
        <item m="1" x="3117"/>
        <item m="1" x="3553"/>
        <item m="1" x="2725"/>
        <item m="1" x="3200"/>
        <item m="1" x="2982"/>
        <item m="1" x="3201"/>
        <item m="1" x="2818"/>
        <item m="1" x="2985"/>
        <item m="1" x="2986"/>
        <item m="1" x="3204"/>
        <item m="1" x="3205"/>
        <item m="1" x="3129"/>
        <item m="1" x="3206"/>
        <item m="1" x="3120"/>
        <item m="1" x="3121"/>
        <item m="1" x="3122"/>
        <item m="1" x="3123"/>
        <item m="1" x="3124"/>
        <item m="1" x="3125"/>
        <item m="1" x="3126"/>
        <item m="1" x="3207"/>
        <item m="1" x="3131"/>
        <item m="1" x="3208"/>
        <item m="1" x="3002"/>
        <item m="1" x="2901"/>
        <item m="1" x="2717"/>
        <item m="1" x="2716"/>
        <item m="1" x="2904"/>
        <item m="1" x="2421"/>
        <item m="1" x="3134"/>
        <item m="1" x="3209"/>
        <item m="1" x="2518"/>
        <item m="1" x="3210"/>
        <item m="1" x="3136"/>
        <item m="1" x="2933"/>
        <item m="1" x="3138"/>
        <item m="1" x="3139"/>
        <item m="1" x="3012"/>
        <item m="1" x="2908"/>
        <item m="1" x="2719"/>
        <item m="1" x="3212"/>
        <item m="1" x="3016"/>
        <item m="1" x="1904"/>
        <item m="1" x="2820"/>
        <item m="1" x="3021"/>
        <item m="1" x="2909"/>
        <item m="1" x="2811"/>
        <item m="1" x="3029"/>
        <item m="1" x="3213"/>
        <item m="1" x="2038"/>
        <item m="1" x="3214"/>
        <item m="1" x="1893"/>
        <item m="1" x="3215"/>
        <item m="1" x="3216"/>
        <item m="1" x="3031"/>
        <item m="1" x="3032"/>
        <item m="1" x="3033"/>
        <item m="1" x="1974"/>
        <item m="1" x="2424"/>
        <item m="1" x="3037"/>
        <item m="1" x="1898"/>
        <item m="1" x="3043"/>
        <item m="1" x="3217"/>
        <item m="1" x="3054"/>
        <item m="1" x="3156"/>
        <item m="1" x="3157"/>
        <item m="1" x="3058"/>
        <item m="1" x="3219"/>
        <item m="1" x="3152"/>
        <item m="1" x="3153"/>
        <item m="1" x="3063"/>
        <item m="1" x="2426"/>
        <item m="1" x="3220"/>
        <item m="1" x="3068"/>
        <item m="1" x="3159"/>
        <item m="1" x="2927"/>
        <item m="1" x="2938"/>
        <item m="1" x="2939"/>
        <item m="1" x="3221"/>
        <item m="1" x="2105"/>
        <item m="1" x="3222"/>
        <item m="1" x="1903"/>
        <item m="1" x="3223"/>
        <item m="1" x="2955"/>
        <item m="1" x="2013"/>
        <item m="1" x="2427"/>
        <item m="1" x="3225"/>
        <item m="1" x="2428"/>
        <item m="1" x="1932"/>
        <item m="1" x="1928"/>
        <item m="1" x="2924"/>
        <item m="1" x="2430"/>
        <item m="1" x="3226"/>
        <item m="1" x="3227"/>
        <item m="1" x="2431"/>
        <item m="1" x="2432"/>
        <item m="1" x="2433"/>
        <item m="1" x="3228"/>
        <item m="1" x="1987"/>
        <item m="1" x="3229"/>
        <item m="1" x="1972"/>
        <item m="1" x="3185"/>
        <item m="1" x="3230"/>
        <item m="1" x="3231"/>
        <item m="1" x="2434"/>
        <item m="1" x="2437"/>
        <item m="1" x="2733"/>
        <item m="1" x="3233"/>
        <item m="1" x="2120"/>
        <item m="1" x="3234"/>
        <item m="1" x="3235"/>
        <item m="1" x="3236"/>
        <item m="1" x="3237"/>
        <item m="1" x="2079"/>
        <item m="1" x="3238"/>
        <item m="1" x="2440"/>
        <item m="1" x="3239"/>
        <item m="1" x="3240"/>
        <item m="1" x="2967"/>
        <item m="1" x="2968"/>
        <item m="1" x="2970"/>
        <item m="1" x="3118"/>
        <item m="1" x="2971"/>
        <item m="1" x="2980"/>
        <item m="1" x="2459"/>
        <item m="1" x="2981"/>
        <item m="1" x="2988"/>
        <item m="1" x="2819"/>
        <item m="1" x="2973"/>
        <item m="1" x="2974"/>
        <item m="1" x="2726"/>
        <item m="1" x="2975"/>
        <item m="1" x="1927"/>
        <item m="1" x="2978"/>
        <item m="1" x="2442"/>
        <item m="1" x="3119"/>
        <item m="1" x="3073"/>
        <item m="1" x="3127"/>
        <item m="1" x="3128"/>
        <item m="1" x="2994"/>
        <item m="1" x="2992"/>
        <item m="1" x="2993"/>
        <item m="1" x="2452"/>
        <item m="1" x="3130"/>
        <item m="1" x="2990"/>
        <item m="1" x="3132"/>
        <item m="1" x="2997"/>
        <item m="1" x="2998"/>
        <item m="1" x="3133"/>
        <item m="1" x="2902"/>
        <item m="1" x="3001"/>
        <item m="1" x="2728"/>
        <item m="1" x="3135"/>
        <item m="1" x="3006"/>
        <item m="1" x="3007"/>
        <item m="1" x="3137"/>
        <item m="1" x="3009"/>
        <item m="1" x="3010"/>
        <item m="1" x="3011"/>
        <item m="1" x="3140"/>
        <item m="1" x="3141"/>
        <item m="1" x="3017"/>
        <item m="1" x="2729"/>
        <item m="1" x="3020"/>
        <item m="1" x="2821"/>
        <item m="1" x="3022"/>
        <item m="1" x="2911"/>
        <item m="1" x="3143"/>
        <item m="1" x="3046"/>
        <item m="1" x="3047"/>
        <item m="1" x="2920"/>
        <item m="1" x="3144"/>
        <item m="1" x="1926"/>
        <item m="1" x="3145"/>
        <item m="1" x="3146"/>
        <item m="1" x="2449"/>
        <item m="1" x="3041"/>
        <item m="1" x="3042"/>
        <item m="1" x="2730"/>
        <item m="1" x="3030"/>
        <item m="1" x="2457"/>
        <item m="1" x="3148"/>
        <item m="1" x="3039"/>
        <item m="1" x="3149"/>
        <item m="1" x="2450"/>
        <item m="1" x="3150"/>
        <item m="1" x="3055"/>
        <item m="1" x="3151"/>
        <item m="1" x="3056"/>
        <item m="1" x="3064"/>
        <item m="1" x="3154"/>
        <item m="1" x="3057"/>
        <item m="1" x="3158"/>
        <item m="1" x="3069"/>
        <item m="1" x="3160"/>
        <item m="1" x="3161"/>
        <item m="1" x="3162"/>
        <item m="1" x="2474"/>
        <item m="1" x="3163"/>
        <item m="1" x="2936"/>
        <item m="1" x="1874"/>
        <item m="1" x="2932"/>
        <item m="1" x="2822"/>
        <item m="1" x="3165"/>
        <item m="1" x="2439"/>
        <item m="1" x="2937"/>
        <item m="1" x="2454"/>
        <item m="1" x="2940"/>
        <item m="1" x="3077"/>
        <item m="1" x="3078"/>
        <item m="1" x="2453"/>
        <item m="1" x="2731"/>
        <item m="1" x="3167"/>
        <item m="1" x="3085"/>
        <item m="1" x="3084"/>
        <item m="1" x="2115"/>
        <item m="1" x="3168"/>
        <item m="1" x="2113"/>
        <item m="1" x="2944"/>
        <item m="1" x="3169"/>
        <item m="1" x="3170"/>
        <item m="1" x="1899"/>
        <item m="1" x="1896"/>
        <item m="1" x="1897"/>
        <item m="1" x="2455"/>
        <item m="1" x="3171"/>
        <item m="1" x="3172"/>
        <item m="1" x="3094"/>
        <item m="1" x="3174"/>
        <item m="1" x="3175"/>
        <item m="1" x="2462"/>
        <item m="1" x="1949"/>
        <item m="1" x="3176"/>
        <item m="1" x="3177"/>
        <item m="1" x="1943"/>
        <item m="1" x="2824"/>
        <item m="1" x="2825"/>
        <item m="1" x="2956"/>
        <item m="1" x="2463"/>
        <item m="1" x="1964"/>
        <item m="1" x="1966"/>
        <item m="1" x="2823"/>
        <item m="1" x="2461"/>
        <item m="1" x="2465"/>
        <item m="1" x="3178"/>
        <item m="1" x="2464"/>
        <item m="1" x="3095"/>
        <item m="1" x="3179"/>
        <item m="1" x="3180"/>
        <item m="1" x="3181"/>
        <item m="1" x="3182"/>
        <item m="1" x="1988"/>
        <item m="1" x="1998"/>
        <item m="1" x="3183"/>
        <item m="1" x="3184"/>
        <item m="1" x="3103"/>
        <item m="1" x="2026"/>
        <item m="1" x="3186"/>
        <item m="1" x="3105"/>
        <item m="1" x="3187"/>
        <item m="1" x="3189"/>
        <item m="1" x="3191"/>
        <item m="1" x="3192"/>
        <item m="1" x="2472"/>
        <item m="1" x="3193"/>
        <item m="1" x="3194"/>
        <item m="1" x="3195"/>
        <item m="1" x="2962"/>
        <item m="1" x="2119"/>
        <item m="1" x="3110"/>
        <item m="1" x="3113"/>
        <item m="1" x="3112"/>
        <item m="1" x="3197"/>
        <item m="1" x="3114"/>
        <item m="1" x="3115"/>
        <item m="1" x="2826"/>
        <item m="1" x="2475"/>
        <item m="1" x="3198"/>
        <item m="1" x="3199"/>
        <item m="1" x="2972"/>
        <item m="1" x="2727"/>
        <item m="1" x="2983"/>
        <item m="1" x="2984"/>
        <item m="1" x="2987"/>
        <item m="1" x="2989"/>
        <item m="1" x="2991"/>
        <item m="1" x="2481"/>
        <item m="1" x="2995"/>
        <item m="1" x="2900"/>
        <item m="1" x="2996"/>
        <item m="1" x="2443"/>
        <item m="1" x="2828"/>
        <item m="1" x="2444"/>
        <item m="1" x="3003"/>
        <item m="1" x="3004"/>
        <item m="1" x="3005"/>
        <item m="1" x="3008"/>
        <item m="1" x="3013"/>
        <item m="1" x="3014"/>
        <item m="1" x="3015"/>
        <item m="1" x="3018"/>
        <item m="1" x="3019"/>
        <item m="1" x="3024"/>
        <item m="1" x="2912"/>
        <item m="1" x="3025"/>
        <item m="1" x="3026"/>
        <item m="1" x="3027"/>
        <item m="1" x="3028"/>
        <item m="1" x="2921"/>
        <item m="1" x="3034"/>
        <item m="1" x="3035"/>
        <item m="1" x="3036"/>
        <item m="1" x="2447"/>
        <item m="1" x="2448"/>
        <item m="1" x="2445"/>
        <item m="1" x="1919"/>
        <item m="1" x="2446"/>
        <item m="1" x="3040"/>
        <item m="1" x="3053"/>
        <item m="1" x="2759"/>
        <item m="1" x="3059"/>
        <item m="1" x="3060"/>
        <item m="1" x="3061"/>
        <item m="1" x="3062"/>
        <item m="1" x="3065"/>
        <item m="1" x="2451"/>
        <item m="1" x="3067"/>
        <item m="1" x="2965"/>
        <item m="1" x="3070"/>
        <item m="1" x="3071"/>
        <item m="1" x="3072"/>
        <item m="1" x="2763"/>
        <item m="1" x="2929"/>
        <item m="1" x="2928"/>
        <item m="1" x="2930"/>
        <item m="1" x="2931"/>
        <item m="1" x="2934"/>
        <item m="1" x="3074"/>
        <item m="1" x="3075"/>
        <item m="1" x="3076"/>
        <item m="1" x="2732"/>
        <item m="1" x="3079"/>
        <item m="1" x="3080"/>
        <item m="1" x="3081"/>
        <item m="1" x="3082"/>
        <item m="1" x="2116"/>
        <item m="1" x="3083"/>
        <item m="1" x="2943"/>
        <item m="1" x="2114"/>
        <item m="1" x="2458"/>
        <item m="1" x="3086"/>
        <item m="1" x="3087"/>
        <item m="1" x="3089"/>
        <item m="1" x="2456"/>
        <item m="1" x="2957"/>
        <item m="1" x="3090"/>
        <item m="1" x="3091"/>
        <item m="1" x="3092"/>
        <item m="1" x="3093"/>
        <item m="1" x="2860"/>
        <item m="1" x="1937"/>
        <item m="1" x="2952"/>
        <item m="1" x="3096"/>
        <item m="1" x="3097"/>
        <item m="1" x="3098"/>
        <item m="1" x="3099"/>
        <item m="1" x="3100"/>
        <item m="1" x="2949"/>
        <item m="1" x="2010"/>
        <item m="1" x="2569"/>
        <item m="1" x="2141"/>
        <item m="1" x="3101"/>
        <item m="1" x="3102"/>
        <item m="1" x="2468"/>
        <item m="1" x="2470"/>
        <item m="1" x="2862"/>
        <item m="1" x="2062"/>
        <item m="1" x="2061"/>
        <item m="1" x="2576"/>
        <item m="1" x="3108"/>
        <item m="1" x="3109"/>
        <item m="1" x="2473"/>
        <item m="1" x="2121"/>
        <item m="1" x="2071"/>
        <item m="1" x="2150"/>
        <item m="1" x="3111"/>
        <item m="1" x="2149"/>
        <item m="1" x="2866"/>
        <item m="1" x="2580"/>
        <item m="1" x="2745"/>
        <item m="1" x="2746"/>
        <item m="1" x="2827"/>
        <item m="1" x="2894"/>
        <item m="1" x="2895"/>
        <item m="1" x="2897"/>
        <item m="1" x="2898"/>
        <item m="1" x="2899"/>
        <item m="1" x="2905"/>
        <item m="1" x="2906"/>
        <item m="1" x="2487"/>
        <item m="1" x="2756"/>
        <item m="1" x="2831"/>
        <item m="1" x="2910"/>
        <item m="1" x="2914"/>
        <item m="1" x="2832"/>
        <item m="1" x="2919"/>
        <item m="1" x="2834"/>
        <item m="1" x="2835"/>
        <item m="1" x="2566"/>
        <item m="1" x="2839"/>
        <item m="1" x="2922"/>
        <item m="1" x="2842"/>
        <item m="1" x="2760"/>
        <item m="1" x="2849"/>
        <item m="1" x="2529"/>
        <item m="1" x="2531"/>
        <item m="1" x="2847"/>
        <item m="1" x="2543"/>
        <item m="1" x="2544"/>
        <item m="1" x="2545"/>
        <item m="1" x="2550"/>
        <item m="1" x="2541"/>
        <item m="1" x="2925"/>
        <item m="1" x="2926"/>
        <item m="1" x="2762"/>
        <item m="1" x="2850"/>
        <item m="1" x="2935"/>
        <item m="1" x="2131"/>
        <item m="1" x="2124"/>
        <item m="1" x="2557"/>
        <item m="1" x="2556"/>
        <item m="1" x="2558"/>
        <item m="1" x="2945"/>
        <item m="1" x="2946"/>
        <item m="1" x="2859"/>
        <item m="1" x="1910"/>
        <item m="1" x="1956"/>
        <item m="1" x="2857"/>
        <item m="1" x="2950"/>
        <item m="1" x="2951"/>
        <item m="1" x="2118"/>
        <item m="1" x="2954"/>
        <item m="1" x="1986"/>
        <item m="1" x="1984"/>
        <item m="1" x="1985"/>
        <item m="1" x="2137"/>
        <item m="1" x="1962"/>
        <item m="1" x="1965"/>
        <item m="1" x="2958"/>
        <item m="1" x="2050"/>
        <item m="1" x="2959"/>
        <item m="1" x="2571"/>
        <item m="1" x="2059"/>
        <item m="1" x="2867"/>
        <item m="1" x="2960"/>
        <item m="1" x="2961"/>
        <item m="1" x="2963"/>
        <item m="1" x="2964"/>
        <item m="1" x="2089"/>
        <item m="1" x="2966"/>
        <item m="1" x="2583"/>
        <item m="1" x="2402"/>
        <item m="1" x="2060"/>
        <item m="1" x="2734"/>
        <item m="1" x="2744"/>
        <item m="1" x="2479"/>
        <item m="1" x="2480"/>
        <item m="1" x="2829"/>
        <item m="1" x="2830"/>
        <item m="1" x="2749"/>
        <item m="1" x="2497"/>
        <item m="1" x="2498"/>
        <item m="1" x="2743"/>
        <item m="1" x="2752"/>
        <item m="1" x="2505"/>
        <item m="1" x="2506"/>
        <item m="1" x="2504"/>
        <item m="1" x="2833"/>
        <item m="1" x="2836"/>
        <item m="1" x="2837"/>
        <item m="1" x="2761"/>
        <item m="1" x="2560"/>
        <item m="1" x="2516"/>
        <item m="1" x="2515"/>
        <item m="1" x="2517"/>
        <item m="1" x="2838"/>
        <item m="1" x="2758"/>
        <item m="1" x="2535"/>
        <item m="1" x="2536"/>
        <item m="1" x="2840"/>
        <item m="1" x="2841"/>
        <item m="1" x="2843"/>
        <item m="1" x="2844"/>
        <item m="1" x="2845"/>
        <item m="1" x="2678"/>
        <item m="1" x="2846"/>
        <item m="1" x="2848"/>
        <item m="1" x="2551"/>
        <item m="1" x="2522"/>
        <item m="1" x="2851"/>
        <item m="1" x="2852"/>
        <item m="1" x="2853"/>
        <item m="1" x="2854"/>
        <item m="1" x="923"/>
        <item m="1" x="2855"/>
        <item m="1" x="2856"/>
        <item m="1" x="2858"/>
        <item m="1" x="2861"/>
        <item m="1" x="2766"/>
        <item m="1" x="2570"/>
        <item m="1" x="1743"/>
        <item m="1" x="2573"/>
        <item m="1" x="2863"/>
        <item m="1" x="2864"/>
        <item m="1" x="2865"/>
        <item m="1" x="2868"/>
        <item m="1" x="2767"/>
        <item m="1" x="2869"/>
        <item m="1" x="2584"/>
        <item m="1" x="2737"/>
        <item m="1" x="2738"/>
        <item m="1" x="2477"/>
        <item m="1" x="2739"/>
        <item m="1" x="2740"/>
        <item m="1" x="2741"/>
        <item m="1" x="1975"/>
        <item m="1" x="2742"/>
        <item m="1" x="2495"/>
        <item m="1" x="2870"/>
        <item m="1" x="2488"/>
        <item m="1" x="2871"/>
        <item m="1" x="2872"/>
        <item m="1" x="2482"/>
        <item m="1" x="2507"/>
        <item m="1" x="2873"/>
        <item m="1" x="2523"/>
        <item m="1" x="2874"/>
        <item m="1" x="2875"/>
        <item m="1" x="2532"/>
        <item m="1" x="2530"/>
        <item m="1" x="2528"/>
        <item m="1" x="2765"/>
        <item m="1" x="2876"/>
        <item m="1" x="2877"/>
        <item m="1" x="2547"/>
        <item m="1" x="2548"/>
        <item m="1" x="2878"/>
        <item m="1" x="2132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1918"/>
        <item m="1" x="2889"/>
        <item m="1" x="2033"/>
        <item m="1" x="2890"/>
        <item m="1" x="2891"/>
        <item m="1" x="2575"/>
        <item m="1" x="2151"/>
        <item m="1" x="2152"/>
        <item m="1" x="2577"/>
        <item m="1" x="2892"/>
        <item m="1" x="2081"/>
        <item m="1" x="2893"/>
        <item m="1" x="2735"/>
        <item m="1" x="2736"/>
        <item m="1" x="2483"/>
        <item m="1" x="2747"/>
        <item m="1" x="2748"/>
        <item m="1" x="2496"/>
        <item m="1" x="2489"/>
        <item m="1" x="2750"/>
        <item m="1" x="2751"/>
        <item m="1" x="2508"/>
        <item m="1" x="2753"/>
        <item m="1" x="2509"/>
        <item m="1" x="2754"/>
        <item m="1" x="2755"/>
        <item m="1" x="2757"/>
        <item m="1" x="2534"/>
        <item m="1" x="2539"/>
        <item m="1" x="2540"/>
        <item m="1" x="2546"/>
        <item m="1" x="2554"/>
        <item m="1" x="2555"/>
        <item m="1" x="2559"/>
        <item m="1" x="2017"/>
        <item m="1" x="2565"/>
        <item m="1" x="2764"/>
        <item m="1" x="2568"/>
        <item m="1" x="2484"/>
        <item m="1" x="2069"/>
        <item m="1" x="2578"/>
        <item m="1" x="2581"/>
        <item m="1" x="1946"/>
        <item m="1" x="2582"/>
        <item m="1" x="2709"/>
        <item m="1" x="2585"/>
        <item m="1" x="2768"/>
        <item m="1" x="2769"/>
        <item m="1" x="2770"/>
        <item m="1" x="2771"/>
        <item m="1" x="2772"/>
        <item m="1" x="2773"/>
        <item m="1" x="2774"/>
        <item m="1" x="2476"/>
        <item m="1" x="2478"/>
        <item m="1" x="2775"/>
        <item m="1" x="2776"/>
        <item m="1" x="2777"/>
        <item m="1" x="2499"/>
        <item m="1" x="2491"/>
        <item m="1" x="2492"/>
        <item m="1" x="2490"/>
        <item m="1" x="2778"/>
        <item m="1" x="2485"/>
        <item m="1" x="2486"/>
        <item m="1" x="2493"/>
        <item m="1" x="2494"/>
        <item m="1" x="2510"/>
        <item m="1" x="2501"/>
        <item m="1" x="2779"/>
        <item m="1" x="2780"/>
        <item m="1" x="2502"/>
        <item m="1" x="2781"/>
        <item m="1" x="2503"/>
        <item m="1" x="2782"/>
        <item m="1" x="2783"/>
        <item m="1" x="2500"/>
        <item m="1" x="2784"/>
        <item m="1" x="2785"/>
        <item m="1" x="2786"/>
        <item m="1" x="2787"/>
        <item m="1" x="2788"/>
        <item m="1" x="2512"/>
        <item m="1" x="2513"/>
        <item m="1" x="2514"/>
        <item m="1" x="2521"/>
        <item m="1" x="2538"/>
        <item m="1" x="2789"/>
        <item m="1" x="2537"/>
        <item m="1" x="2524"/>
        <item m="1" x="2525"/>
        <item m="1" x="2526"/>
        <item m="1" x="2527"/>
        <item m="1" x="2790"/>
        <item m="1" x="2533"/>
        <item m="1" x="2549"/>
        <item m="1" x="2552"/>
        <item m="1" x="2791"/>
        <item m="1" x="2553"/>
        <item m="1" x="2792"/>
        <item m="1" x="2794"/>
        <item m="1" x="2795"/>
        <item m="1" x="2564"/>
        <item m="1" x="2796"/>
        <item m="1" x="2797"/>
        <item m="1" x="2798"/>
        <item m="1" x="2799"/>
        <item m="1" x="1948"/>
        <item m="1" x="2800"/>
        <item m="1" x="2801"/>
        <item m="1" x="2802"/>
        <item m="1" x="2561"/>
        <item m="1" x="2803"/>
        <item m="1" x="2153"/>
        <item m="1" x="2572"/>
        <item m="1" x="2804"/>
        <item m="1" x="2805"/>
        <item m="1" x="2806"/>
        <item m="1" x="2807"/>
        <item m="1" x="2586"/>
        <item m="1" x="2471"/>
        <item m="1" x="2511"/>
        <item m="1" x="2519"/>
        <item m="1" x="2542"/>
        <item m="1" x="2130"/>
        <item m="1" x="1900"/>
        <item m="1" x="1894"/>
        <item m="1" x="1997"/>
        <item m="1" x="2562"/>
        <item m="1" x="2563"/>
        <item m="1" x="1916"/>
        <item m="1" x="1915"/>
        <item m="1" x="1909"/>
        <item m="1" x="1931"/>
        <item m="1" x="1921"/>
        <item m="1" x="2027"/>
        <item m="1" x="2032"/>
        <item m="1" x="2036"/>
        <item m="1" x="2574"/>
        <item m="1" x="2080"/>
        <item m="1" x="2579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928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1930"/>
        <item m="1" x="2658"/>
        <item m="1" x="2659"/>
        <item m="1" x="2660"/>
        <item m="1" x="2661"/>
        <item m="1" x="2662"/>
        <item m="1" x="2663"/>
        <item m="1" x="2664"/>
        <item m="1" x="1895"/>
        <item m="1" x="2665"/>
        <item m="1" x="2666"/>
        <item m="1" x="2667"/>
        <item m="1" x="2668"/>
        <item m="1" x="1917"/>
        <item m="1" x="2669"/>
        <item m="1" x="1913"/>
        <item m="1" x="2671"/>
        <item m="1" x="2672"/>
        <item m="1" x="2673"/>
        <item m="1" x="1911"/>
        <item m="1" x="1944"/>
        <item m="1" x="2674"/>
        <item m="1" x="2675"/>
        <item m="1" x="2676"/>
        <item m="1" x="1947"/>
        <item m="1" x="2677"/>
        <item m="1" x="1934"/>
        <item m="1" x="1935"/>
        <item m="1" x="2679"/>
        <item m="1" x="2680"/>
        <item m="1" x="1994"/>
        <item m="1" x="1992"/>
        <item m="1" x="2681"/>
        <item m="1" x="2682"/>
        <item m="1" x="2683"/>
        <item m="1" x="2014"/>
        <item m="1" x="2684"/>
        <item m="1" x="1963"/>
        <item m="1" x="1959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909"/>
        <item m="1" x="2696"/>
        <item m="1" x="2697"/>
        <item m="1" x="2698"/>
        <item m="1" x="2154"/>
        <item m="1" x="2699"/>
        <item m="1" x="908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1572"/>
        <item m="1" x="1883"/>
        <item m="1" x="2104"/>
        <item m="1" x="884"/>
        <item m="1" x="2108"/>
        <item m="1" x="2109"/>
        <item m="1" x="895"/>
        <item m="1" x="896"/>
        <item m="1" x="2111"/>
        <item m="1" x="1925"/>
        <item m="1" x="907"/>
        <item m="1" x="912"/>
        <item m="1" x="2122"/>
        <item m="1" x="2123"/>
        <item m="1" x="897"/>
        <item m="1" x="1885"/>
        <item m="1" x="1884"/>
        <item m="1" x="1886"/>
        <item m="1" x="2125"/>
        <item m="1" x="2126"/>
        <item m="1" x="2127"/>
        <item m="1" x="2128"/>
        <item m="1" x="2129"/>
        <item m="1" x="1875"/>
        <item m="1" x="1876"/>
        <item m="1" x="1983"/>
        <item m="1" x="2001"/>
        <item m="1" x="2133"/>
        <item m="1" x="2025"/>
        <item m="1" x="2022"/>
        <item m="1" x="2023"/>
        <item m="1" x="2134"/>
        <item m="1" x="2004"/>
        <item m="1" x="2135"/>
        <item m="1" x="2136"/>
        <item m="1" x="2138"/>
        <item m="1" x="2139"/>
        <item m="1" x="2140"/>
        <item m="1" x="1908"/>
        <item m="1" x="1912"/>
        <item m="1" x="2011"/>
        <item m="1" x="1929"/>
        <item m="1" x="2040"/>
        <item m="1" x="2043"/>
        <item m="1" x="2044"/>
        <item m="1" x="2142"/>
        <item m="1" x="2143"/>
        <item m="1" x="2144"/>
        <item m="1" x="2145"/>
        <item m="1" x="2146"/>
        <item m="1" x="2147"/>
        <item m="1" x="2148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1780"/>
        <item m="1" x="2165"/>
        <item m="1" x="1796"/>
        <item m="1" x="1635"/>
        <item m="1" x="1807"/>
        <item m="1" x="2166"/>
        <item m="1" x="1802"/>
        <item m="1" x="2167"/>
        <item m="1" x="2168"/>
        <item m="1" x="1811"/>
        <item m="1" x="2169"/>
        <item m="1" x="1812"/>
        <item m="1" x="2170"/>
        <item m="1" x="2171"/>
        <item m="1" x="2172"/>
        <item m="1" x="2173"/>
        <item m="1" x="2174"/>
        <item m="1" x="2175"/>
        <item m="1" x="2176"/>
        <item m="1" x="2103"/>
        <item m="1" x="2177"/>
        <item m="1" x="2178"/>
        <item x="126"/>
        <item m="1" x="2179"/>
        <item m="1" x="2180"/>
        <item m="1" x="2181"/>
        <item m="1" x="1686"/>
        <item m="1" x="1687"/>
        <item m="1" x="1682"/>
        <item m="1" x="1683"/>
        <item m="1" x="1684"/>
        <item m="1" x="2182"/>
        <item m="1" x="2183"/>
        <item m="1" x="1685"/>
        <item m="1" x="1689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913"/>
        <item m="1" x="2219"/>
        <item m="1" x="2220"/>
        <item m="1" x="2221"/>
        <item m="1" x="2222"/>
        <item m="1" x="915"/>
        <item m="1" x="1878"/>
        <item m="1" x="2223"/>
        <item m="1" x="914"/>
        <item m="1" x="1712"/>
        <item m="1" x="2224"/>
        <item m="1" x="901"/>
        <item m="1" x="902"/>
        <item m="1" x="1714"/>
        <item m="1" x="922"/>
        <item m="1" x="2225"/>
        <item m="1" x="921"/>
        <item m="1" x="2226"/>
        <item m="1" x="2227"/>
        <item m="1" x="2228"/>
        <item m="1" x="899"/>
        <item m="1" x="900"/>
        <item m="1" x="916"/>
        <item m="1" x="649"/>
        <item m="1" x="917"/>
        <item m="1" x="918"/>
        <item m="1" x="919"/>
        <item m="1" x="2229"/>
        <item m="1" x="920"/>
        <item m="1" x="2230"/>
        <item m="1" x="2231"/>
        <item m="1" x="926"/>
        <item m="1" x="927"/>
        <item m="1" x="932"/>
        <item m="1" x="1945"/>
        <item m="1" x="1939"/>
        <item m="1" x="1933"/>
        <item m="1" x="1940"/>
        <item m="1" x="1718"/>
        <item m="1" x="925"/>
        <item m="1" x="1719"/>
        <item m="1" x="931"/>
        <item m="1" x="933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929"/>
        <item m="1" x="924"/>
        <item m="1" x="903"/>
        <item m="1" x="930"/>
        <item m="1" x="1967"/>
        <item m="1" x="934"/>
        <item m="1" x="1734"/>
        <item m="1" x="935"/>
        <item m="1" x="936"/>
        <item m="1" x="937"/>
        <item m="1" x="2053"/>
        <item m="1" x="2241"/>
        <item m="1" x="2055"/>
        <item m="1" x="1744"/>
        <item m="1" x="2242"/>
        <item m="1" x="2243"/>
        <item m="1" x="2244"/>
        <item m="1" x="2245"/>
        <item m="1" x="2246"/>
        <item m="1" x="2247"/>
        <item m="1" x="1753"/>
        <item m="1" x="2248"/>
        <item m="1" x="2249"/>
        <item m="1" x="2250"/>
        <item m="1" x="2251"/>
        <item m="1" x="2082"/>
        <item m="1" x="2252"/>
        <item m="1" x="941"/>
        <item m="1" x="1101"/>
        <item m="1" x="2098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947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1646"/>
        <item m="1" x="2291"/>
        <item m="1" x="2292"/>
        <item m="1" x="2293"/>
        <item m="1" x="2294"/>
        <item m="1" x="2295"/>
        <item m="1" x="2296"/>
        <item m="1" x="1817"/>
        <item m="1" x="2297"/>
        <item m="1" x="96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944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948"/>
        <item m="1" x="2353"/>
        <item m="1" x="2354"/>
        <item m="1" x="2355"/>
        <item m="1" x="2356"/>
        <item m="1" x="2357"/>
        <item m="1" x="2358"/>
        <item m="1" x="952"/>
        <item m="1" x="2359"/>
        <item m="1" x="2360"/>
        <item m="1" x="1968"/>
        <item m="1" x="2361"/>
        <item m="1" x="2362"/>
        <item m="1" x="958"/>
        <item m="1" x="959"/>
        <item m="1" x="960"/>
        <item m="1" x="2363"/>
        <item m="1" x="971"/>
        <item m="1" x="2364"/>
        <item m="1" x="2365"/>
        <item m="1" x="2366"/>
        <item m="1" x="1955"/>
        <item m="1" x="2367"/>
        <item m="1" x="1952"/>
        <item m="1" x="391"/>
        <item m="1" x="1922"/>
        <item m="1" x="1923"/>
        <item m="1" x="1954"/>
        <item m="1" x="2034"/>
        <item m="1" x="2368"/>
        <item m="1" x="2045"/>
        <item m="1" x="938"/>
        <item m="1" x="939"/>
        <item m="1" x="2051"/>
        <item m="1" x="991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994"/>
        <item m="1" x="993"/>
        <item m="1" x="2387"/>
        <item m="1" x="2388"/>
        <item m="1" x="2077"/>
        <item m="1" x="1763"/>
        <item m="1" x="940"/>
        <item m="1" x="2389"/>
        <item m="1" x="177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1781"/>
        <item m="1" x="1611"/>
        <item m="1" x="1782"/>
        <item m="1" x="1783"/>
        <item m="1" x="1784"/>
        <item m="1" x="1785"/>
        <item m="1" x="1618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622"/>
        <item m="1" x="1795"/>
        <item m="1" x="1625"/>
        <item m="1" x="1634"/>
        <item m="1" x="1633"/>
        <item m="1" x="1797"/>
        <item m="1" x="1624"/>
        <item m="1" x="1626"/>
        <item m="1" x="1798"/>
        <item m="1" x="1799"/>
        <item m="1" x="1800"/>
        <item m="1" x="1641"/>
        <item m="1" x="1801"/>
        <item m="1" x="1803"/>
        <item m="1" x="1638"/>
        <item m="1" x="1636"/>
        <item m="1" x="1804"/>
        <item m="1" x="1805"/>
        <item m="1" x="1806"/>
        <item m="1" x="1808"/>
        <item m="1" x="1003"/>
        <item m="1" x="1809"/>
        <item m="1" x="1810"/>
        <item m="1" x="1813"/>
        <item m="1" x="942"/>
        <item m="1" x="1814"/>
        <item m="1" x="1006"/>
        <item m="1" x="1815"/>
        <item m="1" x="1816"/>
        <item m="1" x="1818"/>
        <item m="1" x="1819"/>
        <item m="1" x="1820"/>
        <item m="1" x="1821"/>
        <item m="1" x="1822"/>
        <item m="1" x="1823"/>
        <item m="1" x="1824"/>
        <item m="1" x="1825"/>
        <item m="1" x="1663"/>
        <item m="1" x="943"/>
        <item m="1" x="1826"/>
        <item m="1" x="1827"/>
        <item m="1" x="1828"/>
        <item m="1" x="1623"/>
        <item m="1" x="1829"/>
        <item m="1" x="1830"/>
        <item m="1" x="1831"/>
        <item m="1" x="1832"/>
        <item m="1" x="1833"/>
        <item m="1" x="1834"/>
        <item m="1" x="1835"/>
        <item m="1" x="1667"/>
        <item m="1" x="1668"/>
        <item m="1" x="1836"/>
        <item m="1" x="1837"/>
        <item m="1" x="1838"/>
        <item m="1" x="1839"/>
        <item m="1" x="981"/>
        <item m="1" x="1840"/>
        <item m="1" x="946"/>
        <item m="1" x="1841"/>
        <item m="1" x="1842"/>
        <item m="1" x="1843"/>
        <item m="1" x="1844"/>
        <item m="1" x="1025"/>
        <item m="1" x="1680"/>
        <item m="1" x="1681"/>
        <item m="1" x="1845"/>
        <item m="1" x="1846"/>
        <item m="1" x="1847"/>
        <item m="1" x="945"/>
        <item m="1" x="1770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015"/>
        <item m="1" x="1871"/>
        <item m="1" x="1872"/>
        <item m="1" x="1873"/>
        <item m="1" x="1877"/>
        <item m="1" x="949"/>
        <item m="1" x="1709"/>
        <item m="1" x="1879"/>
        <item m="1" x="1880"/>
        <item m="1" x="1881"/>
        <item m="1" x="1882"/>
        <item m="1" x="950"/>
        <item m="1" x="1887"/>
        <item m="1" x="1888"/>
        <item m="1" x="1889"/>
        <item m="1" x="951"/>
        <item m="1" x="1890"/>
        <item m="1" x="1766"/>
        <item m="1" x="1891"/>
        <item m="1" x="1715"/>
        <item m="1" x="1902"/>
        <item m="1" x="953"/>
        <item m="1" x="1049"/>
        <item m="1" x="1905"/>
        <item m="1" x="1906"/>
        <item m="1" x="1029"/>
        <item m="1" x="968"/>
        <item m="1" x="966"/>
        <item m="1" x="1907"/>
        <item m="1" x="1924"/>
        <item m="1" x="1936"/>
        <item m="1" x="1938"/>
        <item m="1" x="1950"/>
        <item m="1" x="1951"/>
        <item m="1" x="1953"/>
        <item m="1" x="1957"/>
        <item m="1" x="1958"/>
        <item m="1" x="1590"/>
        <item m="1" x="1960"/>
        <item m="1" x="964"/>
        <item m="1" x="1961"/>
        <item m="1" x="1035"/>
        <item m="1" x="969"/>
        <item m="1" x="970"/>
        <item m="1" x="957"/>
        <item m="1" x="965"/>
        <item m="1" x="1969"/>
        <item m="1" x="1971"/>
        <item m="1" x="1973"/>
        <item m="1" x="1978"/>
        <item m="1" x="1982"/>
        <item m="1" x="1724"/>
        <item m="1" x="1999"/>
        <item m="1" x="2000"/>
        <item m="1" x="2002"/>
        <item m="1" x="2003"/>
        <item m="1" x="2005"/>
        <item m="1" x="2006"/>
        <item m="1" x="954"/>
        <item m="1" x="2007"/>
        <item m="1" x="2008"/>
        <item m="1" x="664"/>
        <item m="1" x="955"/>
        <item m="1" x="956"/>
        <item m="1" x="963"/>
        <item m="1" x="2015"/>
        <item m="1" x="2016"/>
        <item m="1" x="2018"/>
        <item m="1" x="2019"/>
        <item m="1" x="2020"/>
        <item m="1" x="961"/>
        <item m="1" x="962"/>
        <item m="1" x="2021"/>
        <item m="1" x="2024"/>
        <item m="1" x="1054"/>
        <item m="1" x="973"/>
        <item m="1" x="972"/>
        <item m="1" x="2028"/>
        <item m="1" x="974"/>
        <item m="1" x="976"/>
        <item m="1" x="975"/>
        <item m="1" x="977"/>
        <item m="1" x="2030"/>
        <item m="1" x="2031"/>
        <item m="1" x="978"/>
        <item m="1" x="1062"/>
        <item m="1" x="979"/>
        <item m="1" x="980"/>
        <item m="1" x="1064"/>
        <item m="1" x="2035"/>
        <item m="1" x="2037"/>
        <item m="1" x="986"/>
        <item m="1" x="1735"/>
        <item m="1" x="984"/>
        <item m="1" x="988"/>
        <item m="1" x="987"/>
        <item m="1" x="2039"/>
        <item m="1" x="983"/>
        <item m="1" x="982"/>
        <item m="1" x="989"/>
        <item m="1" x="990"/>
        <item m="1" x="2047"/>
        <item m="1" x="2048"/>
        <item m="1" x="2049"/>
        <item m="1" x="2054"/>
        <item m="1" x="906"/>
        <item m="1" x="1742"/>
        <item m="1" x="2056"/>
        <item m="1" x="2057"/>
        <item m="1" x="2058"/>
        <item m="1" x="1746"/>
        <item m="1" x="2063"/>
        <item m="1" x="2064"/>
        <item m="1" x="2065"/>
        <item m="1" x="2066"/>
        <item m="1" x="995"/>
        <item m="1" x="2067"/>
        <item m="1" x="2068"/>
        <item m="1" x="1747"/>
        <item m="1" x="1749"/>
        <item m="1" x="2070"/>
        <item m="1" x="1748"/>
        <item m="1" x="2072"/>
        <item m="1" x="2073"/>
        <item m="1" x="992"/>
        <item m="1" x="2074"/>
        <item m="1" x="2075"/>
        <item m="1" x="2076"/>
        <item m="1" x="2083"/>
        <item m="1" x="2084"/>
        <item m="1" x="2085"/>
        <item m="1" x="2086"/>
        <item m="1" x="996"/>
        <item m="1" x="2087"/>
        <item m="1" x="2088"/>
        <item m="1" x="997"/>
        <item m="1" x="2090"/>
        <item m="1" x="2091"/>
        <item m="1" x="2093"/>
        <item m="1" x="2094"/>
        <item m="1" x="1090"/>
        <item m="1" x="1771"/>
        <item m="1" x="1769"/>
        <item m="1" x="1772"/>
        <item m="1" x="2095"/>
        <item m="1" x="2096"/>
        <item m="1" x="2097"/>
        <item m="1" x="998"/>
        <item m="1" x="2099"/>
        <item m="1" x="2100"/>
        <item m="1" x="999"/>
        <item m="1" x="2101"/>
        <item m="1" x="1000"/>
        <item m="1" x="2102"/>
        <item m="1" x="1610"/>
        <item m="1" x="1612"/>
        <item m="1" x="1613"/>
        <item m="1" x="1614"/>
        <item m="1" x="1615"/>
        <item m="1" x="1616"/>
        <item m="1" x="1617"/>
        <item m="1" x="1619"/>
        <item m="1" x="1620"/>
        <item m="1" x="1621"/>
        <item m="1" x="1627"/>
        <item m="1" x="1628"/>
        <item m="1" x="1629"/>
        <item m="1" x="1630"/>
        <item m="1" x="1631"/>
        <item m="1" x="1632"/>
        <item m="1" x="1002"/>
        <item m="1" x="1637"/>
        <item m="1" x="1639"/>
        <item m="1" x="1640"/>
        <item m="1" x="1642"/>
        <item m="1" x="1643"/>
        <item m="1" x="1644"/>
        <item m="1" x="1645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4"/>
        <item m="1" x="1665"/>
        <item m="1" x="1666"/>
        <item m="1" x="1495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8"/>
        <item m="1" x="1690"/>
        <item m="1" x="1691"/>
        <item m="1" x="1692"/>
        <item m="1" x="1693"/>
        <item m="1" x="1694"/>
        <item m="1" x="1695"/>
        <item m="1" x="1696"/>
        <item m="1" x="1011"/>
        <item m="1" x="1697"/>
        <item m="1" x="1033"/>
        <item m="1" x="1698"/>
        <item m="1" x="1699"/>
        <item m="1" x="1700"/>
        <item m="1" x="1701"/>
        <item m="1" x="1702"/>
        <item m="1" x="1703"/>
        <item m="1" x="1704"/>
        <item m="1" x="1705"/>
        <item m="1" x="1013"/>
        <item m="1" x="1706"/>
        <item m="1" x="1707"/>
        <item m="1" x="1708"/>
        <item m="1" x="1710"/>
        <item m="1" x="1711"/>
        <item m="1" x="1513"/>
        <item m="1" x="1017"/>
        <item m="1" x="1713"/>
        <item m="1" x="1018"/>
        <item m="1" x="1716"/>
        <item m="1" x="1717"/>
        <item m="1" x="1075"/>
        <item m="1" x="1021"/>
        <item m="1" x="1517"/>
        <item m="1" x="1024"/>
        <item m="1" x="1031"/>
        <item m="1" x="1026"/>
        <item m="1" x="1027"/>
        <item m="1" x="1028"/>
        <item m="1" x="1034"/>
        <item m="1" x="1720"/>
        <item m="1" x="1722"/>
        <item m="1" x="1723"/>
        <item m="1" x="1725"/>
        <item m="1" x="1038"/>
        <item m="1" x="1726"/>
        <item m="1" x="1727"/>
        <item m="1" x="1044"/>
        <item m="1" x="1043"/>
        <item m="1" x="1728"/>
        <item m="1" x="1729"/>
        <item m="1" x="1730"/>
        <item m="1" x="1731"/>
        <item m="1" x="1732"/>
        <item m="1" x="1047"/>
        <item m="1" x="1036"/>
        <item m="1" x="1733"/>
        <item m="1" x="1056"/>
        <item m="1" x="1059"/>
        <item m="1" x="1060"/>
        <item m="1" x="1065"/>
        <item m="1" x="1066"/>
        <item m="1" x="1074"/>
        <item m="1" x="1073"/>
        <item m="1" x="1076"/>
        <item m="1" x="1077"/>
        <item m="1" x="1736"/>
        <item m="1" x="1737"/>
        <item m="1" x="1078"/>
        <item m="1" x="1738"/>
        <item m="1" x="893"/>
        <item m="1" x="894"/>
        <item m="1" x="892"/>
        <item m="1" x="1739"/>
        <item m="1" x="1740"/>
        <item m="1" x="1741"/>
        <item x="11"/>
        <item m="1" x="1745"/>
        <item m="1" x="1750"/>
        <item m="1" x="1751"/>
        <item m="1" x="1752"/>
        <item m="1" x="1754"/>
        <item m="1" x="1540"/>
        <item m="1" x="1755"/>
        <item m="1" x="1756"/>
        <item m="1" x="1757"/>
        <item m="1" x="1758"/>
        <item m="1" x="1759"/>
        <item m="1" x="1760"/>
        <item m="1" x="1761"/>
        <item m="1" x="1083"/>
        <item m="1" x="1089"/>
        <item m="1" x="1091"/>
        <item m="1" x="1762"/>
        <item m="1" x="1764"/>
        <item m="1" x="1765"/>
        <item m="1" x="1767"/>
        <item m="1" x="1097"/>
        <item m="1" x="1768"/>
        <item m="1" x="1773"/>
        <item m="1" x="1774"/>
        <item m="1" x="1775"/>
        <item m="1" x="889"/>
        <item m="1" x="1776"/>
        <item m="1" x="1777"/>
        <item m="1" x="1778"/>
        <item m="1" x="1103"/>
        <item m="1" x="885"/>
        <item m="1" x="1547"/>
        <item m="1" x="1109"/>
        <item m="1" x="1106"/>
        <item m="1" x="1107"/>
        <item m="1" x="1108"/>
        <item m="1" x="1110"/>
        <item m="1" x="1117"/>
        <item m="1" x="1118"/>
        <item m="1" x="1001"/>
        <item m="1" x="1128"/>
        <item m="1" x="1129"/>
        <item m="1" x="1127"/>
        <item m="1" x="1123"/>
        <item m="1" x="1124"/>
        <item m="1" x="1125"/>
        <item m="1" x="1126"/>
        <item m="1" x="1119"/>
        <item m="1" x="1120"/>
        <item m="1" x="1122"/>
        <item m="1" x="1121"/>
        <item m="1" x="1548"/>
        <item m="1" x="1549"/>
        <item m="1" x="1004"/>
        <item m="1" x="1005"/>
        <item m="1" x="1473"/>
        <item m="1" x="1431"/>
        <item m="1" x="1133"/>
        <item m="1" x="1134"/>
        <item m="1" x="1136"/>
        <item m="1" x="1550"/>
        <item m="1" x="1137"/>
        <item m="1" x="1489"/>
        <item m="1" x="1487"/>
        <item m="1" x="1551"/>
        <item m="1" x="1552"/>
        <item m="1" x="1553"/>
        <item m="1" x="1488"/>
        <item m="1" x="1224"/>
        <item m="1" x="1482"/>
        <item m="1" x="1483"/>
        <item m="1" x="1481"/>
        <item m="1" x="1138"/>
        <item m="1" x="1480"/>
        <item m="1" x="1479"/>
        <item m="1" x="1492"/>
        <item m="1" x="1476"/>
        <item m="1" x="1419"/>
        <item m="1" x="1554"/>
        <item m="1" x="1141"/>
        <item m="1" x="1140"/>
        <item m="1" x="1555"/>
        <item m="1" x="1556"/>
        <item m="1" x="1557"/>
        <item m="1" x="1142"/>
        <item m="1" x="1154"/>
        <item m="1" x="1152"/>
        <item m="1" x="1153"/>
        <item m="1" x="1558"/>
        <item x="196"/>
        <item m="1" x="1146"/>
        <item m="1" x="1148"/>
        <item m="1" x="1147"/>
        <item m="1" x="1149"/>
        <item m="1" x="1159"/>
        <item m="1" x="1158"/>
        <item m="1" x="1157"/>
        <item m="1" x="1156"/>
        <item m="1" x="1007"/>
        <item m="1" x="1008"/>
        <item m="1" x="1009"/>
        <item m="1" x="1010"/>
        <item m="1" x="1160"/>
        <item m="1" x="1496"/>
        <item m="1" x="1559"/>
        <item m="1" x="1560"/>
        <item m="1" x="1162"/>
        <item m="1" x="1163"/>
        <item m="1" x="1161"/>
        <item m="1" x="1561"/>
        <item m="1" x="1165"/>
        <item m="1" x="1562"/>
        <item m="1" x="1164"/>
        <item m="1" x="1173"/>
        <item m="1" x="1174"/>
        <item m="1" x="1175"/>
        <item m="1" x="1176"/>
        <item m="1" x="1563"/>
        <item m="1" x="1564"/>
        <item m="1" x="1170"/>
        <item m="1" x="1169"/>
        <item m="1" x="1167"/>
        <item m="1" x="1168"/>
        <item m="1" x="1172"/>
        <item m="1" x="1498"/>
        <item m="1" x="1565"/>
        <item m="1" x="1566"/>
        <item m="1" x="1503"/>
        <item m="1" x="1499"/>
        <item m="1" x="1500"/>
        <item m="1" x="1502"/>
        <item m="1" x="1501"/>
        <item m="1" x="1177"/>
        <item m="1" x="1182"/>
        <item m="1" x="1181"/>
        <item m="1" x="1184"/>
        <item m="1" x="1185"/>
        <item m="1" x="1186"/>
        <item m="1" x="1187"/>
        <item m="1" x="1183"/>
        <item m="1" x="1188"/>
        <item m="1" x="1189"/>
        <item m="1" x="1179"/>
        <item m="1" x="1180"/>
        <item m="1" x="1193"/>
        <item m="1" x="1178"/>
        <item m="1" x="1567"/>
        <item m="1" x="1012"/>
        <item m="1" x="1196"/>
        <item m="1" x="1198"/>
        <item m="1" x="1199"/>
        <item m="1" x="1200"/>
        <item m="1" x="1505"/>
        <item m="1" x="1197"/>
        <item m="1" x="1204"/>
        <item m="1" x="1202"/>
        <item m="1" x="1506"/>
        <item m="1" x="1205"/>
        <item m="1" x="1014"/>
        <item m="1" x="1206"/>
        <item m="1" x="1568"/>
        <item m="1" x="1207"/>
        <item m="1" x="1088"/>
        <item m="1" x="1016"/>
        <item m="1" x="1209"/>
        <item m="1" x="1569"/>
        <item m="1" x="1208"/>
        <item m="1" x="1210"/>
        <item m="1" x="1211"/>
        <item m="1" x="1570"/>
        <item m="1" x="1212"/>
        <item m="1" x="1508"/>
        <item m="1" x="1213"/>
        <item m="1" x="1214"/>
        <item m="1" x="1571"/>
        <item m="1" x="1019"/>
        <item m="1" x="1215"/>
        <item m="1" x="1216"/>
        <item m="1" x="1020"/>
        <item m="1" x="1514"/>
        <item m="1" x="1515"/>
        <item m="1" x="1511"/>
        <item m="1" x="1512"/>
        <item m="1" x="1022"/>
        <item m="1" x="1023"/>
        <item m="1" x="1218"/>
        <item m="1" x="1573"/>
        <item m="1" x="1219"/>
        <item m="1" x="1220"/>
        <item m="1" x="1051"/>
        <item m="1" x="1516"/>
        <item m="1" x="1525"/>
        <item m="1" x="1526"/>
        <item m="1" x="1527"/>
        <item m="1" x="1528"/>
        <item m="1" x="1529"/>
        <item m="1" x="1530"/>
        <item m="1" x="1042"/>
        <item m="1" x="1233"/>
        <item m="1" x="1039"/>
        <item m="1" x="1040"/>
        <item m="1" x="1041"/>
        <item m="1" x="1574"/>
        <item m="1" x="1575"/>
        <item m="1" x="1576"/>
        <item m="1" x="1577"/>
        <item m="1" x="1518"/>
        <item m="1" x="1037"/>
        <item m="1" x="1519"/>
        <item m="1" x="1045"/>
        <item m="1" x="1046"/>
        <item m="1" x="1048"/>
        <item m="1" x="1578"/>
        <item m="1" x="1579"/>
        <item m="1" x="1225"/>
        <item m="1" x="1050"/>
        <item m="1" x="1223"/>
        <item m="1" x="1580"/>
        <item m="1" x="1581"/>
        <item m="1" x="1582"/>
        <item m="1" x="1583"/>
        <item m="1" x="1234"/>
        <item m="1" x="1228"/>
        <item m="1" x="1229"/>
        <item m="1" x="1222"/>
        <item m="1" x="905"/>
        <item m="1" x="1230"/>
        <item m="1" x="1053"/>
        <item m="1" x="1584"/>
        <item m="1" x="1030"/>
        <item m="1" x="1232"/>
        <item m="1" x="1052"/>
        <item m="1" x="1032"/>
        <item m="1" x="1532"/>
        <item m="1" x="1533"/>
        <item m="1" x="1585"/>
        <item m="1" x="1586"/>
        <item m="1" x="1587"/>
        <item m="1" x="1588"/>
        <item m="1" x="1236"/>
        <item m="1" x="1238"/>
        <item m="1" x="1589"/>
        <item m="1" x="1534"/>
        <item m="1" x="1058"/>
        <item m="1" x="1057"/>
        <item m="1" x="1239"/>
        <item m="1" x="1591"/>
        <item m="1" x="1055"/>
        <item m="1" x="1240"/>
        <item m="1" x="1241"/>
        <item m="1" x="1592"/>
        <item m="1" x="1061"/>
        <item m="1" x="1063"/>
        <item m="1" x="1242"/>
        <item m="1" x="1067"/>
        <item m="1" x="1243"/>
        <item m="1" x="1593"/>
        <item m="1" x="1068"/>
        <item m="1" x="1069"/>
        <item m="1" x="1594"/>
        <item m="1" x="1070"/>
        <item m="1" x="1071"/>
        <item m="1" x="1072"/>
        <item m="1" x="1079"/>
        <item m="1" x="1080"/>
        <item m="1" x="1244"/>
        <item m="1" x="1081"/>
        <item m="1" x="1595"/>
        <item m="1" x="1082"/>
        <item m="1" x="1245"/>
        <item m="1" x="1246"/>
        <item m="1" x="1247"/>
        <item m="1" x="1248"/>
        <item m="1" x="1536"/>
        <item m="1" x="1596"/>
        <item m="1" x="603"/>
        <item m="1" x="1253"/>
        <item m="1" x="1252"/>
        <item m="1" x="1597"/>
        <item m="1" x="1598"/>
        <item m="1" x="1599"/>
        <item m="1" x="1600"/>
        <item m="1" x="1601"/>
        <item m="1" x="887"/>
        <item m="1" x="1087"/>
        <item m="1" x="1249"/>
        <item m="1" x="1250"/>
        <item m="1" x="1251"/>
        <item m="1" x="1602"/>
        <item m="1" x="1603"/>
        <item m="1" x="1604"/>
        <item m="1" x="1259"/>
        <item m="1" x="1258"/>
        <item m="1" x="1257"/>
        <item m="1" x="1255"/>
        <item m="1" x="1086"/>
        <item m="1" x="1085"/>
        <item m="1" x="1256"/>
        <item m="1" x="1084"/>
        <item m="1" x="1254"/>
        <item m="1" x="1260"/>
        <item m="1" x="1261"/>
        <item m="1" x="1094"/>
        <item m="1" x="1093"/>
        <item m="1" x="1092"/>
        <item m="1" x="1095"/>
        <item m="1" x="1096"/>
        <item m="1" x="1262"/>
        <item m="1" x="1263"/>
        <item m="1" x="1264"/>
        <item m="1" x="1541"/>
        <item m="1" x="1098"/>
        <item m="1" x="1265"/>
        <item m="1" x="1099"/>
        <item m="1" x="1266"/>
        <item m="1" x="1267"/>
        <item m="1" x="1542"/>
        <item m="1" x="1268"/>
        <item m="1" x="1544"/>
        <item m="1" x="1545"/>
        <item m="1" x="1100"/>
        <item m="1" x="1269"/>
        <item m="1" x="1605"/>
        <item m="1" x="1546"/>
        <item m="1" x="1606"/>
        <item m="1" x="1607"/>
        <item m="1" x="1608"/>
        <item m="1" x="1609"/>
        <item m="1" x="1270"/>
        <item m="1" x="1272"/>
        <item m="1" x="1274"/>
        <item m="1" x="1273"/>
        <item m="1" x="1275"/>
        <item m="1" x="1276"/>
        <item m="1" x="1278"/>
        <item m="1" x="1279"/>
        <item m="1" x="1104"/>
        <item m="1" x="1105"/>
        <item m="1" x="1113"/>
        <item m="1" x="1111"/>
        <item m="1" x="1112"/>
        <item m="1" x="1286"/>
        <item m="1" x="1114"/>
        <item m="1" x="1115"/>
        <item m="1" x="1116"/>
        <item m="1" x="1472"/>
        <item m="1" x="1293"/>
        <item m="1" x="1294"/>
        <item m="1" x="1291"/>
        <item m="1" x="1130"/>
        <item m="1" x="1131"/>
        <item m="1" x="1309"/>
        <item m="1" x="1132"/>
        <item m="1" x="1474"/>
        <item m="1" x="1475"/>
        <item m="1" x="1477"/>
        <item m="1" x="1478"/>
        <item m="1" x="1139"/>
        <item m="1" x="1484"/>
        <item m="1" x="1485"/>
        <item m="1" x="1486"/>
        <item m="1" x="1490"/>
        <item m="1" x="1491"/>
        <item m="1" x="1145"/>
        <item m="1" x="830"/>
        <item m="1" x="1144"/>
        <item m="1" x="1143"/>
        <item m="1" x="1493"/>
        <item m="1" x="1494"/>
        <item m="1" x="1330"/>
        <item m="1" x="1335"/>
        <item m="1" x="1336"/>
        <item m="1" x="1150"/>
        <item m="1" x="1151"/>
        <item m="1" x="1155"/>
        <item m="1" x="1341"/>
        <item m="1" x="1357"/>
        <item m="1" x="1497"/>
        <item m="1" x="1349"/>
        <item m="1" x="1166"/>
        <item m="1" x="1351"/>
        <item m="1" x="1171"/>
        <item m="1" x="1194"/>
        <item m="1" x="1504"/>
        <item m="1" x="1195"/>
        <item m="1" x="1191"/>
        <item m="1" x="1190"/>
        <item m="1" x="1361"/>
        <item m="1" x="1359"/>
        <item m="1" x="1360"/>
        <item m="1" x="1192"/>
        <item m="1" x="1362"/>
        <item m="1" x="1363"/>
        <item m="1" x="1372"/>
        <item m="1" x="1384"/>
        <item m="1" x="1201"/>
        <item m="1" x="1457"/>
        <item m="1" x="1462"/>
        <item m="1" x="1203"/>
        <item m="1" x="1446"/>
        <item m="1" x="1507"/>
        <item m="1" x="1509"/>
        <item m="1" x="1510"/>
        <item m="1" x="1217"/>
        <item m="1" x="1407"/>
        <item m="1" x="1221"/>
        <item m="1" x="1520"/>
        <item m="1" x="1521"/>
        <item m="1" x="1522"/>
        <item m="1" x="1415"/>
        <item m="1" x="1458"/>
        <item m="1" x="1227"/>
        <item m="1" x="1226"/>
        <item m="1" x="1414"/>
        <item m="1" x="1531"/>
        <item m="1" x="1231"/>
        <item m="1" x="1466"/>
        <item m="1" x="1237"/>
        <item m="1" x="1235"/>
        <item m="1" x="1535"/>
        <item m="1" x="1427"/>
        <item m="1" x="1537"/>
        <item m="1" x="1538"/>
        <item m="1" x="1443"/>
        <item m="1" x="1434"/>
        <item m="1" x="1539"/>
        <item m="1" x="1436"/>
        <item m="1" x="1438"/>
        <item m="1" x="1543"/>
        <item m="1" x="1271"/>
        <item m="1" x="1277"/>
        <item m="1" x="1135"/>
        <item m="1" x="1280"/>
        <item m="1" x="1281"/>
        <item m="1" x="1282"/>
        <item m="1" x="1283"/>
        <item m="1" x="1284"/>
        <item m="1" x="1285"/>
        <item m="1" x="1287"/>
        <item m="1" x="1288"/>
        <item m="1" x="1289"/>
        <item m="1" x="1290"/>
        <item m="1" x="1292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1"/>
        <item m="1" x="1332"/>
        <item m="1" x="1333"/>
        <item m="1" x="1334"/>
        <item m="1" x="1337"/>
        <item m="1" x="1338"/>
        <item m="1" x="1339"/>
        <item m="1" x="1340"/>
        <item m="1" x="1342"/>
        <item m="1" x="1343"/>
        <item m="1" x="1344"/>
        <item m="1" x="1345"/>
        <item m="1" x="1346"/>
        <item m="1" x="1347"/>
        <item m="1" x="1348"/>
        <item m="1" x="1350"/>
        <item m="1" x="1352"/>
        <item m="1" x="1353"/>
        <item m="1" x="1354"/>
        <item m="1" x="1355"/>
        <item m="1" x="1356"/>
        <item m="1" x="1358"/>
        <item m="1" x="1364"/>
        <item m="1" x="1365"/>
        <item m="1" x="1366"/>
        <item m="1" x="1367"/>
        <item m="1" x="1368"/>
        <item m="1" x="1369"/>
        <item m="1" x="1370"/>
        <item m="1" x="1371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6"/>
        <item m="1" x="1417"/>
        <item m="1" x="1418"/>
        <item m="1" x="1420"/>
        <item m="1" x="1421"/>
        <item m="1" x="1422"/>
        <item m="1" x="1423"/>
        <item m="1" x="1424"/>
        <item m="1" x="1426"/>
        <item m="1" x="1428"/>
        <item m="1" x="1429"/>
        <item m="1" x="1430"/>
        <item m="1" x="1432"/>
        <item m="1" x="1433"/>
        <item m="1" x="1435"/>
        <item m="1" x="1437"/>
        <item m="1" x="1439"/>
        <item m="1" x="1440"/>
        <item m="1" x="1441"/>
        <item m="1" x="1442"/>
        <item m="1" x="1444"/>
        <item m="1" x="1445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9"/>
        <item m="1" x="1460"/>
        <item m="1" x="1461"/>
        <item m="1" x="1463"/>
        <item m="1" x="1464"/>
        <item m="1" x="1465"/>
        <item m="1" x="1467"/>
        <item m="1" x="1468"/>
        <item m="1" x="1469"/>
        <item m="1" x="1470"/>
        <item m="1" x="1471"/>
        <item m="1" x="730"/>
        <item m="1" x="731"/>
        <item m="1" x="732"/>
        <item m="1" x="555"/>
        <item x="6"/>
        <item m="1" x="558"/>
        <item m="1" x="559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463"/>
        <item m="1" x="560"/>
        <item m="1" x="764"/>
        <item m="1" x="765"/>
        <item m="1" x="471"/>
        <item x="14"/>
        <item m="1" x="574"/>
        <item m="1" x="566"/>
        <item m="1" x="561"/>
        <item m="1" x="467"/>
        <item m="1" x="766"/>
        <item m="1" x="475"/>
        <item x="70"/>
        <item m="1" x="633"/>
        <item m="1" x="767"/>
        <item m="1" x="571"/>
        <item m="1" x="768"/>
        <item m="1" x="769"/>
        <item x="213"/>
        <item m="1" x="573"/>
        <item m="1" x="770"/>
        <item m="1" x="581"/>
        <item m="1" x="580"/>
        <item m="1" x="771"/>
        <item m="1" x="772"/>
        <item m="1" x="773"/>
        <item m="1" x="774"/>
        <item m="1" x="775"/>
        <item m="1" x="776"/>
        <item m="1" x="777"/>
        <item m="1" x="778"/>
        <item m="1" x="579"/>
        <item m="1" x="779"/>
        <item m="1" x="575"/>
        <item m="1" x="780"/>
        <item m="1" x="576"/>
        <item m="1" x="582"/>
        <item m="1" x="781"/>
        <item x="42"/>
        <item m="1" x="583"/>
        <item m="1" x="782"/>
        <item m="1" x="783"/>
        <item m="1" x="784"/>
        <item m="1" x="785"/>
        <item m="1" x="577"/>
        <item m="1" x="578"/>
        <item m="1" x="786"/>
        <item x="60"/>
        <item x="61"/>
        <item x="62"/>
        <item m="1" x="491"/>
        <item m="1" x="492"/>
        <item x="56"/>
        <item m="1" x="599"/>
        <item m="1" x="597"/>
        <item m="1" x="787"/>
        <item m="1" x="607"/>
        <item m="1" x="604"/>
        <item x="64"/>
        <item x="66"/>
        <item m="1" x="788"/>
        <item m="1" x="789"/>
        <item m="1" x="613"/>
        <item m="1" x="614"/>
        <item m="1" x="610"/>
        <item m="1" x="611"/>
        <item m="1" x="790"/>
        <item m="1" x="791"/>
        <item m="1" x="615"/>
        <item m="1" x="792"/>
        <item m="1" x="498"/>
        <item m="1" x="497"/>
        <item m="1" x="496"/>
        <item m="1" x="503"/>
        <item m="1" x="502"/>
        <item m="1" x="628"/>
        <item m="1" x="793"/>
        <item x="83"/>
        <item m="1" x="794"/>
        <item m="1" x="795"/>
        <item m="1" x="796"/>
        <item m="1" x="797"/>
        <item m="1" x="617"/>
        <item x="93"/>
        <item m="1" x="618"/>
        <item m="1" x="616"/>
        <item x="94"/>
        <item m="1" x="505"/>
        <item m="1" x="798"/>
        <item m="1" x="799"/>
        <item m="1" x="624"/>
        <item m="1" x="625"/>
        <item m="1" x="626"/>
        <item x="106"/>
        <item x="107"/>
        <item x="108"/>
        <item x="110"/>
        <item x="117"/>
        <item m="1" x="800"/>
        <item m="1" x="801"/>
        <item m="1" x="802"/>
        <item m="1" x="803"/>
        <item m="1" x="804"/>
        <item m="1" x="805"/>
        <item m="1" x="630"/>
        <item m="1" x="632"/>
        <item m="1" x="806"/>
        <item m="1" x="634"/>
        <item m="1" x="635"/>
        <item m="1" x="636"/>
        <item m="1" x="807"/>
        <item m="1" x="808"/>
        <item m="1" x="809"/>
        <item m="1" x="639"/>
        <item x="134"/>
        <item x="132"/>
        <item m="1" x="640"/>
        <item m="1" x="641"/>
        <item m="1" x="642"/>
        <item x="137"/>
        <item m="1" x="647"/>
        <item m="1" x="650"/>
        <item m="1" x="651"/>
        <item m="1" x="652"/>
        <item m="1" x="653"/>
        <item m="1" x="810"/>
        <item m="1" x="648"/>
        <item m="1" x="657"/>
        <item m="1" x="654"/>
        <item m="1" x="655"/>
        <item m="1" x="659"/>
        <item m="1" x="660"/>
        <item m="1" x="661"/>
        <item m="1" x="662"/>
        <item m="1" x="811"/>
        <item x="150"/>
        <item x="151"/>
        <item m="1" x="812"/>
        <item m="1" x="813"/>
        <item m="1" x="814"/>
        <item x="154"/>
        <item m="1" x="815"/>
        <item m="1" x="816"/>
        <item m="1" x="667"/>
        <item m="1" x="817"/>
        <item m="1" x="818"/>
        <item m="1" x="819"/>
        <item m="1" x="820"/>
        <item m="1" x="821"/>
        <item m="1" x="822"/>
        <item m="1" x="665"/>
        <item m="1" x="823"/>
        <item m="1" x="824"/>
        <item m="1" x="825"/>
        <item m="1" x="668"/>
        <item m="1" x="826"/>
        <item m="1" x="827"/>
        <item m="1" x="669"/>
        <item m="1" x="828"/>
        <item m="1" x="829"/>
        <item m="1" x="671"/>
        <item x="214"/>
        <item x="215"/>
        <item m="1" x="831"/>
        <item x="175"/>
        <item x="183"/>
        <item x="184"/>
        <item x="185"/>
        <item x="176"/>
        <item x="177"/>
        <item x="178"/>
        <item x="179"/>
        <item x="180"/>
        <item x="181"/>
        <item x="182"/>
        <item x="18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187"/>
        <item x="188"/>
        <item x="189"/>
        <item x="190"/>
        <item x="191"/>
        <item x="192"/>
        <item x="193"/>
        <item x="194"/>
        <item x="195"/>
        <item m="1" x="832"/>
        <item m="1" x="833"/>
        <item x="131"/>
        <item m="1" x="675"/>
        <item x="222"/>
        <item x="223"/>
        <item m="1" x="530"/>
        <item m="1" x="529"/>
        <item m="1" x="834"/>
        <item m="1" x="835"/>
        <item m="1" x="836"/>
        <item m="1" x="528"/>
        <item m="1" x="837"/>
        <item m="1" x="525"/>
        <item m="1" x="524"/>
        <item x="224"/>
        <item m="1" x="526"/>
        <item m="1" x="838"/>
        <item m="1" x="839"/>
        <item m="1" x="840"/>
        <item m="1" x="841"/>
        <item m="1" x="842"/>
        <item m="1" x="681"/>
        <item m="1" x="686"/>
        <item x="227"/>
        <item m="1" x="695"/>
        <item x="251"/>
        <item x="255"/>
        <item x="257"/>
        <item m="1" x="535"/>
        <item m="1" x="843"/>
        <item x="256"/>
        <item m="1" x="844"/>
        <item m="1" x="845"/>
        <item m="1" x="702"/>
        <item m="1" x="703"/>
        <item x="261"/>
        <item x="262"/>
        <item m="1" x="704"/>
        <item m="1" x="846"/>
        <item m="1" x="847"/>
        <item m="1" x="705"/>
        <item m="1" x="848"/>
        <item m="1" x="706"/>
        <item m="1" x="849"/>
        <item m="1" x="850"/>
        <item m="1" x="851"/>
        <item m="1" x="852"/>
        <item m="1" x="853"/>
        <item m="1" x="854"/>
        <item m="1" x="855"/>
        <item m="1" x="856"/>
        <item m="1" x="537"/>
        <item m="1" x="857"/>
        <item m="1" x="707"/>
        <item m="1" x="495"/>
        <item m="1" x="858"/>
        <item x="17"/>
        <item m="1" x="859"/>
        <item m="1" x="860"/>
        <item m="1" x="861"/>
        <item x="285"/>
        <item x="284"/>
        <item m="1" x="708"/>
        <item x="287"/>
        <item x="288"/>
        <item m="1" x="862"/>
        <item x="289"/>
        <item m="1" x="863"/>
        <item m="1" x="864"/>
        <item m="1" x="865"/>
        <item m="1" x="866"/>
        <item m="1" x="539"/>
        <item m="1" x="540"/>
        <item m="1" x="714"/>
        <item m="1" x="713"/>
        <item x="296"/>
        <item m="1" x="715"/>
        <item m="1" x="867"/>
        <item m="1" x="868"/>
        <item m="1" x="869"/>
        <item x="295"/>
        <item m="1" x="870"/>
        <item m="1" x="871"/>
        <item m="1" x="872"/>
        <item m="1" x="873"/>
        <item m="1" x="874"/>
        <item m="1" x="875"/>
        <item m="1" x="876"/>
        <item m="1" x="716"/>
        <item m="1" x="717"/>
        <item m="1" x="718"/>
        <item m="1" x="719"/>
        <item m="1" x="877"/>
        <item m="1" x="878"/>
        <item m="1" x="547"/>
        <item m="1" x="444"/>
        <item x="304"/>
        <item m="1" x="443"/>
        <item m="1" x="448"/>
        <item m="1" x="447"/>
        <item m="1" x="544"/>
        <item m="1" x="446"/>
        <item m="1" x="879"/>
        <item m="1" x="880"/>
        <item m="1" x="550"/>
        <item m="1" x="551"/>
        <item x="305"/>
        <item m="1" x="445"/>
        <item m="1" x="442"/>
        <item m="1" x="881"/>
        <item m="1" x="882"/>
        <item m="1" x="883"/>
        <item m="1" x="724"/>
        <item m="1" x="729"/>
        <item m="1" x="728"/>
        <item m="1" x="457"/>
        <item m="1" x="553"/>
        <item m="1" x="554"/>
        <item x="2"/>
        <item x="7"/>
        <item m="1" x="556"/>
        <item m="1" x="557"/>
        <item x="325"/>
        <item m="1" x="466"/>
        <item m="1" x="562"/>
        <item m="1" x="563"/>
        <item m="1" x="564"/>
        <item m="1" x="337"/>
        <item m="1" x="565"/>
        <item x="209"/>
        <item x="228"/>
        <item m="1" x="567"/>
        <item m="1" x="474"/>
        <item m="1" x="568"/>
        <item m="1" x="569"/>
        <item m="1" x="570"/>
        <item m="1" x="476"/>
        <item m="1" x="572"/>
        <item x="226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x="155"/>
        <item m="1" x="596"/>
        <item x="99"/>
        <item m="1" x="598"/>
        <item m="1" x="600"/>
        <item m="1" x="490"/>
        <item m="1" x="601"/>
        <item m="1" x="602"/>
        <item m="1" x="493"/>
        <item m="1" x="494"/>
        <item m="1" x="605"/>
        <item m="1" x="606"/>
        <item m="1" x="608"/>
        <item m="1" x="609"/>
        <item m="1" x="473"/>
        <item m="1" x="612"/>
        <item m="1" x="500"/>
        <item x="69"/>
        <item m="1" x="499"/>
        <item m="1" x="619"/>
        <item m="1" x="620"/>
        <item m="1" x="621"/>
        <item m="1" x="504"/>
        <item m="1" x="622"/>
        <item m="1" x="623"/>
        <item x="101"/>
        <item m="1" x="627"/>
        <item m="1" x="507"/>
        <item x="86"/>
        <item m="1" x="629"/>
        <item x="105"/>
        <item m="1" x="631"/>
        <item x="120"/>
        <item x="124"/>
        <item m="1" x="637"/>
        <item m="1" x="519"/>
        <item m="1" x="517"/>
        <item x="133"/>
        <item m="1" x="638"/>
        <item m="1" x="643"/>
        <item m="1" x="644"/>
        <item x="143"/>
        <item m="1" x="645"/>
        <item m="1" x="646"/>
        <item x="146"/>
        <item x="300"/>
        <item m="1" x="656"/>
        <item m="1" x="658"/>
        <item m="1" x="663"/>
        <item x="156"/>
        <item m="1" x="666"/>
        <item x="171"/>
        <item m="1" x="670"/>
        <item m="1" x="672"/>
        <item m="1" x="673"/>
        <item x="208"/>
        <item m="1" x="674"/>
        <item x="269"/>
        <item m="1" x="676"/>
        <item m="1" x="677"/>
        <item m="1" x="678"/>
        <item m="1" x="679"/>
        <item m="1" x="533"/>
        <item m="1" x="419"/>
        <item m="1" x="680"/>
        <item x="232"/>
        <item m="1" x="682"/>
        <item m="1" x="683"/>
        <item m="1" x="684"/>
        <item m="1" x="685"/>
        <item m="1" x="687"/>
        <item m="1" x="688"/>
        <item m="1" x="689"/>
        <item m="1" x="690"/>
        <item m="1" x="691"/>
        <item m="1" x="692"/>
        <item m="1" x="693"/>
        <item m="1" x="694"/>
        <item x="254"/>
        <item m="1" x="414"/>
        <item m="1" x="696"/>
        <item m="1" x="697"/>
        <item m="1" x="698"/>
        <item x="253"/>
        <item m="1" x="699"/>
        <item m="1" x="700"/>
        <item m="1" x="701"/>
        <item x="272"/>
        <item x="273"/>
        <item x="276"/>
        <item m="1" x="538"/>
        <item x="277"/>
        <item m="1" x="709"/>
        <item m="1" x="710"/>
        <item m="1" x="711"/>
        <item x="280"/>
        <item m="1" x="712"/>
        <item m="1" x="720"/>
        <item m="1" x="441"/>
        <item m="1" x="545"/>
        <item m="1" x="546"/>
        <item m="1" x="721"/>
        <item m="1" x="722"/>
        <item m="1" x="723"/>
        <item x="313"/>
        <item x="314"/>
        <item x="315"/>
        <item m="1" x="725"/>
        <item m="1" x="726"/>
        <item m="1" x="727"/>
        <item x="0"/>
        <item m="1" x="458"/>
        <item m="1" x="459"/>
        <item m="1" x="460"/>
        <item m="1" x="461"/>
        <item m="1" x="462"/>
        <item x="12"/>
        <item x="13"/>
        <item m="1" x="464"/>
        <item m="1" x="465"/>
        <item m="1" x="468"/>
        <item m="1" x="469"/>
        <item m="1" x="470"/>
        <item m="1" x="472"/>
        <item m="1" x="477"/>
        <item m="1" x="478"/>
        <item m="1" x="479"/>
        <item m="1" x="480"/>
        <item m="1" x="481"/>
        <item m="1" x="482"/>
        <item x="27"/>
        <item m="1" x="483"/>
        <item m="1" x="360"/>
        <item m="1" x="361"/>
        <item m="1" x="484"/>
        <item m="1" x="485"/>
        <item m="1" x="357"/>
        <item m="1" x="486"/>
        <item m="1" x="487"/>
        <item m="1" x="488"/>
        <item x="59"/>
        <item m="1" x="489"/>
        <item x="217"/>
        <item m="1" x="374"/>
        <item m="1" x="501"/>
        <item m="1" x="378"/>
        <item m="1" x="383"/>
        <item m="1" x="384"/>
        <item x="96"/>
        <item x="95"/>
        <item x="97"/>
        <item x="84"/>
        <item m="1" x="506"/>
        <item m="1" x="379"/>
        <item m="1" x="380"/>
        <item x="104"/>
        <item m="1" x="508"/>
        <item m="1" x="388"/>
        <item x="115"/>
        <item m="1" x="509"/>
        <item m="1" x="510"/>
        <item m="1" x="511"/>
        <item m="1" x="512"/>
        <item m="1" x="513"/>
        <item x="129"/>
        <item m="1" x="514"/>
        <item m="1" x="515"/>
        <item m="1" x="516"/>
        <item x="236"/>
        <item m="1" x="518"/>
        <item x="135"/>
        <item x="139"/>
        <item x="140"/>
        <item x="141"/>
        <item x="142"/>
        <item m="1" x="520"/>
        <item m="1" x="397"/>
        <item m="1" x="395"/>
        <item m="1" x="396"/>
        <item m="1" x="394"/>
        <item m="1" x="401"/>
        <item m="1" x="402"/>
        <item x="157"/>
        <item x="158"/>
        <item m="1" x="521"/>
        <item m="1" x="523"/>
        <item m="1" x="408"/>
        <item m="1" x="410"/>
        <item x="218"/>
        <item m="1" x="527"/>
        <item m="1" x="531"/>
        <item x="248"/>
        <item m="1" x="532"/>
        <item x="243"/>
        <item m="1" x="421"/>
        <item m="1" x="420"/>
        <item m="1" x="534"/>
        <item x="233"/>
        <item m="1" x="536"/>
        <item x="263"/>
        <item x="265"/>
        <item x="274"/>
        <item m="1" x="386"/>
        <item x="278"/>
        <item m="1" x="430"/>
        <item m="1" x="432"/>
        <item m="1" x="433"/>
        <item m="1" x="437"/>
        <item m="1" x="438"/>
        <item m="1" x="439"/>
        <item x="294"/>
        <item x="298"/>
        <item x="301"/>
        <item x="302"/>
        <item m="1" x="541"/>
        <item m="1" x="542"/>
        <item m="1" x="543"/>
        <item m="1" x="449"/>
        <item m="1" x="450"/>
        <item m="1" x="548"/>
        <item m="1" x="549"/>
        <item m="1" x="552"/>
        <item m="1" x="452"/>
        <item m="1" x="454"/>
        <item m="1" x="455"/>
        <item x="324"/>
        <item m="1" x="453"/>
        <item x="1"/>
        <item m="1" x="328"/>
        <item x="5"/>
        <item m="1" x="329"/>
        <item m="1" x="330"/>
        <item m="1" x="331"/>
        <item m="1" x="332"/>
        <item m="1" x="333"/>
        <item m="1" x="334"/>
        <item x="15"/>
        <item m="1" x="335"/>
        <item m="1" x="336"/>
        <item m="1" x="338"/>
        <item m="1" x="339"/>
        <item m="1" x="340"/>
        <item m="1" x="341"/>
        <item m="1" x="342"/>
        <item x="38"/>
        <item m="1" x="343"/>
        <item x="39"/>
        <item m="1" x="344"/>
        <item m="1" x="345"/>
        <item m="1" x="346"/>
        <item m="1" x="347"/>
        <item x="40"/>
        <item x="41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x="29"/>
        <item m="1" x="358"/>
        <item m="1" x="359"/>
        <item m="1" x="362"/>
        <item m="1" x="363"/>
        <item x="34"/>
        <item m="1" x="364"/>
        <item m="1" x="365"/>
        <item x="28"/>
        <item m="1" x="366"/>
        <item m="1" x="367"/>
        <item m="1" x="368"/>
        <item m="1" x="369"/>
        <item m="1" x="370"/>
        <item m="1" x="371"/>
        <item m="1" x="372"/>
        <item m="1" x="373"/>
        <item m="1" x="375"/>
        <item m="1" x="376"/>
        <item m="1" x="377"/>
        <item x="98"/>
        <item x="85"/>
        <item x="79"/>
        <item x="80"/>
        <item m="1" x="381"/>
        <item m="1" x="382"/>
        <item x="88"/>
        <item m="1" x="385"/>
        <item m="1" x="387"/>
        <item x="111"/>
        <item x="112"/>
        <item x="113"/>
        <item x="118"/>
        <item m="1" x="389"/>
        <item x="119"/>
        <item m="1" x="390"/>
        <item x="127"/>
        <item x="123"/>
        <item x="128"/>
        <item x="211"/>
        <item m="1" x="392"/>
        <item m="1" x="393"/>
        <item x="136"/>
        <item m="1" x="398"/>
        <item x="145"/>
        <item m="1" x="399"/>
        <item m="1" x="400"/>
        <item x="149"/>
        <item m="1" x="403"/>
        <item m="1" x="404"/>
        <item m="1" x="405"/>
        <item x="170"/>
        <item m="1" x="406"/>
        <item m="1" x="407"/>
        <item m="1" x="409"/>
        <item x="212"/>
        <item x="219"/>
        <item m="1" x="411"/>
        <item m="1" x="412"/>
        <item m="1" x="413"/>
        <item m="1" x="415"/>
        <item x="235"/>
        <item x="240"/>
        <item x="237"/>
        <item x="238"/>
        <item x="239"/>
        <item m="1" x="416"/>
        <item x="244"/>
        <item m="1" x="417"/>
        <item m="1" x="418"/>
        <item x="231"/>
        <item x="229"/>
        <item x="230"/>
        <item m="1" x="422"/>
        <item m="1" x="423"/>
        <item m="1" x="424"/>
        <item m="1" x="425"/>
        <item m="1" x="426"/>
        <item m="1" x="427"/>
        <item x="260"/>
        <item m="1" x="428"/>
        <item x="264"/>
        <item x="266"/>
        <item m="1" x="429"/>
        <item x="279"/>
        <item m="1" x="431"/>
        <item x="286"/>
        <item m="1" x="434"/>
        <item x="290"/>
        <item m="1" x="435"/>
        <item m="1" x="436"/>
        <item x="293"/>
        <item m="1" x="440"/>
        <item x="307"/>
        <item m="1" x="451"/>
        <item x="310"/>
        <item x="312"/>
        <item x="322"/>
        <item x="323"/>
        <item m="1" x="456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5"/>
        <item x="36"/>
        <item x="37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63"/>
        <item x="67"/>
        <item x="68"/>
        <item x="71"/>
        <item x="72"/>
        <item x="73"/>
        <item x="74"/>
        <item x="75"/>
        <item x="76"/>
        <item x="77"/>
        <item x="78"/>
        <item x="81"/>
        <item x="82"/>
        <item x="87"/>
        <item x="89"/>
        <item x="90"/>
        <item x="91"/>
        <item x="92"/>
        <item x="100"/>
        <item x="102"/>
        <item x="103"/>
        <item x="109"/>
        <item x="114"/>
        <item x="116"/>
        <item x="121"/>
        <item x="122"/>
        <item x="125"/>
        <item x="130"/>
        <item x="138"/>
        <item x="144"/>
        <item x="147"/>
        <item x="148"/>
        <item x="152"/>
        <item x="15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2"/>
        <item x="173"/>
        <item x="174"/>
        <item x="210"/>
        <item x="216"/>
        <item x="220"/>
        <item x="221"/>
        <item x="225"/>
        <item x="234"/>
        <item x="241"/>
        <item x="242"/>
        <item x="245"/>
        <item x="246"/>
        <item x="247"/>
        <item x="249"/>
        <item x="250"/>
        <item x="252"/>
        <item x="258"/>
        <item x="259"/>
        <item x="267"/>
        <item x="268"/>
        <item x="270"/>
        <item x="271"/>
        <item x="275"/>
        <item x="281"/>
        <item x="282"/>
        <item x="283"/>
        <item x="291"/>
        <item x="292"/>
        <item x="297"/>
        <item x="299"/>
        <item x="303"/>
        <item x="306"/>
        <item x="308"/>
        <item x="309"/>
        <item x="311"/>
        <item x="316"/>
        <item x="317"/>
        <item x="318"/>
        <item x="319"/>
        <item x="320"/>
        <item x="321"/>
        <item x="3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"/>
        <item x="25"/>
        <item m="1" x="479"/>
        <item m="1" x="905"/>
        <item x="265"/>
        <item m="1" x="393"/>
        <item m="1" x="2291"/>
        <item x="4"/>
        <item m="1" x="739"/>
        <item m="1" x="1868"/>
        <item x="163"/>
        <item m="1" x="1556"/>
        <item m="1" x="1125"/>
        <item m="1" x="501"/>
        <item x="183"/>
        <item m="1" x="1265"/>
        <item m="1" x="1582"/>
        <item x="275"/>
        <item m="1" x="2798"/>
        <item m="1" x="1105"/>
        <item m="1" x="499"/>
        <item m="1" x="1328"/>
        <item m="1" x="869"/>
        <item m="1" x="7722"/>
        <item m="1" x="1224"/>
        <item x="152"/>
        <item x="199"/>
        <item m="1" x="663"/>
        <item m="1" x="301"/>
        <item x="130"/>
        <item x="269"/>
        <item m="1" x="4509"/>
        <item m="1" x="987"/>
        <item m="1" x="2443"/>
        <item x="256"/>
        <item m="1" x="3132"/>
        <item x="186"/>
        <item m="1" x="4801"/>
        <item x="292"/>
        <item x="170"/>
        <item m="1" x="4441"/>
        <item m="1" x="779"/>
        <item m="1" x="1033"/>
        <item h="1" m="1" x="3778"/>
        <item m="1" x="1210"/>
        <item m="1" x="2342"/>
        <item m="1" x="2810"/>
        <item m="1" x="412"/>
        <item m="1" x="1114"/>
        <item m="1" x="408"/>
        <item m="1" x="7363"/>
        <item m="1" x="1132"/>
        <item m="1" x="7768"/>
        <item m="1" x="1600"/>
        <item m="1" x="5822"/>
        <item m="1" x="2001"/>
        <item m="1" x="2454"/>
        <item m="1" x="6614"/>
        <item m="1" x="599"/>
        <item m="1" x="2077"/>
        <item m="1" x="4464"/>
        <item m="1" x="4146"/>
        <item m="1" x="2571"/>
        <item m="1" x="3675"/>
        <item m="1" x="3619"/>
        <item m="1" x="6447"/>
        <item m="1" x="4487"/>
        <item m="1" x="4241"/>
        <item m="1" x="1163"/>
        <item x="121"/>
        <item x="290"/>
        <item m="1" x="3746"/>
        <item m="1" x="560"/>
        <item m="1" x="2328"/>
        <item m="1" x="3854"/>
        <item m="1" x="3390"/>
        <item m="1" x="1211"/>
        <item x="266"/>
        <item m="1" x="1368"/>
        <item m="1" x="3064"/>
        <item m="1" x="4238"/>
        <item m="1" x="808"/>
        <item m="1" x="2099"/>
        <item m="1" x="1212"/>
        <item m="1" x="1059"/>
        <item m="1" x="1126"/>
        <item m="1" x="4614"/>
        <item m="1" x="3087"/>
        <item h="1" m="1" x="1377"/>
        <item h="1" x="173"/>
        <item m="1" x="4148"/>
        <item h="1" m="1" x="469"/>
        <item h="1" x="210"/>
        <item h="1" m="1" x="376"/>
        <item h="1" x="75"/>
        <item h="1" m="1" x="2049"/>
        <item h="1" x="274"/>
        <item h="1" x="247"/>
        <item h="1" x="10"/>
        <item h="1" x="81"/>
        <item h="1" x="223"/>
        <item h="1" m="1" x="385"/>
        <item h="1" m="1" x="1149"/>
        <item h="1" m="1" x="2669"/>
        <item h="1" m="1" x="4884"/>
        <item h="1" m="1" x="1966"/>
        <item h="1" m="1" x="2691"/>
        <item h="1" m="1" x="3383"/>
        <item h="1" m="1" x="3677"/>
        <item h="1" m="1" x="5876"/>
        <item h="1" m="1" x="1943"/>
        <item h="1" x="144"/>
        <item h="1" m="1" x="6174"/>
        <item h="1" m="1" x="2484"/>
        <item h="1" m="1" x="4886"/>
        <item h="1" x="180"/>
        <item h="1" m="1" x="1489"/>
        <item h="1" m="1" x="339"/>
        <item h="1" m="1" x="488"/>
        <item h="1" m="1" x="2082"/>
        <item h="1" m="1" x="1579"/>
        <item h="1" m="1" x="1117"/>
        <item h="1" m="1" x="3274"/>
        <item h="1" m="1" x="3792"/>
        <item h="1" x="142"/>
        <item h="1" m="1" x="848"/>
        <item h="1" x="227"/>
        <item h="1" m="1" x="1515"/>
        <item h="1" x="140"/>
        <item h="1" m="1" x="784"/>
        <item h="1" m="1" x="2787"/>
        <item h="1" m="1" x="1915"/>
        <item h="1" x="133"/>
        <item h="1" x="79"/>
        <item h="1" m="1" x="1202"/>
        <item h="1" m="1" x="5645"/>
        <item h="1" m="1" x="1591"/>
        <item h="1" m="1" x="3620"/>
        <item h="1" m="1" x="1862"/>
        <item h="1" x="230"/>
        <item h="1" m="1" x="4244"/>
        <item h="1" m="1" x="971"/>
        <item h="1" m="1" x="2580"/>
        <item h="1" x="119"/>
        <item h="1" m="1" x="7152"/>
        <item h="1" x="156"/>
        <item h="1" m="1" x="5123"/>
        <item h="1" x="29"/>
        <item h="1" m="1" x="2171"/>
        <item h="1" m="1" x="1803"/>
        <item h="1" m="1" x="4095"/>
        <item h="1" m="1" x="1665"/>
        <item h="1" m="1" x="5242"/>
        <item h="1" m="1" x="459"/>
        <item h="1" m="1" x="318"/>
        <item h="1" m="1" x="7522"/>
        <item h="1" m="1" x="520"/>
        <item h="1" m="1" x="3657"/>
        <item h="1" m="1" x="1108"/>
        <item h="1" m="1" x="1032"/>
        <item h="1" m="1" x="5630"/>
        <item h="1" m="1" x="7359"/>
        <item h="1" x="91"/>
        <item h="1" m="1" x="5070"/>
        <item h="1" m="1" x="2172"/>
        <item h="1" m="1" x="4109"/>
        <item h="1" m="1" x="1681"/>
        <item h="1" m="1" x="6624"/>
        <item h="1" m="1" x="3842"/>
        <item h="1" m="1" x="5932"/>
        <item h="1" m="1" x="3880"/>
        <item h="1" m="1" x="2802"/>
        <item h="1" m="1" x="3365"/>
        <item h="1" m="1" x="3654"/>
        <item h="1" m="1" x="3658"/>
        <item h="1" m="1" x="3501"/>
        <item h="1" x="129"/>
        <item h="1" m="1" x="1941"/>
        <item h="1" m="1" x="780"/>
        <item h="1" m="1" x="1052"/>
        <item h="1" m="1" x="6920"/>
        <item h="1" m="1" x="3049"/>
        <item h="1" m="1" x="2063"/>
        <item h="1" m="1" x="7311"/>
        <item h="1" m="1" x="3617"/>
        <item h="1" m="1" x="3839"/>
        <item h="1" x="161"/>
        <item h="1" m="1" x="5871"/>
        <item h="1" m="1" x="4023"/>
        <item h="1" x="168"/>
        <item h="1" m="1" x="672"/>
        <item h="1" m="1" x="4476"/>
        <item h="1" m="1" x="5394"/>
        <item h="1" x="222"/>
        <item h="1" m="1" x="3831"/>
        <item h="1" m="1" x="3318"/>
        <item h="1" x="185"/>
        <item h="1" m="1" x="1650"/>
        <item h="1" m="1" x="7212"/>
        <item h="1" m="1" x="6001"/>
        <item h="1" m="1" x="5858"/>
        <item h="1" m="1" x="6759"/>
        <item h="1" m="1" x="2177"/>
        <item h="1" m="1" x="2505"/>
        <item h="1" m="1" x="4674"/>
        <item h="1" m="1" x="1375"/>
        <item h="1" x="226"/>
        <item h="1" m="1" x="805"/>
        <item h="1" m="1" x="7913"/>
        <item h="1" x="236"/>
        <item h="1" m="1" x="5059"/>
        <item h="1" m="1" x="3559"/>
        <item h="1" m="1" x="2556"/>
        <item h="1" m="1" x="3492"/>
        <item h="1" m="1" x="817"/>
        <item h="1" m="1" x="5240"/>
        <item h="1" m="1" x="5061"/>
        <item h="1" m="1" x="7042"/>
        <item h="1" x="143"/>
        <item h="1" m="1" x="1615"/>
        <item h="1" x="2"/>
        <item h="1" m="1" x="5251"/>
        <item h="1" m="1" x="738"/>
        <item h="1" m="1" x="1203"/>
        <item h="1" m="1" x="1856"/>
        <item h="1" m="1" x="4906"/>
        <item h="1" m="1" x="5553"/>
        <item h="1" m="1" x="429"/>
        <item h="1" m="1" x="4253"/>
        <item h="1" m="1" x="6634"/>
        <item h="1" x="264"/>
        <item h="1" m="1" x="2909"/>
        <item h="1" m="1" x="5605"/>
        <item h="1" m="1" x="706"/>
        <item h="1" m="1" x="1931"/>
        <item h="1" m="1" x="6592"/>
        <item h="1" m="1" x="1583"/>
        <item h="1" m="1" x="7609"/>
        <item h="1" m="1" x="7142"/>
        <item h="1" m="1" x="7232"/>
        <item h="1" m="1" x="7488"/>
        <item h="1" m="1" x="5050"/>
        <item h="1" m="1" x="3477"/>
        <item h="1" m="1" x="4375"/>
        <item h="1" m="1" x="909"/>
        <item h="1" m="1" x="4863"/>
        <item h="1" m="1" x="3055"/>
        <item h="1" m="1" x="4526"/>
        <item h="1" m="1" x="6190"/>
        <item h="1" m="1" x="3085"/>
        <item h="1" m="1" x="1893"/>
        <item h="1" m="1" x="3765"/>
        <item h="1" m="1" x="4915"/>
        <item h="1" m="1" x="2439"/>
        <item h="1" m="1" x="3538"/>
        <item h="1" m="1" x="1752"/>
        <item h="1" m="1" x="5690"/>
        <item h="1" m="1" x="7105"/>
        <item h="1" m="1" x="3431"/>
        <item h="1" m="1" x="4958"/>
        <item h="1" m="1" x="3381"/>
        <item h="1" m="1" x="4779"/>
        <item h="1" m="1" x="3795"/>
        <item h="1" m="1" x="5199"/>
        <item h="1" m="1" x="4257"/>
        <item h="1" m="1" x="504"/>
        <item h="1" m="1" x="2424"/>
        <item h="1" m="1" x="4983"/>
        <item h="1" m="1" x="2449"/>
        <item h="1" m="1" x="3949"/>
        <item h="1" m="1" x="2145"/>
        <item h="1" m="1" x="465"/>
        <item h="1" m="1" x="6152"/>
        <item h="1" m="1" x="820"/>
        <item h="1" m="1" x="3118"/>
        <item h="1" m="1" x="2924"/>
        <item h="1" x="62"/>
        <item h="1" m="1" x="4242"/>
        <item h="1" x="155"/>
        <item h="1" m="1" x="4333"/>
        <item h="1" m="1" x="3952"/>
        <item h="1" m="1" x="3987"/>
        <item h="1" m="1" x="7928"/>
        <item h="1" m="1" x="3552"/>
        <item h="1" m="1" x="5037"/>
        <item h="1" m="1" x="1670"/>
        <item h="1" m="1" x="7614"/>
        <item h="1" m="1" x="7839"/>
        <item h="1" m="1" x="6957"/>
        <item h="1" m="1" x="7824"/>
        <item h="1" m="1" x="6225"/>
        <item h="1" m="1" x="2918"/>
        <item h="1" m="1" x="5953"/>
        <item h="1" m="1" x="1451"/>
        <item h="1" m="1" x="6921"/>
        <item h="1" m="1" x="2858"/>
        <item h="1" m="1" x="7595"/>
        <item h="1" m="1" x="2033"/>
        <item h="1" m="1" x="6605"/>
        <item h="1" m="1" x="3980"/>
        <item h="1" m="1" x="7154"/>
        <item h="1" m="1" x="5586"/>
        <item h="1" m="1" x="1219"/>
        <item h="1" m="1" x="847"/>
        <item h="1" m="1" x="4682"/>
        <item h="1" m="1" x="6158"/>
        <item h="1" m="1" x="1756"/>
        <item h="1" m="1" x="7235"/>
        <item h="1" m="1" x="6726"/>
        <item h="1" m="1" x="6432"/>
        <item h="1" m="1" x="2408"/>
        <item h="1" m="1" x="6468"/>
        <item h="1" m="1" x="2131"/>
        <item h="1" m="1" x="1521"/>
        <item h="1" x="174"/>
        <item h="1" m="1" x="5972"/>
        <item h="1" m="1" x="7561"/>
        <item h="1" m="1" x="747"/>
        <item h="1" m="1" x="973"/>
        <item h="1" m="1" x="4126"/>
        <item h="1" m="1" x="1639"/>
        <item h="1" m="1" x="7260"/>
        <item h="1" m="1" x="6511"/>
        <item h="1" m="1" x="994"/>
        <item h="1" m="1" x="4726"/>
        <item h="1" m="1" x="7569"/>
        <item h="1" m="1" x="5638"/>
        <item h="1" m="1" x="7075"/>
        <item h="1" m="1" x="7069"/>
        <item h="1" m="1" x="5804"/>
        <item h="1" m="1" x="2872"/>
        <item h="1" m="1" x="7328"/>
        <item h="1" m="1" x="4832"/>
        <item h="1" m="1" x="5189"/>
        <item h="1" m="1" x="2624"/>
        <item h="1" m="1" x="533"/>
        <item h="1" m="1" x="7806"/>
        <item h="1" m="1" x="3044"/>
        <item h="1" m="1" x="3475"/>
        <item h="1" m="1" x="5694"/>
        <item h="1" m="1" x="7163"/>
        <item h="1" m="1" x="3877"/>
        <item h="1" m="1" x="7533"/>
        <item h="1" m="1" x="3291"/>
        <item h="1" m="1" x="386"/>
        <item h="1" m="1" x="1879"/>
        <item h="1" m="1" x="1213"/>
        <item h="1" m="1" x="6901"/>
        <item h="1" m="1" x="486"/>
        <item h="1" m="1" x="1046"/>
        <item h="1" m="1" x="5671"/>
        <item h="1" m="1" x="7781"/>
        <item h="1" m="1" x="7536"/>
        <item h="1" m="1" x="7705"/>
        <item h="1" m="1" x="5188"/>
        <item h="1" m="1" x="6753"/>
        <item h="1" m="1" x="7601"/>
        <item h="1" m="1" x="6931"/>
        <item h="1" m="1" x="6886"/>
        <item h="1" m="1" x="7932"/>
        <item h="1" x="131"/>
        <item h="1" m="1" x="7312"/>
        <item h="1" m="1" x="4391"/>
        <item h="1" m="1" x="4390"/>
        <item h="1" m="1" x="7521"/>
        <item h="1" m="1" x="3394"/>
        <item h="1" m="1" x="7743"/>
        <item h="1" m="1" x="7693"/>
        <item h="1" m="1" x="7816"/>
        <item h="1" m="1" x="2458"/>
        <item h="1" m="1" x="5225"/>
        <item h="1" m="1" x="7862"/>
        <item h="1" m="1" x="2559"/>
        <item h="1" m="1" x="6780"/>
        <item h="1" m="1" x="5792"/>
        <item h="1" m="1" x="5793"/>
        <item h="1" m="1" x="4739"/>
        <item h="1" m="1" x="3827"/>
        <item h="1" m="1" x="1927"/>
        <item h="1" m="1" x="6244"/>
        <item h="1" m="1" x="4613"/>
        <item h="1" m="1" x="5164"/>
        <item h="1" m="1" x="7231"/>
        <item h="1" m="1" x="5952"/>
        <item h="1" m="1" x="7303"/>
        <item h="1" m="1" x="7299"/>
        <item h="1" m="1" x="740"/>
        <item h="1" m="1" x="6538"/>
        <item h="1" m="1" x="3514"/>
        <item h="1" m="1" x="6328"/>
        <item h="1" m="1" x="3057"/>
        <item h="1" m="1" x="5775"/>
        <item h="1" m="1" x="6838"/>
        <item h="1" m="1" x="7594"/>
        <item h="1" m="1" x="7047"/>
        <item h="1" m="1" x="7345"/>
        <item h="1" m="1" x="5835"/>
        <item h="1" m="1" x="6381"/>
        <item h="1" m="1" x="5977"/>
        <item h="1" m="1" x="7327"/>
        <item h="1" m="1" x="1509"/>
        <item h="1" m="1" x="7623"/>
        <item h="1" m="1" x="7423"/>
        <item h="1" m="1" x="5803"/>
        <item h="1" m="1" x="7249"/>
        <item h="1" m="1" x="7201"/>
        <item h="1" m="1" x="4831"/>
        <item h="1" m="1" x="3766"/>
        <item h="1" m="1" x="1253"/>
        <item h="1" m="1" x="7845"/>
        <item h="1" m="1" x="6311"/>
        <item h="1" m="1" x="6652"/>
        <item h="1" m="1" x="2759"/>
        <item h="1" m="1" x="6547"/>
        <item h="1" m="1" x="2157"/>
        <item h="1" m="1" x="2625"/>
        <item h="1" m="1" x="332"/>
        <item h="1" m="1" x="7848"/>
        <item h="1" m="1" x="3389"/>
        <item h="1" m="1" x="6702"/>
        <item h="1" m="1" x="5883"/>
        <item h="1" m="1" x="4869"/>
        <item h="1" m="1" x="5580"/>
        <item h="1" m="1" x="1022"/>
        <item h="1" m="1" x="6963"/>
        <item h="1" m="1" x="7445"/>
        <item h="1" m="1" x="6312"/>
        <item h="1" m="1" x="7478"/>
        <item h="1" x="116"/>
        <item h="1" m="1" x="5789"/>
        <item h="1" m="1" x="6743"/>
        <item h="1" m="1" x="5536"/>
        <item h="1" m="1" x="7593"/>
        <item h="1" m="1" x="6322"/>
        <item h="1" m="1" x="1130"/>
        <item h="1" m="1" x="2232"/>
        <item h="1" m="1" x="5194"/>
        <item h="1" m="1" x="7646"/>
        <item h="1" m="1" x="7108"/>
        <item h="1" m="1" x="7109"/>
        <item h="1" m="1" x="6396"/>
        <item h="1" m="1" x="7927"/>
        <item h="1" m="1" x="5830"/>
        <item h="1" m="1" x="4484"/>
        <item h="1" m="1" x="7649"/>
        <item h="1" m="1" x="7097"/>
        <item h="1" m="1" x="4078"/>
        <item h="1" m="1" x="7475"/>
        <item h="1" m="1" x="4394"/>
        <item h="1" m="1" x="4395"/>
        <item h="1" m="1" x="4393"/>
        <item h="1" m="1" x="4392"/>
        <item h="1" m="1" x="4402"/>
        <item h="1" m="1" x="4399"/>
        <item h="1" m="1" x="606"/>
        <item h="1" m="1" x="5609"/>
        <item h="1" m="1" x="6936"/>
        <item h="1" m="1" x="7720"/>
        <item h="1" m="1" x="7648"/>
        <item h="1" m="1" x="5545"/>
        <item h="1" m="1" x="6670"/>
        <item h="1" m="1" x="6237"/>
        <item h="1" m="1" x="6907"/>
        <item h="1" m="1" x="5514"/>
        <item h="1" m="1" x="1566"/>
        <item h="1" m="1" x="481"/>
        <item h="1" m="1" x="4810"/>
        <item h="1" m="1" x="2709"/>
        <item h="1" m="1" x="2214"/>
        <item h="1" m="1" x="6748"/>
        <item h="1" m="1" x="6459"/>
        <item h="1" m="1" x="5595"/>
        <item h="1" x="248"/>
        <item h="1" m="1" x="4400"/>
        <item h="1" m="1" x="4396"/>
        <item h="1" m="1" x="4397"/>
        <item h="1" m="1" x="4398"/>
        <item h="1" m="1" x="7144"/>
        <item h="1" m="1" x="7624"/>
        <item h="1" m="1" x="6226"/>
        <item h="1" m="1" x="4628"/>
        <item h="1" m="1" x="5888"/>
        <item h="1" m="1" x="2799"/>
        <item h="1" m="1" x="5243"/>
        <item h="1" m="1" x="5244"/>
        <item h="1" m="1" x="640"/>
        <item h="1" m="1" x="6140"/>
        <item h="1" m="1" x="3296"/>
        <item h="1" m="1" x="4129"/>
        <item h="1" m="1" x="7600"/>
        <item h="1" m="1" x="3508"/>
        <item h="1" m="1" x="7814"/>
        <item h="1" m="1" x="6291"/>
        <item h="1" m="1" x="7709"/>
        <item h="1" m="1" x="6475"/>
        <item h="1" m="1" x="4401"/>
        <item h="1" m="1" x="4413"/>
        <item h="1" m="1" x="4409"/>
        <item h="1" m="1" x="4411"/>
        <item h="1" m="1" x="4410"/>
        <item h="1" m="1" x="6910"/>
        <item h="1" m="1" x="4412"/>
        <item h="1" m="1" x="4406"/>
        <item h="1" m="1" x="4415"/>
        <item h="1" m="1" x="4407"/>
        <item h="1" m="1" x="4408"/>
        <item h="1" m="1" x="4376"/>
        <item h="1" m="1" x="7506"/>
        <item h="1" m="1" x="5788"/>
        <item h="1" m="1" x="5063"/>
        <item h="1" m="1" x="7772"/>
        <item h="1" m="1" x="5318"/>
        <item h="1" m="1" x="4418"/>
        <item h="1" m="1" x="4414"/>
        <item h="1" m="1" x="4733"/>
        <item h="1" m="1" x="4404"/>
        <item h="1" m="1" x="4403"/>
        <item h="1" m="1" x="4405"/>
        <item h="1" m="1" x="4416"/>
        <item h="1" m="1" x="4417"/>
        <item h="1" m="1" x="4419"/>
        <item h="1" m="1" x="5035"/>
        <item h="1" m="1" x="4267"/>
        <item h="1" m="1" x="3789"/>
        <item h="1" m="1" x="3702"/>
        <item h="1" m="1" x="3861"/>
        <item h="1" m="1" x="2109"/>
        <item h="1" m="1" x="7627"/>
        <item h="1" m="1" x="7626"/>
        <item h="1" m="1" x="2215"/>
        <item h="1" m="1" x="4905"/>
        <item h="1" m="1" x="4743"/>
        <item h="1" m="1" x="5791"/>
        <item h="1" m="1" x="6095"/>
        <item h="1" m="1" x="6056"/>
        <item h="1" m="1" x="6996"/>
        <item h="1" m="1" x="7555"/>
        <item h="1" m="1" x="5523"/>
        <item h="1" m="1" x="5378"/>
        <item h="1" m="1" x="7602"/>
        <item h="1" m="1" x="5925"/>
        <item h="1" m="1" x="5679"/>
        <item h="1" m="1" x="7106"/>
        <item h="1" m="1" x="4082"/>
        <item h="1" m="1" x="5266"/>
        <item h="1" m="1" x="3875"/>
        <item h="1" m="1" x="7565"/>
        <item h="1" m="1" x="3924"/>
        <item h="1" m="1" x="5034"/>
        <item h="1" m="1" x="4130"/>
        <item h="1" m="1" x="3884"/>
        <item h="1" m="1" x="2595"/>
        <item h="1" m="1" x="5353"/>
        <item h="1" m="1" x="2502"/>
        <item h="1" m="1" x="4691"/>
        <item h="1" m="1" x="7925"/>
        <item h="1" m="1" x="5025"/>
        <item h="1" m="1" x="7964"/>
        <item h="1" m="1" x="5472"/>
        <item h="1" m="1" x="4528"/>
        <item h="1" m="1" x="5607"/>
        <item h="1" m="1" x="7796"/>
        <item h="1" m="1" x="3125"/>
        <item h="1" m="1" x="6861"/>
        <item h="1" m="1" x="850"/>
        <item h="1" m="1" x="7906"/>
        <item h="1" m="1" x="7914"/>
        <item h="1" m="1" x="5445"/>
        <item h="1" m="1" x="7789"/>
        <item h="1" m="1" x="7572"/>
        <item h="1" m="1" x="1431"/>
        <item h="1" m="1" x="7917"/>
        <item h="1" m="1" x="7926"/>
        <item h="1" m="1" x="7575"/>
        <item h="1" m="1" x="7576"/>
        <item h="1" m="1" x="4490"/>
        <item h="1" m="1" x="6045"/>
        <item h="1" m="1" x="4225"/>
        <item h="1" m="1" x="3275"/>
        <item h="1" m="1" x="7628"/>
        <item h="1" m="1" x="3527"/>
        <item h="1" m="1" x="3885"/>
        <item h="1" m="1" x="7177"/>
        <item h="1" m="1" x="7978"/>
        <item h="1" m="1" x="4859"/>
        <item h="1" m="1" x="5064"/>
        <item h="1" m="1" x="5575"/>
        <item h="1" m="1" x="7911"/>
        <item h="1" m="1" x="7916"/>
        <item h="1" m="1" x="7775"/>
        <item h="1" m="1" x="3072"/>
        <item h="1" m="1" x="4648"/>
        <item h="1" m="1" x="2404"/>
        <item h="1" m="1" x="6831"/>
        <item h="1" m="1" x="6189"/>
        <item h="1" m="1" x="4548"/>
        <item h="1" m="1" x="7951"/>
        <item h="1" m="1" x="6044"/>
        <item h="1" m="1" x="7954"/>
        <item h="1" m="1" x="7943"/>
        <item h="1" m="1" x="5922"/>
        <item h="1" m="1" x="4610"/>
        <item h="1" m="1" x="4752"/>
        <item h="1" m="1" x="7659"/>
        <item h="1" m="1" x="4420"/>
        <item h="1" m="1" x="7935"/>
        <item h="1" m="1" x="3879"/>
        <item h="1" m="1" x="5154"/>
        <item h="1" m="1" x="7963"/>
        <item h="1" m="1" x="4814"/>
        <item h="1" m="1" x="2631"/>
        <item h="1" m="1" x="6137"/>
        <item h="1" m="1" x="7952"/>
        <item h="1" m="1" x="7949"/>
        <item h="1" m="1" x="7999"/>
        <item h="1" m="1" x="7748"/>
        <item h="1" m="1" x="5518"/>
        <item h="1" m="1" x="5877"/>
        <item h="1" m="1" x="7426"/>
        <item h="1" m="1" x="7406"/>
        <item h="1" m="1" x="3773"/>
        <item h="1" m="1" x="2476"/>
        <item h="1" m="1" x="7571"/>
        <item h="1" m="1" x="5056"/>
        <item h="1" m="1" x="7120"/>
        <item h="1" m="1" x="2233"/>
        <item h="1" m="1" x="1381"/>
        <item h="1" m="1" x="367"/>
        <item h="1" m="1" x="596"/>
        <item h="1" m="1" x="7969"/>
        <item h="1" m="1" x="5769"/>
        <item h="1" m="1" x="1119"/>
        <item h="1" m="1" x="7921"/>
        <item h="1" m="1" x="2632"/>
        <item h="1" m="1" x="4813"/>
        <item h="1" m="1" x="5686"/>
        <item h="1" m="1" x="2019"/>
        <item h="1" m="1" x="4132"/>
        <item h="1" m="1" x="7929"/>
        <item h="1" m="1" x="7532"/>
        <item h="1" m="1" x="5778"/>
        <item h="1" m="1" x="2514"/>
        <item h="1" m="1" x="4815"/>
        <item h="1" m="1" x="1291"/>
        <item h="1" m="1" x="7950"/>
        <item h="1" m="1" x="7955"/>
        <item h="1" m="1" x="5163"/>
        <item h="1" m="1" x="4587"/>
        <item h="1" m="1" x="7959"/>
        <item h="1" m="1" x="6141"/>
        <item h="1" m="1" x="1889"/>
        <item h="1" m="1" x="2246"/>
        <item h="1" m="1" x="564"/>
        <item h="1" x="89"/>
        <item h="1" m="1" x="348"/>
        <item h="1" m="1" x="350"/>
        <item h="1" m="1" x="2999"/>
        <item h="1" m="1" x="1448"/>
        <item h="1" m="1" x="600"/>
        <item h="1" m="1" x="7910"/>
        <item h="1" m="1" x="6955"/>
        <item h="1" m="1" x="2107"/>
        <item h="1" m="1" x="7918"/>
        <item h="1" m="1" x="7534"/>
        <item h="1" m="1" x="4315"/>
        <item h="1" m="1" x="1969"/>
        <item h="1" m="1" x="2313"/>
        <item h="1" m="1" x="7524"/>
        <item h="1" m="1" x="3845"/>
        <item h="1" m="1" x="3841"/>
        <item h="1" m="1" x="2912"/>
        <item h="1" m="1" x="4212"/>
        <item h="1" m="1" x="7323"/>
        <item h="1" m="1" x="7931"/>
        <item h="1" m="1" x="7947"/>
        <item h="1" m="1" x="7972"/>
        <item h="1" m="1" x="7973"/>
        <item h="1" m="1" x="7970"/>
        <item h="1" m="1" x="7971"/>
        <item h="1" m="1" x="4165"/>
        <item h="1" m="1" x="6654"/>
        <item h="1" m="1" x="7915"/>
        <item h="1" m="1" x="4373"/>
        <item h="1" m="1" x="4140"/>
        <item h="1" m="1" x="3919"/>
        <item h="1" m="1" x="487"/>
        <item h="1" m="1" x="7027"/>
        <item h="1" m="1" x="7937"/>
        <item h="1" m="1" x="4798"/>
        <item h="1" m="1" x="5476"/>
        <item h="1" m="1" x="2000"/>
        <item h="1" m="1" x="7678"/>
        <item h="1" m="1" x="343"/>
        <item h="1" m="1" x="6510"/>
        <item h="1" m="1" x="5767"/>
        <item h="1" m="1" x="6691"/>
        <item h="1" m="1" x="5768"/>
        <item h="1" m="1" x="5770"/>
        <item h="1" m="1" x="5771"/>
        <item h="1" m="1" x="5772"/>
        <item h="1" m="1" x="5773"/>
        <item h="1" m="1" x="5774"/>
        <item h="1" m="1" x="5776"/>
        <item h="1" m="1" x="5777"/>
        <item h="1" m="1" x="5779"/>
        <item h="1" m="1" x="5780"/>
        <item h="1" m="1" x="5781"/>
        <item h="1" m="1" x="5933"/>
        <item h="1" m="1" x="732"/>
        <item h="1" m="1" x="7713"/>
        <item h="1" m="1" x="4134"/>
        <item h="1" m="1" x="7717"/>
        <item h="1" m="1" x="5759"/>
        <item h="1" m="1" x="7696"/>
        <item h="1" m="1" x="2452"/>
        <item h="1" m="1" x="7962"/>
        <item h="1" m="1" x="2567"/>
        <item h="1" m="1" x="4878"/>
        <item h="1" m="1" x="7651"/>
        <item h="1" m="1" x="7587"/>
        <item h="1" m="1" x="6579"/>
        <item h="1" m="1" x="5764"/>
        <item h="1" m="1" x="6690"/>
        <item h="1" m="1" x="6692"/>
        <item h="1" m="1" x="6576"/>
        <item h="1" m="1" x="402"/>
        <item h="1" m="1" x="2574"/>
        <item h="1" m="1" x="7403"/>
        <item h="1" m="1" x="7939"/>
        <item h="1" m="1" x="7697"/>
        <item h="1" m="1" x="5872"/>
        <item h="1" m="1" x="7961"/>
        <item h="1" x="84"/>
        <item h="1" m="1" x="7794"/>
        <item h="1" m="1" x="7711"/>
        <item h="1" m="1" x="1104"/>
        <item h="1" m="1" x="5055"/>
        <item h="1" m="1" x="4341"/>
        <item h="1" m="1" x="5297"/>
        <item h="1" m="1" x="7028"/>
        <item h="1" m="1" x="6786"/>
        <item h="1" m="1" x="1768"/>
        <item h="1" m="1" x="5762"/>
        <item h="1" m="1" x="5790"/>
        <item h="1" m="1" x="5760"/>
        <item h="1" m="1" x="7683"/>
        <item h="1" m="1" x="7046"/>
        <item h="1" m="1" x="2252"/>
        <item h="1" m="1" x="7938"/>
        <item h="1" m="1" x="7942"/>
        <item h="1" m="1" x="7940"/>
        <item h="1" m="1" x="7941"/>
        <item h="1" m="1" x="5028"/>
        <item h="1" m="1" x="7966"/>
        <item h="1" m="1" x="2633"/>
        <item h="1" m="1" x="3040"/>
        <item h="1" m="1" x="3940"/>
        <item h="1" m="1" x="3678"/>
        <item h="1" m="1" x="7976"/>
        <item h="1" m="1" x="7987"/>
        <item h="1" m="1" x="7993"/>
        <item h="1" m="1" x="7985"/>
        <item h="1" m="1" x="7986"/>
        <item h="1" m="1" x="7984"/>
        <item h="1" m="1" x="7988"/>
        <item h="1" m="1" x="7990"/>
        <item h="1" m="1" x="7992"/>
        <item h="1" m="1" x="7994"/>
        <item h="1" m="1" x="7995"/>
        <item h="1" m="1" x="7996"/>
        <item h="1" m="1" x="7840"/>
        <item h="1" m="1" x="6938"/>
        <item h="1" m="1" x="5819"/>
        <item h="1" m="1" x="2336"/>
        <item h="1" m="1" x="1610"/>
        <item h="1" x="63"/>
        <item h="1" m="1" x="568"/>
        <item h="1" m="1" x="7611"/>
        <item h="1" m="1" x="3522"/>
        <item h="1" m="1" x="7395"/>
        <item h="1" m="1" x="7902"/>
        <item h="1" m="1" x="7903"/>
        <item h="1" m="1" x="7468"/>
        <item h="1" m="1" x="7684"/>
        <item h="1" m="1" x="7679"/>
        <item h="1" m="1" x="4695"/>
        <item h="1" m="1" x="7773"/>
        <item h="1" m="1" x="3015"/>
        <item h="1" m="1" x="4031"/>
        <item h="1" m="1" x="3852"/>
        <item h="1" m="1" x="2074"/>
        <item h="1" m="1" x="5963"/>
        <item h="1" m="1" x="7265"/>
        <item h="1" m="1" x="1501"/>
        <item h="1" m="1" x="6412"/>
        <item h="1" m="1" x="5763"/>
        <item h="1" m="1" x="5766"/>
        <item h="1" m="1" x="7552"/>
        <item h="1" m="1" x="7113"/>
        <item h="1" m="1" x="2054"/>
        <item h="1" m="1" x="1289"/>
        <item h="1" m="1" x="6973"/>
        <item h="1" m="1" x="6484"/>
        <item h="1" m="1" x="4020"/>
        <item h="1" m="1" x="5479"/>
        <item h="1" m="1" x="7715"/>
        <item h="1" m="1" x="7667"/>
        <item h="1" m="1" x="7355"/>
        <item h="1" m="1" x="7230"/>
        <item h="1" m="1" x="1809"/>
        <item h="1" m="1" x="5516"/>
        <item h="1" m="1" x="2743"/>
        <item h="1" m="1" x="7694"/>
        <item h="1" m="1" x="5831"/>
        <item h="1" m="1" x="6832"/>
        <item h="1" m="1" x="7390"/>
        <item h="1" m="1" x="7803"/>
        <item h="1" m="1" x="4629"/>
        <item h="1" m="1" x="6363"/>
        <item h="1" m="1" x="3712"/>
        <item h="1" m="1" x="1267"/>
        <item h="1" m="1" x="4128"/>
        <item h="1" m="1" x="6882"/>
        <item h="1" m="1" x="7904"/>
        <item h="1" m="1" x="5460"/>
        <item h="1" m="1" x="2811"/>
        <item h="1" m="1" x="2300"/>
        <item h="1" m="1" x="1266"/>
        <item h="1" m="1" x="1137"/>
        <item h="1" m="1" x="7053"/>
        <item h="1" m="1" x="5636"/>
        <item h="1" m="1" x="603"/>
        <item h="1" m="1" x="7199"/>
        <item h="1" m="1" x="7983"/>
        <item h="1" m="1" x="6230"/>
        <item h="1" m="1" x="7958"/>
        <item h="1" m="1" x="5988"/>
        <item h="1" m="1" x="7975"/>
        <item h="1" m="1" x="4465"/>
        <item h="1" m="1" x="2075"/>
        <item h="1" m="1" x="7691"/>
        <item h="1" m="1" x="2149"/>
        <item h="1" m="1" x="7606"/>
        <item h="1" m="1" x="7804"/>
        <item h="1" m="1" x="7805"/>
        <item h="1" m="1" x="7707"/>
        <item h="1" m="1" x="7608"/>
        <item h="1" m="1" x="6941"/>
        <item h="1" m="1" x="2506"/>
        <item h="1" m="1" x="5021"/>
        <item h="1" m="1" x="7967"/>
        <item h="1" m="1" x="5417"/>
        <item h="1" m="1" x="7641"/>
        <item h="1" m="1" x="7640"/>
        <item h="1" m="1" x="6992"/>
        <item h="1" m="1" x="5854"/>
        <item h="1" m="1" x="7957"/>
        <item h="1" m="1" x="7604"/>
        <item h="1" m="1" x="7923"/>
        <item h="1" m="1" x="7998"/>
        <item h="1" m="1" x="1056"/>
        <item h="1" m="1" x="7948"/>
        <item h="1" m="1" x="7846"/>
        <item h="1" m="1" x="7809"/>
        <item h="1" m="1" x="7808"/>
        <item h="1" m="1" x="7392"/>
        <item h="1" m="1" x="6836"/>
        <item h="1" m="1" x="6834"/>
        <item h="1" m="1" x="6835"/>
        <item h="1" m="1" x="6833"/>
        <item h="1" m="1" x="5785"/>
        <item h="1" m="1" x="5786"/>
        <item h="1" m="1" x="5787"/>
        <item h="1" m="1" x="7605"/>
        <item h="1" m="1" x="7708"/>
        <item h="1" m="1" x="7501"/>
        <item h="1" m="1" x="5701"/>
        <item h="1" x="61"/>
        <item h="1" m="1" x="7714"/>
        <item h="1" x="125"/>
        <item h="1" m="1" x="4136"/>
        <item h="1" m="1" x="7692"/>
        <item h="1" m="1" x="1325"/>
        <item h="1" m="1" x="7573"/>
        <item h="1" m="1" x="5991"/>
        <item h="1" m="1" x="365"/>
        <item h="1" m="1" x="7374"/>
        <item h="1" m="1" x="3680"/>
        <item h="1" m="1" x="7404"/>
        <item h="1" m="1" x="7523"/>
        <item h="1" m="1" x="7982"/>
        <item h="1" m="1" x="5930"/>
        <item h="1" m="1" x="5927"/>
        <item h="1" m="1" x="5926"/>
        <item h="1" m="1" x="7847"/>
        <item h="1" m="1" x="7863"/>
        <item h="1" m="1" x="5813"/>
        <item h="1" m="1" x="6828"/>
        <item h="1" m="1" x="7391"/>
        <item h="1" m="1" x="6535"/>
        <item h="1" m="1" x="7744"/>
        <item h="1" m="1" x="7880"/>
        <item h="1" m="1" x="7879"/>
        <item h="1" m="1" x="7872"/>
        <item h="1" m="1" x="7882"/>
        <item h="1" m="1" x="7869"/>
        <item h="1" m="1" x="7887"/>
        <item h="1" m="1" x="7878"/>
        <item h="1" m="1" x="7870"/>
        <item h="1" m="1" x="7890"/>
        <item h="1" m="1" x="7888"/>
        <item h="1" m="1" x="7875"/>
        <item h="1" m="1" x="7871"/>
        <item h="1" m="1" x="7873"/>
        <item h="1" m="1" x="7874"/>
        <item h="1" m="1" x="7876"/>
        <item h="1" m="1" x="7889"/>
        <item h="1" m="1" x="7877"/>
        <item h="1" m="1" x="7881"/>
        <item h="1" m="1" x="7883"/>
        <item h="1" m="1" x="7884"/>
        <item h="1" m="1" x="7886"/>
        <item h="1" m="1" x="7885"/>
        <item h="1" m="1" x="7669"/>
        <item h="1" m="1" x="7894"/>
        <item h="1" m="1" x="7895"/>
        <item h="1" m="1" x="6575"/>
        <item h="1" m="1" x="7398"/>
        <item h="1" m="1" x="7397"/>
        <item h="1" m="1" x="7905"/>
        <item h="1" m="1" x="338"/>
        <item h="1" m="1" x="7409"/>
        <item h="1" m="1" x="7410"/>
        <item h="1" m="1" x="6868"/>
        <item h="1" m="1" x="7682"/>
        <item h="1" m="1" x="7930"/>
        <item h="1" x="268"/>
        <item h="1" m="1" x="7760"/>
        <item h="1" m="1" x="4069"/>
        <item h="1" m="1" x="2121"/>
        <item h="1" m="1" x="7758"/>
        <item h="1" m="1" x="7934"/>
        <item h="1" m="1" x="7052"/>
        <item h="1" m="1" x="2093"/>
        <item h="1" m="1" x="7057"/>
        <item h="1" m="1" x="4123"/>
        <item h="1" m="1" x="7457"/>
        <item h="1" m="1" x="2789"/>
        <item h="1" m="1" x="7974"/>
        <item h="1" m="1" x="7977"/>
        <item h="1" m="1" x="7981"/>
        <item h="1" m="1" x="7798"/>
        <item h="1" m="1" x="7797"/>
        <item h="1" m="1" x="7799"/>
        <item h="1" m="1" x="2302"/>
        <item h="1" m="1" x="4550"/>
        <item h="1" m="1" x="7801"/>
        <item h="1" m="1" x="4108"/>
        <item h="1" m="1" x="7813"/>
        <item h="1" m="1" x="1116"/>
        <item h="1" x="93"/>
        <item h="1" m="1" x="6221"/>
        <item h="1" m="1" x="7497"/>
        <item h="1" m="1" x="5937"/>
        <item h="1" m="1" x="1447"/>
        <item h="1" m="1" x="4478"/>
        <item h="1" m="1" x="2772"/>
        <item h="1" m="1" x="7650"/>
        <item h="1" m="1" x="7537"/>
        <item h="1" m="1" x="7859"/>
        <item h="1" m="1" x="7858"/>
        <item h="1" m="1" x="7860"/>
        <item h="1" m="1" x="7857"/>
        <item h="1" m="1" x="1875"/>
        <item h="1" m="1" x="7111"/>
        <item h="1" m="1" x="7263"/>
        <item h="1" m="1" x="7728"/>
        <item h="1" m="1" x="7729"/>
        <item h="1" m="1" x="7732"/>
        <item h="1" m="1" x="7731"/>
        <item h="1" m="1" x="7670"/>
        <item h="1" m="1" x="7891"/>
        <item h="1" m="1" x="7892"/>
        <item h="1" m="1" x="7893"/>
        <item h="1" m="1" x="5082"/>
        <item h="1" m="1" x="7671"/>
        <item h="1" m="1" x="7896"/>
        <item h="1" m="1" x="7897"/>
        <item h="1" m="1" x="6827"/>
        <item h="1" m="1" x="7898"/>
        <item h="1" m="1" x="7899"/>
        <item h="1" m="1" x="7900"/>
        <item h="1" m="1" x="7901"/>
        <item h="1" m="1" x="7677"/>
        <item h="1" m="1" x="7399"/>
        <item h="1" m="1" x="337"/>
        <item h="1" m="1" x="7907"/>
        <item h="1" m="1" x="7908"/>
        <item h="1" m="1" x="7909"/>
        <item h="1" m="1" x="7407"/>
        <item h="1" m="1" x="7408"/>
        <item h="1" m="1" x="7912"/>
        <item h="1" m="1" x="7402"/>
        <item h="1" m="1" x="5812"/>
        <item h="1" m="1" x="7043"/>
        <item h="1" m="1" x="7919"/>
        <item h="1" m="1" x="7920"/>
        <item h="1" m="1" x="7922"/>
        <item h="1" m="1" x="5525"/>
        <item h="1" m="1" x="7924"/>
        <item h="1" m="1" x="5832"/>
        <item h="1" m="1" x="5833"/>
        <item h="1" m="1" x="7755"/>
        <item h="1" m="1" x="7933"/>
        <item h="1" m="1" x="7756"/>
        <item h="1" m="1" x="7757"/>
        <item h="1" m="1" x="7936"/>
        <item h="1" m="1" x="7944"/>
        <item h="1" m="1" x="7945"/>
        <item h="1" m="1" x="7766"/>
        <item h="1" m="1" x="7767"/>
        <item h="1" m="1" x="7690"/>
        <item h="1" m="1" x="7946"/>
        <item h="1" m="1" x="7770"/>
        <item h="1" m="1" x="7769"/>
        <item h="1" m="1" x="7771"/>
        <item h="1" m="1" x="7953"/>
        <item h="1" m="1" x="7058"/>
        <item h="1" m="1" x="7956"/>
        <item h="1" m="1" x="7458"/>
        <item h="1" m="1" x="5901"/>
        <item h="1" m="1" x="7960"/>
        <item h="1" m="1" x="6232"/>
        <item h="1" m="1" x="7965"/>
        <item h="1" m="1" x="7968"/>
        <item h="1" m="1" x="7702"/>
        <item h="1" m="1" x="2165"/>
        <item h="1" m="1" x="7791"/>
        <item h="1" m="1" x="7473"/>
        <item h="1" m="1" x="7787"/>
        <item h="1" m="1" x="7788"/>
        <item h="1" x="229"/>
        <item h="1" m="1" x="7979"/>
        <item h="1" m="1" x="7980"/>
        <item h="1" m="1" x="7989"/>
        <item h="1" m="1" x="7810"/>
        <item h="1" m="1" x="7991"/>
        <item h="1" m="1" x="7710"/>
        <item h="1" m="1" x="7812"/>
        <item h="1" m="1" x="7811"/>
        <item h="1" m="1" x="7997"/>
        <item h="1" m="1" x="7802"/>
        <item h="1" m="1" x="7496"/>
        <item h="1" m="1" x="7504"/>
        <item h="1" m="1" x="7825"/>
        <item h="1" m="1" x="7832"/>
        <item h="1" m="1" x="7638"/>
        <item h="1" m="1" x="7830"/>
        <item h="1" m="1" x="7831"/>
        <item h="1" m="1" x="7833"/>
        <item h="1" m="1" x="6030"/>
        <item h="1" m="1" x="7835"/>
        <item h="1" m="1" x="6976"/>
        <item h="1" m="1" x="7836"/>
        <item h="1" m="1" x="7834"/>
        <item h="1" m="1" x="7837"/>
        <item h="1" x="74"/>
        <item h="1" m="1" x="7531"/>
        <item h="1" m="1" x="7538"/>
        <item h="1" m="1" x="7539"/>
        <item h="1" m="1" x="7856"/>
        <item h="1" m="1" x="7855"/>
        <item h="1" m="1" x="7110"/>
        <item h="1" m="1" x="6773"/>
        <item h="1" m="1" x="7864"/>
        <item h="1" m="1" x="7866"/>
        <item h="1" m="1" x="7867"/>
        <item h="1" m="1" x="7381"/>
        <item h="1" m="1" x="7382"/>
        <item h="1" m="1" x="7383"/>
        <item h="1" m="1" x="7384"/>
        <item h="1" m="1" x="7385"/>
        <item h="1" m="1" x="7733"/>
        <item h="1" m="1" x="7734"/>
        <item h="1" m="1" x="7735"/>
        <item h="1" m="1" x="7736"/>
        <item h="1" m="1" x="7737"/>
        <item h="1" m="1" x="7738"/>
        <item h="1" m="1" x="7739"/>
        <item h="1" m="1" x="6839"/>
        <item h="1" m="1" x="6201"/>
        <item h="1" m="1" x="7740"/>
        <item h="1" m="1" x="7741"/>
        <item h="1" m="1" x="6826"/>
        <item h="1" m="1" x="6841"/>
        <item h="1" m="1" x="6840"/>
        <item h="1" m="1" x="6689"/>
        <item h="1" m="1" x="6837"/>
        <item h="1" m="1" x="6829"/>
        <item h="1" m="1" x="6830"/>
        <item h="1" m="1" x="6574"/>
        <item h="1" m="1" x="7400"/>
        <item h="1" m="1" x="7401"/>
        <item h="1" m="1" x="7742"/>
        <item h="1" m="1" x="7745"/>
        <item h="1" m="1" x="7746"/>
        <item h="1" m="1" x="5520"/>
        <item h="1" m="1" x="5824"/>
        <item h="1" m="1" x="4893"/>
        <item h="1" m="1" x="7747"/>
        <item h="1" m="1" x="7425"/>
        <item h="1" m="1" x="7749"/>
        <item h="1" m="1" x="7750"/>
        <item h="1" m="1" x="7751"/>
        <item h="1" m="1" x="7752"/>
        <item h="1" m="1" x="7753"/>
        <item h="1" m="1" x="7754"/>
        <item h="1" m="1" x="7685"/>
        <item h="1" m="1" x="7688"/>
        <item h="1" m="1" x="7759"/>
        <item h="1" m="1" x="7761"/>
        <item h="1" m="1" x="7762"/>
        <item h="1" m="1" x="7763"/>
        <item h="1" m="1" x="7440"/>
        <item h="1" m="1" x="7764"/>
        <item h="1" m="1" x="7765"/>
        <item h="1" m="1" x="7774"/>
        <item h="1" m="1" x="7776"/>
        <item h="1" m="1" x="7166"/>
        <item h="1" m="1" x="6071"/>
        <item h="1" m="1" x="7777"/>
        <item h="1" m="1" x="7778"/>
        <item h="1" m="1" x="7779"/>
        <item h="1" m="1" x="7780"/>
        <item h="1" m="1" x="7782"/>
        <item h="1" m="1" x="7783"/>
        <item h="1" m="1" x="7169"/>
        <item h="1" m="1" x="7784"/>
        <item h="1" m="1" x="7466"/>
        <item h="1" m="1" x="7785"/>
        <item h="1" m="1" x="2050"/>
        <item h="1" m="1" x="7786"/>
        <item h="1" m="1" x="7704"/>
        <item h="1" m="1" x="7790"/>
        <item h="1" m="1" x="7792"/>
        <item h="1" m="1" x="7793"/>
        <item h="1" m="1" x="7795"/>
        <item h="1" m="1" x="7800"/>
        <item h="1" m="1" x="7486"/>
        <item h="1" m="1" x="7807"/>
        <item h="1" m="1" x="632"/>
        <item h="1" m="1" x="7815"/>
        <item h="1" m="1" x="7817"/>
        <item h="1" m="1" x="7818"/>
        <item h="1" m="1" x="1696"/>
        <item h="1" m="1" x="7819"/>
        <item h="1" m="1" x="7820"/>
        <item h="1" m="1" x="7821"/>
        <item h="1" m="1" x="7822"/>
        <item h="1" m="1" x="7823"/>
        <item h="1" m="1" x="7826"/>
        <item h="1" m="1" x="7827"/>
        <item h="1" m="1" x="4877"/>
        <item h="1" m="1" x="7828"/>
        <item h="1" m="1" x="7829"/>
        <item h="1" m="1" x="7838"/>
        <item h="1" m="1" x="7841"/>
        <item h="1" m="1" x="7842"/>
        <item h="1" m="1" x="4071"/>
        <item h="1" m="1" x="6656"/>
        <item h="1" m="1" x="7843"/>
        <item h="1" m="1" x="7844"/>
        <item h="1" m="1" x="7849"/>
        <item h="1" m="1" x="7850"/>
        <item h="1" m="1" x="7851"/>
        <item h="1" m="1" x="7726"/>
        <item h="1" m="1" x="7852"/>
        <item h="1" m="1" x="7853"/>
        <item h="1" m="1" x="7854"/>
        <item h="1" m="1" x="7010"/>
        <item h="1" m="1" x="7861"/>
        <item h="1" m="1" x="7865"/>
        <item h="1" m="1" x="7868"/>
        <item h="1" m="1" x="7665"/>
        <item h="1" m="1" x="7666"/>
        <item h="1" m="1" x="7553"/>
        <item h="1" x="221"/>
        <item h="1" m="1" x="7668"/>
        <item h="1" m="1" x="7122"/>
        <item h="1" m="1" x="7121"/>
        <item h="1" m="1" x="6842"/>
        <item h="1" m="1" x="7672"/>
        <item h="1" m="1" x="6843"/>
        <item h="1" m="1" x="7673"/>
        <item h="1" m="1" x="1872"/>
        <item h="1" m="1" x="7674"/>
        <item h="1" m="1" x="7675"/>
        <item h="1" m="1" x="1858"/>
        <item h="1" m="1" x="7676"/>
        <item h="1" m="1" x="7129"/>
        <item h="1" m="1" x="7130"/>
        <item h="1" m="1" x="7563"/>
        <item h="1" m="1" x="7396"/>
        <item h="1" m="1" x="7405"/>
        <item h="1" m="1" x="7564"/>
        <item h="1" m="1" x="7285"/>
        <item h="1" m="1" x="7680"/>
        <item h="1" m="1" x="7280"/>
        <item h="1" m="1" x="7681"/>
        <item h="1" m="1" x="5823"/>
        <item h="1" m="1" x="7570"/>
        <item h="1" m="1" x="4371"/>
        <item h="1" m="1" x="7291"/>
        <item h="1" m="1" x="7578"/>
        <item h="1" m="1" x="7577"/>
        <item h="1" m="1" x="6570"/>
        <item h="1" m="1" x="7686"/>
        <item h="1" m="1" x="7590"/>
        <item h="1" m="1" x="7687"/>
        <item h="1" m="1" x="7581"/>
        <item h="1" m="1" x="7589"/>
        <item h="1" m="1" x="7579"/>
        <item h="1" m="1" x="7580"/>
        <item h="1" m="1" x="7689"/>
        <item h="1" m="1" x="6591"/>
        <item h="1" m="1" x="7441"/>
        <item h="1" m="1" x="7442"/>
        <item h="1" m="1" x="5857"/>
        <item h="1" m="1" x="7695"/>
        <item h="1" m="1" x="7149"/>
        <item h="1" m="1" x="5882"/>
        <item h="1" m="1" x="7599"/>
        <item h="1" m="1" x="7698"/>
        <item h="1" m="1" x="5889"/>
        <item h="1" m="1" x="7699"/>
        <item h="1" m="1" x="7472"/>
        <item h="1" m="1" x="5676"/>
        <item h="1" m="1" x="7700"/>
        <item h="1" m="1" x="7461"/>
        <item h="1" m="1" x="5902"/>
        <item h="1" m="1" x="7168"/>
        <item h="1" m="1" x="6611"/>
        <item h="1" m="1" x="6612"/>
        <item h="1" m="1" x="7701"/>
        <item h="1" m="1" x="7464"/>
        <item h="1" m="1" x="7607"/>
        <item h="1" m="1" x="7703"/>
        <item h="1" m="1" x="5921"/>
        <item h="1" m="1" x="7479"/>
        <item h="1" m="1" x="806"/>
        <item h="1" m="1" x="7492"/>
        <item h="1" m="1" x="7485"/>
        <item h="1" m="1" x="7616"/>
        <item h="1" m="1" x="7706"/>
        <item h="1" m="1" x="4855"/>
        <item h="1" m="1" x="7617"/>
        <item h="1" m="1" x="7618"/>
        <item h="1" m="1" x="7620"/>
        <item h="1" m="1" x="7494"/>
        <item h="1" m="1" x="7179"/>
        <item h="1" m="1" x="6521"/>
        <item h="1" m="1" x="6522"/>
        <item h="1" m="1" x="7498"/>
        <item h="1" m="1" x="7503"/>
        <item h="1" m="1" x="7712"/>
        <item h="1" m="1" x="7625"/>
        <item h="1" m="1" x="5936"/>
        <item h="1" m="1" x="7505"/>
        <item h="1" m="1" x="7517"/>
        <item h="1" m="1" x="6638"/>
        <item h="1" m="1" x="7629"/>
        <item h="1" m="1" x="7518"/>
        <item h="1" m="1" x="7716"/>
        <item h="1" m="1" x="7718"/>
        <item h="1" m="1" x="7637"/>
        <item h="1" m="1" x="7632"/>
        <item h="1" m="1" x="7719"/>
        <item h="1" m="1" x="7200"/>
        <item h="1" m="1" x="7721"/>
        <item h="1" m="1" x="3857"/>
        <item h="1" m="1" x="6981"/>
        <item h="1" m="1" x="6982"/>
        <item h="1" m="1" x="7723"/>
        <item h="1" m="1" x="7644"/>
        <item h="1" m="1" x="7724"/>
        <item h="1" m="1" x="7725"/>
        <item h="1" m="1" x="7645"/>
        <item h="1" m="1" x="7530"/>
        <item h="1" m="1" x="7107"/>
        <item h="1" m="1" x="7655"/>
        <item h="1" m="1" x="6395"/>
        <item h="1" m="1" x="6007"/>
        <item h="1" m="1" x="7259"/>
        <item h="1" m="1" x="7258"/>
        <item h="1" m="1" x="7662"/>
        <item h="1" m="1" x="7727"/>
        <item h="1" x="122"/>
        <item h="1" m="1" x="7664"/>
        <item h="1" m="1" x="7551"/>
        <item h="1" m="1" x="7730"/>
        <item h="1" m="1" x="7386"/>
        <item h="1" m="1" x="7554"/>
        <item h="1" m="1" x="7387"/>
        <item h="1" m="1" x="7556"/>
        <item h="1" m="1" x="7557"/>
        <item h="1" m="1" x="6811"/>
        <item h="1" m="1" x="6847"/>
        <item h="1" m="1" x="6413"/>
        <item h="1" m="1" x="6577"/>
        <item h="1" m="1" x="6852"/>
        <item h="1" m="1" x="6414"/>
        <item h="1" m="1" x="6566"/>
        <item h="1" m="1" x="7558"/>
        <item h="1" m="1" x="7559"/>
        <item h="1" m="1" x="7560"/>
        <item h="1" m="1" x="6807"/>
        <item h="1" m="1" x="6564"/>
        <item h="1" m="1" x="6806"/>
        <item h="1" m="1" x="6565"/>
        <item h="1" m="1" x="6848"/>
        <item h="1" m="1" x="6578"/>
        <item h="1" m="1" x="6417"/>
        <item h="1" m="1" x="7562"/>
        <item h="1" m="1" x="3918"/>
        <item h="1" m="1" x="5203"/>
        <item h="1" m="1" x="6215"/>
        <item h="1" m="1" x="7411"/>
        <item h="1" m="1" x="7566"/>
        <item h="1" m="1" x="7421"/>
        <item h="1" m="1" x="3469"/>
        <item h="1" m="1" x="7567"/>
        <item h="1" m="1" x="7422"/>
        <item h="1" m="1" x="7568"/>
        <item h="1" m="1" x="7574"/>
        <item h="1" m="1" x="7582"/>
        <item h="1" m="1" x="7583"/>
        <item h="1" m="1" x="7584"/>
        <item h="1" m="1" x="7585"/>
        <item h="1" m="1" x="7586"/>
        <item h="1" m="1" x="7588"/>
        <item h="1" m="1" x="7433"/>
        <item h="1" m="1" x="7296"/>
        <item h="1" m="1" x="7297"/>
        <item h="1" m="1" x="7444"/>
        <item h="1" m="1" x="7591"/>
        <item h="1" m="1" x="7592"/>
        <item h="1" m="1" x="7300"/>
        <item h="1" m="1" x="7143"/>
        <item h="1" m="1" x="5029"/>
        <item h="1" m="1" x="6314"/>
        <item h="1" m="1" x="5672"/>
        <item h="1" m="1" x="7596"/>
        <item h="1" m="1" x="7148"/>
        <item h="1" m="1" x="6594"/>
        <item h="1" m="1" x="7597"/>
        <item h="1" m="1" x="7598"/>
        <item h="1" m="1" x="7453"/>
        <item h="1" m="1" x="6607"/>
        <item h="1" m="1" x="5146"/>
        <item h="1" m="1" x="7603"/>
        <item h="1" m="1" x="5423"/>
        <item h="1" m="1" x="6609"/>
        <item h="1" m="1" x="6610"/>
        <item h="1" m="1" x="7462"/>
        <item h="1" m="1" x="5898"/>
        <item h="1" m="1" x="6733"/>
        <item h="1" m="1" x="7314"/>
        <item h="1" m="1" x="7610"/>
        <item h="1" m="1" x="7172"/>
        <item h="1" m="1" x="7469"/>
        <item h="1" m="1" x="7470"/>
        <item h="1" m="1" x="7612"/>
        <item h="1" m="1" x="7613"/>
        <item h="1" m="1" x="7483"/>
        <item h="1" m="1" x="7484"/>
        <item h="1" m="1" x="7325"/>
        <item h="1" m="1" x="6622"/>
        <item h="1" m="1" x="7615"/>
        <item h="1" m="1" x="7487"/>
        <item h="1" m="1" x="7619"/>
        <item h="1" m="1" x="7621"/>
        <item h="1" m="1" x="7622"/>
        <item h="1" m="1" x="7495"/>
        <item h="1" m="1" x="7502"/>
        <item h="1" m="1" x="6633"/>
        <item h="1" m="1" x="7507"/>
        <item h="1" m="1" x="7511"/>
        <item h="1" m="1" x="7630"/>
        <item h="1" m="1" x="7520"/>
        <item h="1" m="1" x="7194"/>
        <item h="1" m="1" x="7339"/>
        <item h="1" m="1" x="7631"/>
        <item h="1" m="1" x="6974"/>
        <item h="1" m="1" x="7633"/>
        <item h="1" m="1" x="7634"/>
        <item h="1" m="1" x="7635"/>
        <item h="1" m="1" x="7636"/>
        <item h="1" m="1" x="5642"/>
        <item h="1" m="1" x="7347"/>
        <item h="1" m="1" x="7639"/>
        <item h="1" m="1" x="7353"/>
        <item h="1" m="1" x="7352"/>
        <item h="1" m="1" x="7642"/>
        <item h="1" m="1" x="7643"/>
        <item h="1" m="1" x="7360"/>
        <item h="1" m="1" x="7647"/>
        <item h="1" m="1" x="6999"/>
        <item h="1" m="1" x="7000"/>
        <item h="1" m="1" x="4002"/>
        <item h="1" m="1" x="7535"/>
        <item h="1" m="1" x="7652"/>
        <item h="1" m="1" x="7653"/>
        <item h="1" m="1" x="7654"/>
        <item h="1" m="1" x="7656"/>
        <item h="1" m="1" x="7657"/>
        <item h="1" m="1" x="6548"/>
        <item h="1" m="1" x="7658"/>
        <item h="1" m="1" x="7012"/>
        <item h="1" m="1" x="5422"/>
        <item h="1" m="1" x="7660"/>
        <item h="1" m="1" x="7661"/>
        <item h="1" m="1" x="6776"/>
        <item h="1" m="1" x="7663"/>
        <item h="1" m="1" x="5421"/>
        <item h="1" m="1" x="7549"/>
        <item h="1" m="1" x="7548"/>
        <item h="1" m="1" x="7117"/>
        <item h="1" m="1" x="7114"/>
        <item h="1" m="1" x="1517"/>
        <item h="1" m="1" x="7115"/>
        <item h="1" m="1" x="7116"/>
        <item h="1" m="1" x="7388"/>
        <item h="1" m="1" x="7270"/>
        <item h="1" m="1" x="6415"/>
        <item h="1" m="1" x="6844"/>
        <item h="1" m="1" x="6845"/>
        <item h="1" m="1" x="6683"/>
        <item h="1" m="1" x="6470"/>
        <item h="1" m="1" x="6846"/>
        <item h="1" m="1" x="6684"/>
        <item h="1" m="1" x="6685"/>
        <item h="1" m="1" x="6416"/>
        <item h="1" m="1" x="6567"/>
        <item h="1" m="1" x="6849"/>
        <item h="1" m="1" x="6418"/>
        <item h="1" m="1" x="6851"/>
        <item h="1" m="1" x="6580"/>
        <item h="1" m="1" x="6850"/>
        <item h="1" m="1" x="6409"/>
        <item h="1" m="1" x="7389"/>
        <item h="1" m="1" x="6682"/>
        <item h="1" m="1" x="7393"/>
        <item h="1" m="1" x="7394"/>
        <item h="1" m="1" x="2442"/>
        <item h="1" m="1" x="7412"/>
        <item h="1" m="1" x="7413"/>
        <item h="1" m="1" x="7414"/>
        <item h="1" m="1" x="7415"/>
        <item h="1" m="1" x="7416"/>
        <item h="1" m="1" x="7417"/>
        <item h="1" m="1" x="6585"/>
        <item h="1" m="1" x="7418"/>
        <item h="1" m="1" x="7419"/>
        <item h="1" m="1" x="7420"/>
        <item h="1" m="1" x="5144"/>
        <item h="1" m="1" x="5153"/>
        <item h="1" m="1" x="7424"/>
        <item h="1" m="1" x="7133"/>
        <item h="1" m="1" x="7132"/>
        <item h="1" m="1" x="7131"/>
        <item h="1" m="1" x="6488"/>
        <item h="1" m="1" x="7427"/>
        <item h="1" m="1" x="7428"/>
        <item h="1" m="1" x="7292"/>
        <item h="1" m="1" x="7429"/>
        <item h="1" m="1" x="7430"/>
        <item h="1" m="1" x="7431"/>
        <item h="1" m="1" x="7293"/>
        <item h="1" m="1" x="7432"/>
        <item h="1" m="1" x="7434"/>
        <item h="1" m="1" x="7435"/>
        <item h="1" m="1" x="6486"/>
        <item h="1" m="1" x="7436"/>
        <item h="1" m="1" x="7289"/>
        <item h="1" m="1" x="7290"/>
        <item h="1" m="1" x="7437"/>
        <item h="1" m="1" x="7438"/>
        <item h="1" m="1" x="7439"/>
        <item h="1" m="1" x="7443"/>
        <item h="1" m="1" x="7446"/>
        <item h="1" m="1" x="7447"/>
        <item h="1" m="1" x="7304"/>
        <item h="1" m="1" x="5174"/>
        <item h="1" m="1" x="7448"/>
        <item h="1" m="1" x="7449"/>
        <item h="1" m="1" x="7450"/>
        <item h="1" m="1" x="7162"/>
        <item h="1" m="1" x="7159"/>
        <item h="1" m="1" x="7160"/>
        <item h="1" m="1" x="6900"/>
        <item h="1" m="1" x="7161"/>
        <item h="1" m="1" x="7164"/>
        <item h="1" m="1" x="7165"/>
        <item h="1" m="1" x="7158"/>
        <item h="1" m="1" x="7451"/>
        <item h="1" m="1" x="7452"/>
        <item h="1" m="1" x="7454"/>
        <item h="1" m="1" x="7455"/>
        <item h="1" m="1" x="7456"/>
        <item h="1" m="1" x="7459"/>
        <item h="1" m="1" x="7460"/>
        <item h="1" m="1" x="5420"/>
        <item h="1" m="1" x="7463"/>
        <item h="1" m="1" x="7307"/>
        <item h="1" m="1" x="7465"/>
        <item h="1" m="1" x="7467"/>
        <item h="1" m="1" x="7173"/>
        <item h="1" m="1" x="6735"/>
        <item h="1" m="1" x="7316"/>
        <item h="1" m="1" x="7317"/>
        <item h="1" m="1" x="7471"/>
        <item h="1" m="1" x="5539"/>
        <item h="1" m="1" x="7474"/>
        <item h="1" m="1" x="299"/>
        <item h="1" m="1" x="7476"/>
        <item h="1" m="1" x="7477"/>
        <item h="1" m="1" x="7480"/>
        <item h="1" m="1" x="7481"/>
        <item h="1" m="1" x="7482"/>
        <item h="1" m="1" x="6631"/>
        <item h="1" m="1" x="5143"/>
        <item h="1" m="1" x="5142"/>
        <item h="1" m="1" x="7067"/>
        <item h="1" m="1" x="7489"/>
        <item h="1" m="1" x="7490"/>
        <item h="1" m="1" x="7491"/>
        <item h="1" m="1" x="7493"/>
        <item h="1" m="1" x="7326"/>
        <item h="1" m="1" x="7499"/>
        <item h="1" m="1" x="7500"/>
        <item h="1" m="1" x="5555"/>
        <item h="1" m="1" x="7335"/>
        <item h="1" m="1" x="7333"/>
        <item h="1" m="1" x="7334"/>
        <item h="1" m="1" x="1733"/>
        <item h="1" m="1" x="4850"/>
        <item h="1" m="1" x="5155"/>
        <item h="1" m="1" x="7508"/>
        <item h="1" m="1" x="7509"/>
        <item h="1" m="1" x="7510"/>
        <item h="1" m="1" x="5538"/>
        <item h="1" m="1" x="7512"/>
        <item h="1" m="1" x="7513"/>
        <item h="1" m="1" x="7514"/>
        <item h="1" m="1" x="7515"/>
        <item h="1" m="1" x="7516"/>
        <item h="1" m="1" x="7081"/>
        <item h="1" m="1" x="7338"/>
        <item h="1" m="1" x="7519"/>
        <item h="1" m="1" x="6761"/>
        <item h="1" m="1" x="5705"/>
        <item h="1" m="1" x="7525"/>
        <item h="1" m="1" x="7243"/>
        <item h="1" m="1" x="7244"/>
        <item h="1" m="1" x="7245"/>
        <item h="1" m="1" x="7246"/>
        <item h="1" m="1" x="7247"/>
        <item h="1" m="1" x="7227"/>
        <item h="1" m="1" x="7248"/>
        <item h="1" m="1" x="7208"/>
        <item h="1" m="1" x="7209"/>
        <item h="1" m="1" x="2555"/>
        <item h="1" m="1" x="7221"/>
        <item h="1" m="1" x="7155"/>
        <item h="1" m="1" x="7222"/>
        <item h="1" m="1" x="7089"/>
        <item h="1" m="1" x="7223"/>
        <item h="1" m="1" x="7224"/>
        <item h="1" m="1" x="7225"/>
        <item h="1" m="1" x="7226"/>
        <item h="1" m="1" x="7526"/>
        <item h="1" m="1" x="6994"/>
        <item h="1" m="1" x="6665"/>
        <item h="1" m="1" x="7228"/>
        <item h="1" m="1" x="7229"/>
        <item h="1" m="1" x="7236"/>
        <item h="1" m="1" x="7210"/>
        <item h="1" m="1" x="7233"/>
        <item h="1" m="1" x="7234"/>
        <item h="1" m="1" x="7094"/>
        <item h="1" m="1" x="7207"/>
        <item h="1" m="1" x="5975"/>
        <item h="1" m="1" x="7527"/>
        <item h="1" m="1" x="7528"/>
        <item h="1" m="1" x="7529"/>
        <item h="1" m="1" x="7358"/>
        <item h="1" m="1" x="7257"/>
        <item h="1" m="1" x="4236"/>
        <item h="1" m="1" x="7540"/>
        <item h="1" m="1" x="7541"/>
        <item h="1" m="1" x="6271"/>
        <item h="1" m="1" x="6008"/>
        <item h="1" m="1" x="7542"/>
        <item h="1" m="1" x="7543"/>
        <item h="1" m="1" x="7544"/>
        <item h="1" m="1" x="7545"/>
        <item h="1" m="1" x="7546"/>
        <item h="1" m="1" x="7547"/>
        <item h="1" m="1" x="6014"/>
        <item h="1" m="1" x="7550"/>
        <item h="1" m="1" x="7267"/>
        <item h="1" m="1" x="7380"/>
        <item h="1" m="1" x="7118"/>
        <item h="1" m="1" x="6193"/>
        <item h="1" m="1" x="7268"/>
        <item h="1" m="1" x="7269"/>
        <item h="1" m="1" x="7271"/>
        <item h="1" m="1" x="7272"/>
        <item h="1" m="1" x="7273"/>
        <item h="1" m="1" x="7274"/>
        <item h="1" m="1" x="4218"/>
        <item h="1" m="1" x="6809"/>
        <item h="1" m="1" x="6812"/>
        <item h="1" m="1" x="6813"/>
        <item h="1" m="1" x="6686"/>
        <item h="1" m="1" x="6687"/>
        <item h="1" m="1" x="6571"/>
        <item h="1" m="1" x="6814"/>
        <item h="1" m="1" x="6408"/>
        <item h="1" m="1" x="6688"/>
        <item h="1" m="1" x="6815"/>
        <item h="1" m="1" x="6810"/>
        <item h="1" m="1" x="6569"/>
        <item h="1" m="1" x="6798"/>
        <item h="1" m="1" x="6799"/>
        <item h="1" m="1" x="6407"/>
        <item h="1" m="1" x="6800"/>
        <item h="1" m="1" x="6801"/>
        <item h="1" m="1" x="6802"/>
        <item h="1" m="1" x="6803"/>
        <item h="1" m="1" x="6804"/>
        <item h="1" m="1" x="6805"/>
        <item h="1" m="1" x="7275"/>
        <item h="1" m="1" x="7276"/>
        <item h="1" m="1" x="7124"/>
        <item h="1" m="1" x="1770"/>
        <item h="1" m="1" x="7277"/>
        <item h="1" m="1" x="6047"/>
        <item h="1" m="1" x="5795"/>
        <item h="1" m="1" x="7278"/>
        <item h="1" m="1" x="7279"/>
        <item h="1" m="1" x="7281"/>
        <item h="1" m="1" x="7282"/>
        <item h="1" m="1" x="7283"/>
        <item h="1" m="1" x="7284"/>
        <item h="1" m="1" x="6055"/>
        <item h="1" m="1" x="6428"/>
        <item h="1" m="1" x="6429"/>
        <item h="1" m="1" x="6430"/>
        <item h="1" m="1" x="6431"/>
        <item h="1" m="1" x="7286"/>
        <item h="1" m="1" x="7287"/>
        <item h="1" m="1" x="7288"/>
        <item h="1" m="1" x="7294"/>
        <item h="1" m="1" x="7295"/>
        <item h="1" m="1" x="5855"/>
        <item h="1" m="1" x="6881"/>
        <item h="1" m="1" x="5419"/>
        <item h="1" m="1" x="7298"/>
        <item h="1" m="1" x="7301"/>
        <item h="1" m="1" x="6553"/>
        <item h="1" m="1" x="7302"/>
        <item h="1" m="1" x="7147"/>
        <item h="1" m="1" x="7156"/>
        <item h="1" m="1" x="7157"/>
        <item h="1" m="1" x="6905"/>
        <item h="1" m="1" x="7305"/>
        <item h="1" m="1" x="5891"/>
        <item h="1" m="1" x="5892"/>
        <item h="1" m="1" x="5893"/>
        <item h="1" m="1" x="5894"/>
        <item h="1" m="1" x="7061"/>
        <item h="1" m="1" x="5424"/>
        <item h="1" m="1" x="7306"/>
        <item h="1" m="1" x="7308"/>
        <item h="1" m="1" x="7309"/>
        <item h="1" m="1" x="602"/>
        <item h="1" m="1" x="7310"/>
        <item h="1" m="1" x="7313"/>
        <item h="1" m="1" x="7315"/>
        <item h="1" m="1" x="6928"/>
        <item h="1" m="1" x="7318"/>
        <item h="1" m="1" x="7319"/>
        <item h="1" m="1" x="7320"/>
        <item h="1" m="1" x="1518"/>
        <item h="1" m="1" x="7321"/>
        <item h="1" m="1" x="7322"/>
        <item h="1" m="1" x="7324"/>
        <item h="1" m="1" x="5540"/>
        <item h="1" m="1" x="7329"/>
        <item h="1" m="1" x="7330"/>
        <item h="1" m="1" x="6751"/>
        <item h="1" m="1" x="7331"/>
        <item h="1" m="1" x="664"/>
        <item h="1" m="1" x="7332"/>
        <item h="1" m="1" x="7336"/>
        <item h="1" m="1" x="7337"/>
        <item h="1" m="1" x="5546"/>
        <item h="1" m="1" x="7082"/>
        <item h="1" m="1" x="7083"/>
        <item h="1" m="1" x="7340"/>
        <item h="1" m="1" x="7341"/>
        <item h="1" m="1" x="7342"/>
        <item h="1" m="1" x="7192"/>
        <item h="1" m="1" x="7193"/>
        <item h="1" m="1" x="7343"/>
        <item h="1" m="1" x="7344"/>
        <item h="1" m="1" x="6533"/>
        <item h="1" m="1" x="7195"/>
        <item h="1" m="1" x="5109"/>
        <item h="1" m="1" x="7196"/>
        <item h="1" m="1" x="7346"/>
        <item h="1" m="1" x="7203"/>
        <item h="1" m="1" x="7202"/>
        <item h="1" m="1" x="7348"/>
        <item h="1" m="1" x="7205"/>
        <item h="1" m="1" x="7349"/>
        <item h="1" m="1" x="7350"/>
        <item h="1" m="1" x="4879"/>
        <item h="1" m="1" x="7150"/>
        <item h="1" m="1" x="7237"/>
        <item h="1" m="1" x="7238"/>
        <item h="1" m="1" x="7239"/>
        <item h="1" m="1" x="7240"/>
        <item h="1" m="1" x="7241"/>
        <item h="1" m="1" x="7242"/>
        <item h="1" m="1" x="7255"/>
        <item h="1" m="1" x="7214"/>
        <item h="1" m="1" x="7253"/>
        <item h="1" m="1" x="7254"/>
        <item h="1" m="1" x="7351"/>
        <item h="1" m="1" x="7354"/>
        <item h="1" m="1" x="7356"/>
        <item h="1" m="1" x="7357"/>
        <item h="1" m="1" x="7361"/>
        <item h="1" x="40"/>
        <item h="1" m="1" x="7362"/>
        <item h="1" m="1" x="7364"/>
        <item h="1" m="1" x="7365"/>
        <item h="1" m="1" x="7366"/>
        <item h="1" m="1" x="7367"/>
        <item h="1" m="1" x="6275"/>
        <item h="1" m="1" x="6012"/>
        <item h="1" m="1" x="7368"/>
        <item h="1" m="1" x="7369"/>
        <item h="1" m="1" x="7370"/>
        <item h="1" m="1" x="7371"/>
        <item h="1" m="1" x="7372"/>
        <item h="1" m="1" x="7373"/>
        <item h="1" m="1" x="7375"/>
        <item h="1" m="1" x="7376"/>
        <item h="1" m="1" x="7377"/>
        <item h="1" m="1" x="7378"/>
        <item h="1" m="1" x="7379"/>
        <item h="1" m="1" x="7266"/>
        <item h="1" m="1" x="6036"/>
        <item h="1" m="1" x="6783"/>
        <item h="1" m="1" x="6784"/>
        <item h="1" m="1" x="3607"/>
        <item h="1" m="1" x="7119"/>
        <item h="1" m="1" x="6673"/>
        <item h="1" m="1" x="3979"/>
        <item h="1" m="1" x="7123"/>
        <item h="1" m="1" x="6820"/>
        <item h="1" m="1" x="6821"/>
        <item h="1" m="1" x="6573"/>
        <item h="1" m="1" x="6572"/>
        <item h="1" m="1" x="6204"/>
        <item h="1" m="1" x="6693"/>
        <item h="1" m="1" x="6791"/>
        <item h="1" m="1" x="6411"/>
        <item h="1" m="1" x="6792"/>
        <item h="1" m="1" x="5784"/>
        <item h="1" m="1" x="4433"/>
        <item h="1" m="1" x="7125"/>
        <item h="1" m="1" x="7126"/>
        <item h="1" m="1" x="7127"/>
        <item h="1" m="1" x="3961"/>
        <item h="1" m="1" x="5765"/>
        <item h="1" m="1" x="7128"/>
        <item h="1" m="1" x="5650"/>
        <item h="1" m="1" x="6856"/>
        <item h="1" m="1" x="5798"/>
        <item h="1" m="1" x="6857"/>
        <item h="1" m="1" x="5814"/>
        <item h="1" m="1" x="6859"/>
        <item h="1" m="1" x="6867"/>
        <item h="1" m="1" x="6866"/>
        <item h="1" m="1" x="6865"/>
        <item h="1" m="1" x="7134"/>
        <item h="1" m="1" x="7049"/>
        <item h="1" m="1" x="6708"/>
        <item h="1" m="1" x="7050"/>
        <item h="1" m="1" x="7135"/>
        <item h="1" m="1" x="6876"/>
        <item h="1" m="1" x="6877"/>
        <item h="1" m="1" x="7136"/>
        <item h="1" m="1" x="7137"/>
        <item h="1" m="1" x="7138"/>
        <item h="1" m="1" x="5850"/>
        <item h="1" m="1" x="7139"/>
        <item h="1" m="1" x="7140"/>
        <item h="1" m="1" x="7141"/>
        <item h="1" m="1" x="6898"/>
        <item h="1" m="1" x="6892"/>
        <item h="1" m="1" x="6893"/>
        <item h="1" m="1" x="6891"/>
        <item h="1" m="1" x="6888"/>
        <item h="1" m="1" x="6889"/>
        <item h="1" m="1" x="6890"/>
        <item h="1" m="1" x="7145"/>
        <item h="1" m="1" x="7146"/>
        <item h="1" m="1" x="7151"/>
        <item h="1" m="1" x="7090"/>
        <item h="1" m="1" x="7153"/>
        <item h="1" m="1" x="6904"/>
        <item h="1" m="1" x="5887"/>
        <item h="1" m="1" x="6912"/>
        <item h="1" m="1" x="6919"/>
        <item h="1" m="1" x="6324"/>
        <item h="1" m="1" x="6913"/>
        <item h="1" m="1" x="6914"/>
        <item h="1" m="1" x="5896"/>
        <item h="1" m="1" x="7167"/>
        <item h="1" m="1" x="6448"/>
        <item h="1" m="1" x="7060"/>
        <item h="1" m="1" x="7170"/>
        <item h="1" m="1" x="7171"/>
        <item h="1" m="1" x="6927"/>
        <item h="1" m="1" x="6509"/>
        <item h="1" m="1" x="7062"/>
        <item h="1" m="1" x="7063"/>
        <item h="1" m="1" x="7174"/>
        <item h="1" m="1" x="6625"/>
        <item h="1" m="1" x="7070"/>
        <item h="1" m="1" x="7065"/>
        <item h="1" m="1" x="5157"/>
        <item h="1" m="1" x="5158"/>
        <item h="1" m="1" x="7064"/>
        <item h="1" m="1" x="7066"/>
        <item h="1" m="1" x="5156"/>
        <item h="1" m="1" x="6752"/>
        <item h="1" m="1" x="7175"/>
        <item h="1" m="1" x="7176"/>
        <item h="1" m="1" x="5537"/>
        <item h="1" m="1" x="5934"/>
        <item h="1" m="1" x="7178"/>
        <item h="1" m="1" x="7180"/>
        <item h="1" m="1" x="7181"/>
        <item h="1" m="1" x="7182"/>
        <item h="1" m="1" x="5172"/>
        <item h="1" m="1" x="7183"/>
        <item h="1" m="1" x="7184"/>
        <item h="1" m="1" x="5161"/>
        <item h="1" m="1" x="7185"/>
        <item h="1" m="1" x="7186"/>
        <item h="1" m="1" x="7187"/>
        <item h="1" m="1" x="7188"/>
        <item h="1" m="1" x="5556"/>
        <item h="1" m="1" x="7074"/>
        <item h="1" m="1" x="4822"/>
        <item h="1" m="1" x="7189"/>
        <item h="1" m="1" x="7076"/>
        <item h="1" m="1" x="7073"/>
        <item h="1" m="1" x="6364"/>
        <item h="1" m="1" x="6959"/>
        <item h="1" m="1" x="6961"/>
        <item h="1" m="1" x="6960"/>
        <item h="1" m="1" x="7190"/>
        <item h="1" m="1" x="7084"/>
        <item h="1" m="1" x="7191"/>
        <item h="1" m="1" x="5973"/>
        <item h="1" m="1" x="7197"/>
        <item h="1" m="1" x="7198"/>
        <item h="1" m="1" x="6980"/>
        <item h="1" m="1" x="6979"/>
        <item h="1" m="1" x="7086"/>
        <item h="1" m="1" x="5717"/>
        <item h="1" m="1" x="7087"/>
        <item h="1" m="1" x="7204"/>
        <item h="1" m="1" x="7206"/>
        <item h="1" m="1" x="7211"/>
        <item h="1" m="1" x="7213"/>
        <item h="1" m="1" x="7102"/>
        <item h="1" m="1" x="7215"/>
        <item h="1" m="1" x="7216"/>
        <item h="1" m="1" x="7217"/>
        <item h="1" m="1" x="7218"/>
        <item h="1" m="1" x="7219"/>
        <item h="1" m="1" x="7220"/>
        <item h="1" m="1" x="7250"/>
        <item h="1" m="1" x="7251"/>
        <item h="1" m="1" x="6988"/>
        <item h="1" m="1" x="6989"/>
        <item h="1" m="1" x="7252"/>
        <item h="1" m="1" x="7256"/>
        <item h="1" m="1" x="2140"/>
        <item h="1" m="1" x="6997"/>
        <item h="1" m="1" x="734"/>
        <item h="1" m="1" x="4977"/>
        <item h="1" m="1" x="7008"/>
        <item h="1" m="1" x="7009"/>
        <item h="1" m="1" x="7013"/>
        <item h="1" m="1" x="7014"/>
        <item h="1" m="1" x="7025"/>
        <item h="1" m="1" x="7026"/>
        <item h="1" m="1" x="7261"/>
        <item h="1" m="1" x="7262"/>
        <item h="1" m="1" x="7264"/>
        <item h="1" m="1" x="5342"/>
        <item h="1" m="1" x="7030"/>
        <item h="1" m="1" x="7031"/>
        <item h="1" m="1" x="6679"/>
        <item h="1" m="1" x="7032"/>
        <item h="1" m="1" x="7033"/>
        <item h="1" m="1" x="7034"/>
        <item h="1" m="1" x="7035"/>
        <item h="1" m="1" x="7036"/>
        <item h="1" m="1" x="5429"/>
        <item h="1" m="1" x="6818"/>
        <item h="1" m="1" x="5430"/>
        <item h="1" m="1" x="6819"/>
        <item h="1" m="1" x="5428"/>
        <item h="1" m="1" x="6043"/>
        <item h="1" m="1" x="6562"/>
        <item h="1" m="1" x="6563"/>
        <item h="1" m="1" x="6822"/>
        <item h="1" m="1" x="6410"/>
        <item h="1" m="1" x="6823"/>
        <item h="1" m="1" x="6824"/>
        <item h="1" m="1" x="6825"/>
        <item h="1" m="1" x="7037"/>
        <item h="1" m="1" x="7038"/>
        <item h="1" m="1" x="7039"/>
        <item h="1" m="1" x="7040"/>
        <item h="1" m="1" x="7041"/>
        <item h="1" m="1" x="6794"/>
        <item h="1" m="1" x="6795"/>
        <item h="1" m="1" x="6853"/>
        <item h="1" m="1" x="6854"/>
        <item h="1" m="1" x="6855"/>
        <item h="1" m="1" x="6207"/>
        <item h="1" m="1" x="6698"/>
        <item h="1" m="1" x="6860"/>
        <item h="1" m="1" x="5551"/>
        <item h="1" m="1" x="6584"/>
        <item h="1" m="1" x="7044"/>
        <item h="1" m="1" x="6587"/>
        <item h="1" m="1" x="7045"/>
        <item h="1" m="1" x="5170"/>
        <item h="1" m="1" x="1967"/>
        <item h="1" m="1" x="6870"/>
        <item h="1" m="1" x="4437"/>
        <item h="1" m="1" x="4933"/>
        <item h="1" m="1" x="7048"/>
        <item h="1" m="1" x="7051"/>
        <item h="1" m="1" x="5843"/>
        <item h="1" m="1" x="4911"/>
        <item h="1" m="1" x="6880"/>
        <item h="1" m="1" x="5182"/>
        <item h="1" m="1" x="5168"/>
        <item h="1" m="1" x="6887"/>
        <item h="1" m="1" x="5542"/>
        <item h="1" m="1" x="6899"/>
        <item h="1" m="1" x="5204"/>
        <item h="1" m="1" x="5870"/>
        <item h="1" m="1" x="7054"/>
        <item h="1" m="1" x="6730"/>
        <item h="1" m="1" x="7055"/>
        <item h="1" m="1" x="7056"/>
        <item h="1" m="1" x="6909"/>
        <item h="1" m="1" x="7059"/>
        <item h="1" m="1" x="6915"/>
        <item h="1" m="1" x="3360"/>
        <item h="1" m="1" x="6916"/>
        <item h="1" m="1" x="6917"/>
        <item h="1" m="1" x="6918"/>
        <item h="1" m="1" x="5895"/>
        <item h="1" m="1" x="6923"/>
        <item h="1" m="1" x="6736"/>
        <item h="1" m="1" x="6738"/>
        <item h="1" m="1" x="5541"/>
        <item h="1" m="1" x="5167"/>
        <item h="1" m="1" x="7068"/>
        <item h="1" m="1" x="5169"/>
        <item h="1" m="1" x="6939"/>
        <item h="1" m="1" x="5166"/>
        <item h="1" m="1" x="6240"/>
        <item h="1" m="1" x="7071"/>
        <item h="1" m="1" x="4426"/>
        <item h="1" m="1" x="6245"/>
        <item h="1" m="1" x="1543"/>
        <item h="1" m="1" x="7072"/>
        <item h="1" m="1" x="7077"/>
        <item h="1" m="1" x="7078"/>
        <item h="1" m="1" x="7079"/>
        <item h="1" m="1" x="7080"/>
        <item h="1" m="1" x="6958"/>
        <item h="1" m="1" x="6954"/>
        <item h="1" m="1" x="6956"/>
        <item h="1" m="1" x="3950"/>
        <item h="1" m="1" x="6962"/>
        <item h="1" m="1" x="7085"/>
        <item h="1" m="1" x="6972"/>
        <item h="1" m="1" x="4004"/>
        <item h="1" m="1" x="6975"/>
        <item h="1" m="1" x="6978"/>
        <item h="1" m="1" x="6983"/>
        <item h="1" m="1" x="6977"/>
        <item h="1" m="1" x="7088"/>
        <item h="1" m="1" x="7091"/>
        <item h="1" m="1" x="6990"/>
        <item h="1" m="1" x="7092"/>
        <item h="1" m="1" x="7093"/>
        <item h="1" m="1" x="7095"/>
        <item h="1" m="1" x="7096"/>
        <item h="1" m="1" x="7098"/>
        <item h="1" m="1" x="7099"/>
        <item h="1" m="1" x="7100"/>
        <item h="1" m="1" x="7101"/>
        <item h="1" m="1" x="7103"/>
        <item h="1" m="1" x="6998"/>
        <item h="1" m="1" x="1616"/>
        <item h="1" m="1" x="7104"/>
        <item h="1" m="1" x="5990"/>
        <item h="1" m="1" x="7007"/>
        <item h="1" m="1" x="7018"/>
        <item h="1" m="1" x="7016"/>
        <item h="1" m="1" x="7015"/>
        <item h="1" m="1" x="7011"/>
        <item h="1" m="1" x="7112"/>
        <item h="1" m="1" x="7023"/>
        <item h="1" m="1" x="5750"/>
        <item h="1" m="1" x="4896"/>
        <item h="1" m="1" x="7024"/>
        <item h="1" m="1" x="6191"/>
        <item h="1" m="1" x="6785"/>
        <item h="1" m="1" x="6787"/>
        <item h="1" m="1" x="6788"/>
        <item h="1" m="1" x="6789"/>
        <item h="1" m="1" x="6790"/>
        <item h="1" m="1" x="6793"/>
        <item h="1" m="1" x="6796"/>
        <item h="1" m="1" x="6797"/>
        <item h="1" m="1" x="6205"/>
        <item h="1" m="1" x="6808"/>
        <item h="1" m="1" x="6816"/>
        <item h="1" m="1" x="6817"/>
        <item h="1" m="1" x="6293"/>
        <item h="1" m="1" x="6858"/>
        <item h="1" m="1" x="6110"/>
        <item h="1" m="1" x="6862"/>
        <item h="1" m="1" x="6863"/>
        <item h="1" m="1" x="6864"/>
        <item h="1" m="1" x="5552"/>
        <item h="1" m="1" x="6427"/>
        <item h="1" m="1" x="6869"/>
        <item h="1" m="1" x="4717"/>
        <item h="1" m="1" x="6871"/>
        <item h="1" m="1" x="6872"/>
        <item h="1" m="1" x="6701"/>
        <item h="1" m="1" x="5828"/>
        <item h="1" m="1" x="6873"/>
        <item h="1" m="1" x="6874"/>
        <item h="1" m="1" x="6875"/>
        <item h="1" m="1" x="6878"/>
        <item h="1" m="1" x="6879"/>
        <item h="1" m="1" x="6703"/>
        <item h="1" m="1" x="6717"/>
        <item h="1" m="1" x="6716"/>
        <item h="1" m="1" x="6715"/>
        <item h="1" m="1" x="6718"/>
        <item h="1" m="1" x="6590"/>
        <item h="1" m="1" x="6720"/>
        <item h="1" m="1" x="6883"/>
        <item h="1" m="1" x="6884"/>
        <item h="1" m="1" x="5554"/>
        <item h="1" m="1" x="6885"/>
        <item h="1" m="1" x="6894"/>
        <item h="1" m="1" x="6895"/>
        <item h="1" m="1" x="6896"/>
        <item h="1" m="1" x="6897"/>
        <item h="1" m="1" x="6902"/>
        <item h="1" m="1" x="6903"/>
        <item h="1" m="1" x="6906"/>
        <item h="1" m="1" x="6501"/>
        <item h="1" m="1" x="6503"/>
        <item h="1" m="1" x="6502"/>
        <item h="1" m="1" x="6908"/>
        <item h="1" m="1" x="6731"/>
        <item h="1" m="1" x="6911"/>
        <item h="1" m="1" x="4901"/>
        <item h="1" m="1" x="6922"/>
        <item h="1" m="1" x="6924"/>
        <item h="1" m="1" x="6925"/>
        <item h="1" m="1" x="6926"/>
        <item h="1" m="1" x="6739"/>
        <item h="1" m="1" x="2415"/>
        <item h="1" m="1" x="6929"/>
        <item h="1" m="1" x="6930"/>
        <item h="1" m="1" x="5218"/>
        <item h="1" m="1" x="6932"/>
        <item h="1" m="1" x="6744"/>
        <item h="1" m="1" x="6933"/>
        <item h="1" m="1" x="771"/>
        <item h="1" m="1" x="6934"/>
        <item h="1" m="1" x="6935"/>
        <item h="1" m="1" x="6937"/>
        <item h="1" m="1" x="6940"/>
        <item h="1" m="1" x="6942"/>
        <item h="1" m="1" x="6943"/>
        <item h="1" m="1" x="6944"/>
        <item h="1" m="1" x="6945"/>
        <item h="1" m="1" x="6946"/>
        <item h="1" m="1" x="6947"/>
        <item h="1" m="1" x="6948"/>
        <item h="1" m="1" x="6949"/>
        <item h="1" m="1" x="6950"/>
        <item h="1" m="1" x="6951"/>
        <item h="1" m="1" x="6952"/>
        <item h="1" m="1" x="6355"/>
        <item h="1" m="1" x="6354"/>
        <item h="1" m="1" x="6953"/>
        <item h="1" m="1" x="6964"/>
        <item h="1" m="1" x="6965"/>
        <item h="1" m="1" x="6966"/>
        <item h="1" m="1" x="6967"/>
        <item h="1" m="1" x="6968"/>
        <item h="1" m="1" x="6969"/>
        <item h="1" m="1" x="6970"/>
        <item h="1" m="1" x="6971"/>
        <item h="1" m="1" x="4026"/>
        <item h="1" m="1" x="6984"/>
        <item h="1" m="1" x="6985"/>
        <item h="1" m="1" x="6986"/>
        <item h="1" m="1" x="6987"/>
        <item h="1" m="1" x="6991"/>
        <item h="1" m="1" x="6993"/>
        <item h="1" m="1" x="6995"/>
        <item h="1" m="1" x="5985"/>
        <item h="1" m="1" x="6767"/>
        <item h="1" m="1" x="6462"/>
        <item h="1" m="1" x="4527"/>
        <item h="1" m="1" x="7001"/>
        <item h="1" m="1" x="7002"/>
        <item h="1" m="1" x="7003"/>
        <item h="1" m="1" x="7004"/>
        <item h="1" m="1" x="7005"/>
        <item h="1" m="1" x="7006"/>
        <item h="1" m="1" x="7017"/>
        <item h="1" m="1" x="7019"/>
        <item h="1" m="1" x="7020"/>
        <item h="1" m="1" x="7021"/>
        <item h="1" m="1" x="5999"/>
        <item h="1" m="1" x="6272"/>
        <item h="1" m="1" x="6273"/>
        <item h="1" m="1" x="5431"/>
        <item h="1" m="1" x="7022"/>
        <item h="1" m="1" x="6778"/>
        <item h="1" m="1" x="6779"/>
        <item h="1" m="1" x="6559"/>
        <item h="1" m="1" x="6023"/>
        <item h="1" m="1" x="7029"/>
        <item h="1" m="1" x="5756"/>
        <item h="1" m="1" x="6674"/>
        <item h="1" m="1" x="6675"/>
        <item h="1" m="1" x="6676"/>
        <item h="1" m="1" x="6677"/>
        <item h="1" m="1" x="6678"/>
        <item h="1" m="1" x="6680"/>
        <item h="1" m="1" x="6681"/>
        <item h="1" m="1" x="4425"/>
        <item h="1" m="1" x="3964"/>
        <item h="1" m="1" x="3965"/>
        <item h="1" m="1" x="3966"/>
        <item h="1" m="1" x="5782"/>
        <item h="1" m="1" x="5783"/>
        <item h="1" m="1" x="4424"/>
        <item h="1" m="1" x="5148"/>
        <item h="1" m="1" x="6568"/>
        <item h="1" m="1" x="4389"/>
        <item h="1" m="1" x="3969"/>
        <item h="1" m="1" x="6694"/>
        <item h="1" m="1" x="6212"/>
        <item h="1" m="1" x="6695"/>
        <item h="1" m="1" x="6696"/>
        <item h="1" m="1" x="6697"/>
        <item h="1" m="1" x="5809"/>
        <item h="1" m="1" x="4521"/>
        <item h="1" m="1" x="5177"/>
        <item h="1" m="1" x="5560"/>
        <item h="1" m="1" x="6480"/>
        <item h="1" m="1" x="6294"/>
        <item h="1" m="1" x="6699"/>
        <item h="1" m="1" x="6700"/>
        <item h="1" m="1" x="1838"/>
        <item h="1" m="1" x="1839"/>
        <item h="1" m="1" x="722"/>
        <item h="1" m="1" x="6704"/>
        <item h="1" m="1" x="6705"/>
        <item h="1" m="1" x="6706"/>
        <item h="1" m="1" x="6707"/>
        <item h="1" m="1" x="1461"/>
        <item h="1" m="1" x="6709"/>
        <item h="1" m="1" x="6710"/>
        <item h="1" m="1" x="6711"/>
        <item h="1" m="1" x="6712"/>
        <item h="1" m="1" x="6713"/>
        <item h="1" m="1" x="6714"/>
        <item h="1" m="1" x="6719"/>
        <item h="1" m="1" x="5852"/>
        <item h="1" m="1" x="2197"/>
        <item h="1" m="1" x="5178"/>
        <item h="1" m="1" x="5175"/>
        <item h="1" m="1" x="5853"/>
        <item h="1" m="1" x="5432"/>
        <item h="1" m="1" x="5427"/>
        <item h="1" m="1" x="5425"/>
        <item h="1" m="1" x="6721"/>
        <item h="1" m="1" x="6321"/>
        <item h="1" m="1" x="6722"/>
        <item h="1" m="1" x="6723"/>
        <item h="1" m="1" x="6724"/>
        <item h="1" m="1" x="6725"/>
        <item h="1" m="1" x="6727"/>
        <item h="1" m="1" x="6728"/>
        <item h="1" m="1" x="5866"/>
        <item h="1" m="1" x="6729"/>
        <item h="1" m="1" x="6732"/>
        <item h="1" m="1" x="6600"/>
        <item h="1" m="1" x="6601"/>
        <item h="1" m="1" x="6602"/>
        <item h="1" m="1" x="6603"/>
        <item h="1" m="1" x="5897"/>
        <item h="1" m="1" x="6231"/>
        <item h="1" m="1" x="6524"/>
        <item h="1" m="1" x="5908"/>
        <item h="1" m="1" x="6734"/>
        <item h="1" m="1" x="5907"/>
        <item h="1" m="1" x="5906"/>
        <item h="1" m="1" x="5909"/>
        <item h="1" m="1" x="6737"/>
        <item h="1" m="1" x="6443"/>
        <item h="1" m="1" x="6740"/>
        <item h="1" m="1" x="6741"/>
        <item h="1" m="1" x="6742"/>
        <item h="1" m="1" x="5543"/>
        <item h="1" m="1" x="6452"/>
        <item h="1" m="1" x="6745"/>
        <item h="1" m="1" x="5547"/>
        <item h="1" m="1" x="6628"/>
        <item h="1" m="1" x="6629"/>
        <item h="1" m="1" x="5544"/>
        <item h="1" m="1" x="5548"/>
        <item h="1" m="1" x="6746"/>
        <item h="1" m="1" x="6747"/>
        <item h="1" m="1" x="6749"/>
        <item h="1" m="1" x="6627"/>
        <item h="1" m="1" x="6750"/>
        <item h="1" m="1" x="6630"/>
        <item h="1" m="1" x="6754"/>
        <item h="1" m="1" x="1845"/>
        <item h="1" m="1" x="6066"/>
        <item h="1" m="1" x="5935"/>
        <item h="1" m="1" x="5426"/>
        <item h="1" m="1" x="5159"/>
        <item h="1" m="1" x="6453"/>
        <item h="1" m="1" x="6755"/>
        <item h="1" m="1" x="471"/>
        <item h="1" m="1" x="6756"/>
        <item h="1" m="1" x="485"/>
        <item h="1" m="1" x="6637"/>
        <item h="1" m="1" x="5160"/>
        <item h="1" m="1" x="5549"/>
        <item h="1" m="1" x="5176"/>
        <item h="1" m="1" x="5162"/>
        <item h="1" m="1" x="5550"/>
        <item h="1" m="1" x="6757"/>
        <item h="1" m="1" x="6640"/>
        <item h="1" m="1" x="2634"/>
        <item h="1" m="1" x="6758"/>
        <item h="1" m="1" x="5969"/>
        <item h="1" m="1" x="6646"/>
        <item h="1" m="1" x="6647"/>
        <item h="1" m="1" x="6760"/>
        <item h="1" m="1" x="6648"/>
        <item h="1" m="1" x="6169"/>
        <item h="1" m="1" x="6762"/>
        <item h="1" m="1" x="3813"/>
        <item h="1" m="1" x="6763"/>
        <item h="1" m="1" x="5982"/>
        <item h="1" m="1" x="5983"/>
        <item h="1" m="1" x="6764"/>
        <item h="1" m="1" x="6765"/>
        <item h="1" m="1" x="6766"/>
        <item h="1" m="1" x="6768"/>
        <item h="1" m="1" x="5987"/>
        <item h="1" m="1" x="6769"/>
        <item h="1" m="1" x="6770"/>
        <item h="1" m="1" x="6771"/>
        <item h="1" m="1" x="6772"/>
        <item h="1" m="1" x="6774"/>
        <item h="1" m="1" x="6775"/>
        <item h="1" m="1" x="6777"/>
        <item h="1" m="1" x="6102"/>
        <item h="1" m="1" x="6103"/>
        <item h="1" m="1" x="6781"/>
        <item h="1" m="1" x="6782"/>
        <item h="1" m="1" x="1590"/>
        <item h="1" m="1" x="6022"/>
        <item h="1" m="1" x="6026"/>
        <item h="1" m="1" x="6560"/>
        <item h="1" m="1" x="6561"/>
        <item h="1" m="1" x="6469"/>
        <item h="1" m="1" x="4318"/>
        <item h="1" m="1" x="1771"/>
        <item h="1" m="1" x="6581"/>
        <item h="1" m="1" x="6582"/>
        <item h="1" m="1" x="6583"/>
        <item h="1" m="1" x="6472"/>
        <item h="1" m="1" x="6473"/>
        <item h="1" m="1" x="6586"/>
        <item h="1" m="1" x="5821"/>
        <item h="1" m="1" x="4516"/>
        <item h="1" m="1" x="6483"/>
        <item h="1" m="1" x="6482"/>
        <item h="1" m="1" x="6481"/>
        <item h="1" m="1" x="807"/>
        <item h="1" m="1" x="6121"/>
        <item h="1" m="1" x="6485"/>
        <item h="1" m="1" x="6588"/>
        <item h="1" m="1" x="6589"/>
        <item h="1" m="1" x="6491"/>
        <item h="1" m="1" x="5864"/>
        <item h="1" m="1" x="6489"/>
        <item h="1" m="1" x="6490"/>
        <item h="1" m="1" x="5341"/>
        <item h="1" m="1" x="5851"/>
        <item h="1" m="1" x="6494"/>
        <item h="1" m="1" x="6498"/>
        <item h="1" m="1" x="6132"/>
        <item h="1" m="1" x="4345"/>
        <item h="1" m="1" x="5862"/>
        <item h="1" m="1" x="5863"/>
        <item h="1" m="1" x="6593"/>
        <item h="1" m="1" x="6595"/>
        <item h="1" m="1" x="3415"/>
        <item h="1" m="1" x="6596"/>
        <item h="1" m="1" x="6597"/>
        <item h="1" m="1" x="6598"/>
        <item h="1" m="1" x="6504"/>
        <item h="1" m="1" x="6599"/>
        <item h="1" m="1" x="6604"/>
        <item h="1" m="1" x="6606"/>
        <item h="1" m="1" x="6608"/>
        <item h="1" m="1" x="4926"/>
        <item h="1" m="1" x="4872"/>
        <item h="1" m="1" x="6613"/>
        <item h="1" m="1" x="5904"/>
        <item h="1" m="1" x="5905"/>
        <item h="1" m="1" x="6615"/>
        <item h="1" m="1" x="6616"/>
        <item h="1" m="1" x="2154"/>
        <item h="1" m="1" x="6617"/>
        <item h="1" m="1" x="6440"/>
        <item h="1" m="1" x="6618"/>
        <item h="1" m="1" x="6619"/>
        <item h="1" m="1" x="3937"/>
        <item h="1" m="1" x="6064"/>
        <item h="1" m="1" x="6065"/>
        <item h="1" m="1" x="2139"/>
        <item h="1" m="1" x="6620"/>
        <item h="1" m="1" x="6621"/>
        <item h="1" m="1" x="5561"/>
        <item h="1" m="1" x="5568"/>
        <item h="1" m="1" x="5557"/>
        <item h="1" m="1" x="5558"/>
        <item h="1" m="1" x="5559"/>
        <item h="1" m="1" x="6623"/>
        <item h="1" m="1" x="5433"/>
        <item h="1" m="1" x="6086"/>
        <item h="1" m="1" x="2216"/>
        <item h="1" m="1" x="6626"/>
        <item h="1" m="1" x="2317"/>
        <item h="1" m="1" x="2670"/>
        <item h="1" m="1" x="2222"/>
        <item h="1" m="1" x="6450"/>
        <item h="1" m="1" x="6451"/>
        <item h="1" m="1" x="5179"/>
        <item h="1" m="1" x="5180"/>
        <item h="1" m="1" x="6632"/>
        <item h="1" m="1" x="5495"/>
        <item h="1" m="1" x="5958"/>
        <item h="1" m="1" x="5181"/>
        <item h="1" m="1" x="6635"/>
        <item h="1" m="1" x="6636"/>
        <item h="1" m="1" x="5563"/>
        <item h="1" m="1" x="6527"/>
        <item h="1" m="1" x="6639"/>
        <item h="1" m="1" x="6641"/>
        <item h="1" m="1" x="6642"/>
        <item h="1" m="1" x="2062"/>
        <item h="1" m="1" x="6643"/>
        <item h="1" m="1" x="6644"/>
        <item h="1" m="1" x="6645"/>
        <item h="1" m="1" x="6649"/>
        <item h="1" m="1" x="6650"/>
        <item h="1" m="1" x="6651"/>
        <item h="1" m="1" x="5794"/>
        <item h="1" m="1" x="1205"/>
        <item h="1" m="1" x="623"/>
        <item h="1" m="1" x="5978"/>
        <item h="1" m="1" x="6653"/>
        <item h="1" m="1" x="6655"/>
        <item h="1" m="1" x="6536"/>
        <item h="1" m="1" x="6657"/>
        <item h="1" m="1" x="6658"/>
        <item h="1" m="1" x="6659"/>
        <item h="1" m="1" x="6539"/>
        <item h="1" m="1" x="6660"/>
        <item h="1" m="1" x="6661"/>
        <item h="1" m="1" x="6662"/>
        <item h="1" m="1" x="6663"/>
        <item h="1" m="1" x="6664"/>
        <item h="1" m="1" x="6666"/>
        <item h="1" m="1" x="6667"/>
        <item h="1" m="1" x="6668"/>
        <item h="1" m="1" x="6669"/>
        <item h="1" m="1" x="6540"/>
        <item h="1" m="1" x="6671"/>
        <item h="1" m="1" x="5343"/>
        <item h="1" m="1" x="4979"/>
        <item h="1" m="1" x="6546"/>
        <item h="1" m="1" x="6549"/>
        <item h="1" m="1" x="6266"/>
        <item h="1" m="1" x="6545"/>
        <item h="1" m="1" x="6000"/>
        <item h="1" m="1" x="6274"/>
        <item h="1" m="1" x="6186"/>
        <item h="1" m="1" x="6187"/>
        <item h="1" m="1" x="6558"/>
        <item h="1" m="1" x="6554"/>
        <item h="1" m="1" x="6555"/>
        <item h="1" m="1" x="6556"/>
        <item h="1" m="1" x="6557"/>
        <item h="1" m="1" x="6467"/>
        <item h="1" m="1" x="5165"/>
        <item h="1" m="1" x="6672"/>
        <item h="1" m="1" x="6034"/>
        <item h="1" m="1" x="5755"/>
        <item h="1" m="1" x="6104"/>
        <item h="1" m="1" x="5761"/>
        <item h="1" m="1" x="6471"/>
        <item h="1" m="1" x="5647"/>
        <item h="1" m="1" x="6474"/>
        <item h="1" m="1" x="6476"/>
        <item h="1" m="1" x="6477"/>
        <item h="1" m="1" x="6478"/>
        <item h="1" m="1" x="6479"/>
        <item h="1" m="1" x="5834"/>
        <item h="1" m="1" x="5839"/>
        <item h="1" m="1" x="6487"/>
        <item h="1" m="1" x="6492"/>
        <item h="1" m="1" x="6493"/>
        <item h="1" m="1" x="5183"/>
        <item h="1" m="1" x="6495"/>
        <item h="1" m="1" x="6320"/>
        <item h="1" m="1" x="6496"/>
        <item h="1" m="1" x="6497"/>
        <item h="1" m="1" x="6499"/>
        <item h="1" m="1" x="6500"/>
        <item h="1" m="1" x="5677"/>
        <item h="1" m="1" x="6505"/>
        <item h="1" m="1" x="2635"/>
        <item h="1" m="1" x="5890"/>
        <item h="1" m="1" x="6506"/>
        <item h="1" m="1" x="6507"/>
        <item h="1" m="1" x="6508"/>
        <item h="1" m="1" x="5899"/>
        <item h="1" m="1" x="6438"/>
        <item h="1" m="1" x="5910"/>
        <item h="1" m="1" x="3353"/>
        <item h="1" m="1" x="6145"/>
        <item h="1" m="1" x="6144"/>
        <item h="1" m="1" x="6329"/>
        <item h="1" m="1" x="5918"/>
        <item h="1" m="1" x="6512"/>
        <item h="1" m="1" x="6513"/>
        <item h="1" m="1" x="6514"/>
        <item h="1" m="1" x="6515"/>
        <item h="1" m="1" x="6445"/>
        <item h="1" m="1" x="6516"/>
        <item h="1" m="1" x="6517"/>
        <item h="1" m="1" x="6518"/>
        <item h="1" m="1" x="6519"/>
        <item h="1" m="1" x="6449"/>
        <item h="1" m="1" x="5564"/>
        <item h="1" m="1" x="6520"/>
        <item h="1" m="1" x="6523"/>
        <item h="1" m="1" x="6081"/>
        <item h="1" m="1" x="6351"/>
        <item h="1" m="1" x="5954"/>
        <item h="1" m="1" x="5957"/>
        <item h="1" m="1" x="5956"/>
        <item h="1" m="1" x="5951"/>
        <item h="1" m="1" x="5955"/>
        <item h="1" m="1" x="6525"/>
        <item h="1" m="1" x="6526"/>
        <item h="1" m="1" x="4967"/>
        <item h="1" m="1" x="6528"/>
        <item h="1" m="1" x="6529"/>
        <item h="1" m="1" x="6163"/>
        <item h="1" m="1" x="5964"/>
        <item h="1" m="1" x="6359"/>
        <item h="1" m="1" x="6360"/>
        <item h="1" m="1" x="6361"/>
        <item h="1" m="1" x="5966"/>
        <item h="1" m="1" x="5967"/>
        <item h="1" m="1" x="6458"/>
        <item h="1" m="1" x="6168"/>
        <item h="1" m="1" x="6530"/>
        <item h="1" m="1" x="6171"/>
        <item h="1" m="1" x="6531"/>
        <item h="1" m="1" x="6532"/>
        <item h="1" m="1" x="4951"/>
        <item h="1" m="1" x="6534"/>
        <item h="1" m="1" x="5083"/>
        <item h="1" m="1" x="6537"/>
        <item h="1" m="1" x="5984"/>
        <item h="1" m="1" x="6463"/>
        <item h="1" m="1" x="5986"/>
        <item h="1" m="1" x="6541"/>
        <item h="1" m="1" x="6180"/>
        <item h="1" m="1" x="6542"/>
        <item h="1" m="1" x="6543"/>
        <item h="1" m="1" x="6544"/>
        <item h="1" m="1" x="6391"/>
        <item h="1" m="1" x="6550"/>
        <item h="1" m="1" x="6551"/>
        <item h="1" m="1" x="4091"/>
        <item h="1" m="1" x="6552"/>
        <item h="1" m="1" x="6188"/>
        <item h="1" m="1" x="6031"/>
        <item h="1" m="1" x="6032"/>
        <item h="1" m="1" x="6033"/>
        <item h="1" m="1" x="6192"/>
        <item h="1" m="1" x="2053"/>
        <item h="1" m="1" x="6406"/>
        <item h="1" m="1" x="6289"/>
        <item h="1" m="1" x="6041"/>
        <item h="1" m="1" x="6042"/>
        <item h="1" m="1" x="6419"/>
        <item h="1" m="1" x="6420"/>
        <item h="1" m="1" x="6421"/>
        <item h="1" m="1" x="5651"/>
        <item h="1" m="1" x="5173"/>
        <item h="1" m="1" x="1603"/>
        <item h="1" m="1" x="5805"/>
        <item h="1" m="1" x="5802"/>
        <item h="1" m="1" x="5797"/>
        <item h="1" m="1" x="5796"/>
        <item h="1" m="1" x="972"/>
        <item h="1" m="1" x="5646"/>
        <item h="1" m="1" x="6214"/>
        <item h="1" m="1" x="6074"/>
        <item h="1" m="1" x="5815"/>
        <item h="1" m="1" x="5816"/>
        <item h="1" m="1" x="6422"/>
        <item h="1" m="1" x="6423"/>
        <item h="1" m="1" x="6424"/>
        <item h="1" m="1" x="6425"/>
        <item h="1" m="1" x="6426"/>
        <item h="1" m="1" x="6114"/>
        <item h="1" m="1" x="6295"/>
        <item h="1" m="1" x="6433"/>
        <item h="1" m="1" x="5827"/>
        <item h="1" m="1" x="4665"/>
        <item h="1" m="1" x="5838"/>
        <item h="1" m="1" x="6298"/>
        <item h="1" m="1" x="6122"/>
        <item h="1" m="1" x="6434"/>
        <item h="1" m="1" x="6060"/>
        <item h="1" m="1" x="6304"/>
        <item h="1" m="1" x="2941"/>
        <item h="1" m="1" x="2014"/>
        <item h="1" m="1" x="6305"/>
        <item h="1" m="1" x="6303"/>
        <item h="1" m="1" x="6301"/>
        <item h="1" m="1" x="6302"/>
        <item h="1" m="1" x="6435"/>
        <item h="1" m="1" x="6068"/>
        <item h="1" m="1" x="6310"/>
        <item h="1" m="1" x="6436"/>
        <item h="1" m="1" x="6309"/>
        <item h="1" m="1" x="6306"/>
        <item h="1" m="1" x="6307"/>
        <item h="1" m="1" x="6308"/>
        <item h="1" m="1" x="990"/>
        <item h="1" m="1" x="6315"/>
        <item h="1" m="1" x="6316"/>
        <item h="1" m="1" x="6437"/>
        <item h="1" m="1" x="6069"/>
        <item h="1" m="1" x="3882"/>
        <item h="1" m="1" x="4063"/>
        <item h="1" m="1" x="6326"/>
        <item h="1" m="1" x="6327"/>
        <item h="1" m="1" x="6233"/>
        <item h="1" m="1" x="6439"/>
        <item h="1" m="1" x="569"/>
        <item h="1" m="1" x="6330"/>
        <item h="1" m="1" x="6332"/>
        <item h="1" m="1" x="6441"/>
        <item h="1" m="1" x="6442"/>
        <item h="1" m="1" x="6336"/>
        <item h="1" m="1" x="6337"/>
        <item h="1" m="1" x="6333"/>
        <item h="1" m="1" x="6444"/>
        <item h="1" m="1" x="6446"/>
        <item h="1" m="1" x="5567"/>
        <item h="1" m="1" x="6343"/>
        <item h="1" m="1" x="6344"/>
        <item h="1" m="1" x="2920"/>
        <item h="1" m="1" x="2219"/>
        <item h="1" m="1" x="6339"/>
        <item h="1" m="1" x="5565"/>
        <item h="1" m="1" x="6338"/>
        <item h="1" m="1" x="6153"/>
        <item h="1" m="1" x="5186"/>
        <item h="1" m="1" x="5562"/>
        <item h="1" m="1" x="6089"/>
        <item h="1" m="1" x="6350"/>
        <item h="1" m="1" x="5171"/>
        <item h="1" m="1" x="5184"/>
        <item h="1" m="1" x="5948"/>
        <item h="1" m="1" x="5185"/>
        <item h="1" m="1" x="5949"/>
        <item h="1" m="1" x="6454"/>
        <item h="1" m="1" x="6353"/>
        <item h="1" m="1" x="6082"/>
        <item h="1" m="1" x="6455"/>
        <item h="1" m="1" x="6456"/>
        <item h="1" m="1" x="6457"/>
        <item h="1" m="1" x="3993"/>
        <item h="1" m="1" x="3994"/>
        <item h="1" m="1" x="6358"/>
        <item h="1" m="1" x="6362"/>
        <item h="1" m="1" x="6164"/>
        <item h="1" m="1" x="6093"/>
        <item h="1" m="1" x="5968"/>
        <item h="1" m="1" x="6370"/>
        <item h="1" m="1" x="6371"/>
        <item h="1" m="1" x="6170"/>
        <item h="1" m="1" x="6367"/>
        <item h="1" m="1" x="6368"/>
        <item h="1" m="1" x="4952"/>
        <item h="1" m="1" x="6369"/>
        <item h="1" m="1" x="2565"/>
        <item h="1" m="1" x="4862"/>
        <item h="1" m="1" x="4864"/>
        <item h="1" m="1" x="6375"/>
        <item h="1" m="1" x="6460"/>
        <item h="1" m="1" x="6379"/>
        <item h="1" m="1" x="6461"/>
        <item h="1" m="1" x="6464"/>
        <item h="1" m="1" x="6179"/>
        <item h="1" m="1" x="6385"/>
        <item h="1" m="1" x="6384"/>
        <item h="1" m="1" x="6390"/>
        <item h="1" m="1" x="6393"/>
        <item h="1" m="1" x="5122"/>
        <item h="1" m="1" x="5994"/>
        <item h="1" m="1" x="5996"/>
        <item h="1" m="1" x="5995"/>
        <item h="1" m="1" x="5992"/>
        <item h="1" m="1" x="5998"/>
        <item h="1" m="1" x="5997"/>
        <item h="1" m="1" x="6002"/>
        <item h="1" m="1" x="5434"/>
        <item h="1" m="1" x="6276"/>
        <item h="1" m="1" x="6277"/>
        <item h="1" m="1" x="6101"/>
        <item h="1" m="1" x="6400"/>
        <item h="1" m="1" x="6280"/>
        <item h="1" m="1" x="1064"/>
        <item h="1" m="1" x="6465"/>
        <item h="1" m="1" x="6466"/>
        <item h="1" m="1" x="5187"/>
        <item h="1" m="1" x="6404"/>
        <item h="1" m="1" x="6403"/>
        <item h="1" m="1" x="6402"/>
        <item h="1" m="1" x="6020"/>
        <item h="1" m="1" x="6285"/>
        <item h="1" m="1" x="6286"/>
        <item h="1" m="1" x="6287"/>
        <item h="1" m="1" x="6288"/>
        <item h="1" m="1" x="6290"/>
        <item h="1" m="1" x="6210"/>
        <item h="1" m="1" x="5799"/>
        <item h="1" m="1" x="6109"/>
        <item h="1" m="1" x="6292"/>
        <item h="1" m="1" x="5800"/>
        <item h="1" m="1" x="6213"/>
        <item h="1" m="1" x="6211"/>
        <item h="1" m="1" x="5435"/>
        <item h="1" m="1" x="5349"/>
        <item h="1" m="1" x="6057"/>
        <item h="1" m="1" x="6049"/>
        <item h="1" m="1" x="5190"/>
        <item h="1" m="1" x="5502"/>
        <item h="1" m="1" x="6296"/>
        <item h="1" m="1" x="6297"/>
        <item h="1" m="1" x="6299"/>
        <item h="1" m="1" x="6300"/>
        <item h="1" m="1" x="5347"/>
        <item h="1" m="1" x="5355"/>
        <item h="1" m="1" x="6131"/>
        <item h="1" m="1" x="6134"/>
        <item h="1" m="1" x="6313"/>
        <item h="1" m="1" x="6135"/>
        <item h="1" m="1" x="6317"/>
        <item h="1" m="1" x="6139"/>
        <item h="1" m="1" x="6318"/>
        <item h="1" m="1" x="6319"/>
        <item h="1" m="1" x="5881"/>
        <item h="1" m="1" x="5571"/>
        <item h="1" m="1" x="5879"/>
        <item h="1" m="1" x="5880"/>
        <item h="1" m="1" x="5878"/>
        <item h="1" m="1" x="6323"/>
        <item h="1" m="1" x="6325"/>
        <item h="1" m="1" x="5348"/>
        <item h="1" m="1" x="1477"/>
        <item h="1" m="1" x="6331"/>
        <item h="1" m="1" x="6334"/>
        <item h="1" m="1" x="6335"/>
        <item h="1" x="109"/>
        <item h="1" m="1" x="6154"/>
        <item h="1" m="1" x="6340"/>
        <item h="1" m="1" x="6341"/>
        <item h="1" m="1" x="6151"/>
        <item h="1" m="1" x="6342"/>
        <item h="1" m="1" x="6345"/>
        <item h="1" m="1" x="5566"/>
        <item h="1" m="1" x="6346"/>
        <item h="1" m="1" x="6347"/>
        <item h="1" m="1" x="6348"/>
        <item h="1" m="1" x="2319"/>
        <item h="1" m="1" x="4535"/>
        <item h="1" m="1" x="6349"/>
        <item h="1" m="1" x="5197"/>
        <item h="1" m="1" x="5947"/>
        <item h="1" m="1" x="5950"/>
        <item h="1" m="1" x="6352"/>
        <item h="1" m="1" x="6243"/>
        <item h="1" m="1" x="6242"/>
        <item h="1" m="1" x="5961"/>
        <item h="1" m="1" x="6356"/>
        <item h="1" m="1" x="6357"/>
        <item h="1" m="1" x="6165"/>
        <item h="1" m="1" x="1416"/>
        <item h="1" m="1" x="6365"/>
        <item h="1" m="1" x="6366"/>
        <item h="1" m="1" x="6372"/>
        <item h="1" m="1" x="2383"/>
        <item h="1" m="1" x="6176"/>
        <item h="1" m="1" x="6175"/>
        <item h="1" m="1" x="2096"/>
        <item h="1" m="1" x="6373"/>
        <item h="1" m="1" x="6374"/>
        <item h="1" m="1" x="6376"/>
        <item h="1" m="1" x="6377"/>
        <item h="1" m="1" x="6178"/>
        <item h="1" m="1" x="6378"/>
        <item h="1" m="1" x="5107"/>
        <item h="1" m="1" x="6380"/>
        <item h="1" m="1" x="6382"/>
        <item h="1" m="1" x="6383"/>
        <item h="1" m="1" x="4888"/>
        <item h="1" m="1" x="6386"/>
        <item h="1" m="1" x="6387"/>
        <item h="1" m="1" x="6388"/>
        <item h="1" m="1" x="6389"/>
        <item h="1" m="1" x="6392"/>
        <item h="1" m="1" x="6070"/>
        <item h="1" m="1" x="6185"/>
        <item h="1" m="1" x="6003"/>
        <item h="1" m="1" x="6004"/>
        <item h="1" m="1" x="5345"/>
        <item h="1" m="1" x="6394"/>
        <item h="1" m="1" x="6011"/>
        <item h="1" m="1" x="6397"/>
        <item h="1" m="1" x="6398"/>
        <item h="1" m="1" x="6399"/>
        <item h="1" m="1" x="6401"/>
        <item h="1" m="1" x="6028"/>
        <item h="1" m="1" x="6027"/>
        <item h="1" m="1" x="6405"/>
        <item h="1" m="1" x="6194"/>
        <item h="1" m="1" x="6195"/>
        <item h="1" m="1" x="6196"/>
        <item h="1" m="1" x="6197"/>
        <item h="1" m="1" x="6198"/>
        <item h="1" m="1" x="6199"/>
        <item h="1" m="1" x="6106"/>
        <item h="1" m="1" x="6200"/>
        <item h="1" m="1" x="6202"/>
        <item h="1" m="1" x="6203"/>
        <item h="1" m="1" x="2857"/>
        <item h="1" m="1" x="1311"/>
        <item h="1" m="1" x="6206"/>
        <item h="1" m="1" x="6208"/>
        <item h="1" m="1" x="6209"/>
        <item h="1" m="1" x="5436"/>
        <item h="1" m="1" x="6216"/>
        <item h="1" m="1" x="5534"/>
        <item h="1" m="1" x="6217"/>
        <item h="1" m="1" x="6218"/>
        <item h="1" m="1" x="6219"/>
        <item h="1" m="1" x="6220"/>
        <item h="1" m="1" x="5842"/>
        <item h="1" m="1" x="6059"/>
        <item h="1" x="128"/>
        <item h="1" m="1" x="6128"/>
        <item h="1" m="1" x="6130"/>
        <item h="1" m="1" x="6067"/>
        <item h="1" m="1" x="6222"/>
        <item h="1" m="1" x="6223"/>
        <item h="1" m="1" x="6224"/>
        <item h="1" m="1" x="5669"/>
        <item h="1" m="1" x="5874"/>
        <item h="1" m="1" x="5873"/>
        <item h="1" m="1" x="5570"/>
        <item h="1" m="1" x="6227"/>
        <item h="1" m="1" x="6072"/>
        <item h="1" m="1" x="6073"/>
        <item h="1" m="1" x="6228"/>
        <item h="1" m="1" x="6229"/>
        <item h="1" m="1" x="6143"/>
        <item h="1" m="1" x="5900"/>
        <item h="1" m="1" x="3641"/>
        <item h="1" m="1" x="6234"/>
        <item h="1" m="1" x="6235"/>
        <item h="1" m="1" x="6236"/>
        <item h="1" m="1" x="6238"/>
        <item h="1" m="1" x="5920"/>
        <item h="1" m="1" x="4422"/>
        <item h="1" m="1" x="5924"/>
        <item h="1" m="1" x="5923"/>
        <item h="1" m="1" x="6149"/>
        <item h="1" m="1" x="6239"/>
        <item h="1" m="1" x="3458"/>
        <item h="1" m="1" x="2218"/>
        <item h="1" m="1" x="6087"/>
        <item h="1" m="1" x="5200"/>
        <item h="1" m="1" x="5065"/>
        <item h="1" m="1" x="5946"/>
        <item h="1" m="1" x="5068"/>
        <item h="1" m="1" x="3229"/>
        <item h="1" m="1" x="6241"/>
        <item h="1" m="1" x="5198"/>
        <item h="1" m="1" x="6091"/>
        <item h="1" m="1" x="4989"/>
        <item h="1" m="1" x="6246"/>
        <item h="1" m="1" x="6247"/>
        <item h="1" m="1" x="6248"/>
        <item h="1" m="1" x="5962"/>
        <item h="1" m="1" x="6249"/>
        <item h="1" m="1" x="4432"/>
        <item h="1" m="1" x="6096"/>
        <item h="1" m="1" x="6250"/>
        <item h="1" m="1" x="6166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5980"/>
        <item h="1" m="1" x="5979"/>
        <item h="1" m="1" x="6258"/>
        <item h="1" m="1" x="6259"/>
        <item h="1" m="1" x="5569"/>
        <item h="1" m="1" x="6260"/>
        <item h="1" m="1" x="6261"/>
        <item h="1" m="1" x="6262"/>
        <item h="1" m="1" x="6100"/>
        <item h="1" m="1" x="5721"/>
        <item h="1" m="1" x="1561"/>
        <item h="1" m="1" x="6263"/>
        <item h="1" m="1" x="6264"/>
        <item h="1" m="1" x="6265"/>
        <item h="1" m="1" x="5437"/>
        <item h="1" m="1" x="6267"/>
        <item h="1" m="1" x="6268"/>
        <item h="1" m="1" x="6269"/>
        <item h="1" m="1" x="6270"/>
        <item h="1" m="1" x="6010"/>
        <item h="1" m="1" x="6009"/>
        <item h="1" m="1" x="5739"/>
        <item h="1" m="1" x="6278"/>
        <item h="1" m="1" x="6279"/>
        <item h="1" m="1" x="6281"/>
        <item h="1" m="1" x="5346"/>
        <item h="1" m="1" x="6282"/>
        <item h="1" m="1" x="6283"/>
        <item h="1" m="1" x="6284"/>
        <item h="1" m="1" x="6025"/>
        <item h="1" m="1" x="6024"/>
        <item h="1" m="1" x="6029"/>
        <item h="1" m="1" x="6105"/>
        <item h="1" m="1" x="6107"/>
        <item h="1" m="1" x="4938"/>
        <item h="1" m="1" x="6108"/>
        <item h="1" m="1" x="5806"/>
        <item h="1" m="1" x="5807"/>
        <item h="1" m="1" x="5808"/>
        <item h="1" m="1" x="5811"/>
        <item h="1" m="1" x="6111"/>
        <item h="1" m="1" x="6051"/>
        <item h="1" m="1" x="6052"/>
        <item h="1" m="1" x="6112"/>
        <item h="1" m="1" x="6113"/>
        <item h="1" m="1" x="6115"/>
        <item h="1" m="1" x="6116"/>
        <item h="1" m="1" x="6117"/>
        <item h="1" m="1" x="6118"/>
        <item h="1" m="1" x="6119"/>
        <item h="1" m="1" x="6120"/>
        <item h="1" m="1" x="6058"/>
        <item h="1" m="1" x="6063"/>
        <item h="1" m="1" x="6123"/>
        <item h="1" m="1" x="6124"/>
        <item h="1" m="1" x="6125"/>
        <item h="1" m="1" x="6126"/>
        <item h="1" m="1" x="6127"/>
        <item h="1" m="1" x="6129"/>
        <item h="1" m="1" x="6133"/>
        <item h="1" m="1" x="5438"/>
        <item h="1" m="1" x="6136"/>
        <item h="1" m="1" x="6138"/>
        <item h="1" m="1" x="5868"/>
        <item h="1" m="1" x="5869"/>
        <item h="1" m="1" x="6142"/>
        <item h="1" m="1" x="5356"/>
        <item h="1" m="1" x="6077"/>
        <item h="1" m="1" x="5358"/>
        <item h="1" m="1" x="4616"/>
        <item h="1" m="1" x="6146"/>
        <item h="1" m="1" x="4849"/>
        <item h="1" m="1" x="6147"/>
        <item h="1" m="1" x="6148"/>
        <item h="1" m="1" x="4079"/>
        <item h="1" m="1" x="6085"/>
        <item h="1" m="1" x="6150"/>
        <item h="1" m="1" x="5695"/>
        <item h="1" m="1" x="6155"/>
        <item h="1" m="1" x="6156"/>
        <item h="1" m="1" x="5573"/>
        <item h="1" m="1" x="5574"/>
        <item h="1" m="1" x="5201"/>
        <item h="1" m="1" x="2217"/>
        <item h="1" m="1" x="6157"/>
        <item h="1" m="1" x="5196"/>
        <item h="1" m="1" x="4865"/>
        <item h="1" m="1" x="5202"/>
        <item h="1" m="1" x="5943"/>
        <item h="1" m="1" x="5944"/>
        <item h="1" m="1" x="5945"/>
        <item h="1" m="1" x="6159"/>
        <item h="1" m="1" x="6160"/>
        <item h="1" m="1" x="6161"/>
        <item h="1" m="1" x="6162"/>
        <item h="1" x="207"/>
        <item h="1" m="1" x="6094"/>
        <item h="1" m="1" x="5970"/>
        <item h="1" m="1" x="6167"/>
        <item h="1" m="1" x="5191"/>
        <item h="1" m="1" x="6172"/>
        <item h="1" m="1" x="6173"/>
        <item h="1" m="1" x="5974"/>
        <item h="1" m="1" x="6177"/>
        <item h="1" m="1" x="5106"/>
        <item h="1" m="1" x="6181"/>
        <item h="1" m="1" x="6182"/>
        <item h="1" m="1" x="6183"/>
        <item h="1" m="1" x="6184"/>
        <item h="1" m="1" x="5344"/>
        <item h="1" m="1" x="6013"/>
        <item h="1" m="1" x="6019"/>
        <item h="1" m="1" x="6021"/>
        <item h="1" m="1" x="6037"/>
        <item h="1" m="1" x="6038"/>
        <item h="1" m="1" x="6039"/>
        <item h="1" m="1" x="6040"/>
        <item h="1" m="1" x="6046"/>
        <item h="1" m="1" x="3953"/>
        <item h="1" m="1" x="3954"/>
        <item h="1" m="1" x="5801"/>
        <item h="1" m="1" x="6048"/>
        <item h="1" m="1" x="5648"/>
        <item h="1" m="1" x="6050"/>
        <item h="1" m="1" x="6053"/>
        <item h="1" m="1" x="6054"/>
        <item h="1" m="1" x="5195"/>
        <item h="1" m="1" x="5656"/>
        <item h="1" m="1" x="5825"/>
        <item h="1" m="1" x="5826"/>
        <item h="1" m="1" x="5659"/>
        <item h="1" m="1" x="5829"/>
        <item h="1" m="1" x="5841"/>
        <item h="1" m="1" x="6061"/>
        <item h="1" m="1" x="6062"/>
        <item h="1" m="1" x="5844"/>
        <item h="1" m="1" x="4617"/>
        <item h="1" m="1" x="5357"/>
        <item h="1" m="1" x="5350"/>
        <item h="1" m="1" x="5351"/>
        <item h="1" m="1" x="4529"/>
        <item h="1" m="1" x="5662"/>
        <item h="1" m="1" x="5860"/>
        <item h="1" m="1" x="5859"/>
        <item h="1" m="1" x="5670"/>
        <item h="1" m="1" x="5354"/>
        <item h="1" m="1" x="4135"/>
        <item h="1" m="1" x="5675"/>
        <item h="1" m="1" x="2292"/>
        <item h="1" m="1" x="5865"/>
        <item h="1" m="1" x="5576"/>
        <item h="1" m="1" x="5886"/>
        <item h="1" m="1" x="5885"/>
        <item h="1" m="1" x="6075"/>
        <item h="1" m="1" x="6076"/>
        <item h="1" m="1" x="6078"/>
        <item h="1" m="1" x="6079"/>
        <item h="1" m="1" x="6080"/>
        <item h="1" m="1" x="5352"/>
        <item h="1" m="1" x="5685"/>
        <item h="1" m="1" x="5914"/>
        <item h="1" m="1" x="6083"/>
        <item h="1" m="1" x="5915"/>
        <item h="1" m="1" x="5919"/>
        <item h="1" m="1" x="6084"/>
        <item h="1" m="1" x="5572"/>
        <item h="1" m="1" x="5439"/>
        <item h="1" m="1" x="2671"/>
        <item h="1" m="1" x="6088"/>
        <item h="1" m="1" x="6090"/>
        <item h="1" m="1" x="5042"/>
        <item h="1" m="1" x="5942"/>
        <item h="1" m="1" x="5940"/>
        <item h="1" m="1" x="5941"/>
        <item h="1" m="1" x="3848"/>
        <item h="1" m="1" x="3847"/>
        <item h="1" m="1" x="5217"/>
        <item h="1" m="1" x="6092"/>
        <item h="1" m="1" x="5965"/>
        <item h="1" m="1" x="2765"/>
        <item h="1" m="1" x="5971"/>
        <item h="1" m="1" x="2417"/>
        <item h="1" m="1" x="5710"/>
        <item h="1" m="1" x="5711"/>
        <item h="1" m="1" x="5712"/>
        <item h="1" m="1" x="5713"/>
        <item h="1" m="1" x="5193"/>
        <item h="1" m="1" x="6097"/>
        <item h="1" m="1" x="4038"/>
        <item h="1" m="1" x="6098"/>
        <item h="1" m="1" x="6099"/>
        <item h="1" m="1" x="5720"/>
        <item h="1" m="1" x="4887"/>
        <item h="1" m="1" x="5724"/>
        <item h="1" m="1" x="5725"/>
        <item h="1" m="1" x="5736"/>
        <item h="1" m="1" x="5737"/>
        <item h="1" m="1" x="5731"/>
        <item h="1" m="1" x="5732"/>
        <item h="1" m="1" x="5733"/>
        <item h="1" m="1" x="5993"/>
        <item h="1" m="1" x="5740"/>
        <item h="1" m="1" x="5741"/>
        <item h="1" m="1" x="5751"/>
        <item h="1" m="1" x="5752"/>
        <item h="1" m="1" x="5440"/>
        <item h="1" m="1" x="5441"/>
        <item h="1" m="1" x="6016"/>
        <item h="1" m="1" x="5192"/>
        <item h="1" m="1" x="5757"/>
        <item h="1" m="1" x="5758"/>
        <item h="1" m="1" x="5643"/>
        <item h="1" m="1" x="5644"/>
        <item h="1" m="1" x="1761"/>
        <item h="1" m="1" x="1781"/>
        <item h="1" m="1" x="1414"/>
        <item h="1" m="1" x="5810"/>
        <item h="1" m="1" x="5206"/>
        <item h="1" m="1" x="5817"/>
        <item h="1" m="1" x="5818"/>
        <item h="1" m="1" x="5820"/>
        <item h="1" m="1" x="2323"/>
        <item h="1" m="1" x="5657"/>
        <item h="1" m="1" x="5658"/>
        <item h="1" m="1" x="5049"/>
        <item h="1" m="1" x="5660"/>
        <item h="1" m="1" x="5836"/>
        <item h="1" m="1" x="5837"/>
        <item h="1" m="1" x="5840"/>
        <item h="1" m="1" x="5845"/>
        <item h="1" m="1" x="5846"/>
        <item h="1" m="1" x="5847"/>
        <item h="1" m="1" x="5848"/>
        <item h="1" m="1" x="5849"/>
        <item h="1" m="1" x="5207"/>
        <item h="1" m="1" x="5667"/>
        <item h="1" m="1" x="5668"/>
        <item h="1" m="1" x="5856"/>
        <item h="1" m="1" x="5861"/>
        <item h="1" m="1" x="4709"/>
        <item h="1" m="1" x="5674"/>
        <item h="1" m="1" x="5867"/>
        <item h="1" m="1" x="5875"/>
        <item h="1" m="1" x="5884"/>
        <item h="1" m="1" x="5129"/>
        <item h="1" m="1" x="5903"/>
        <item h="1" m="1" x="5682"/>
        <item h="1" m="1" x="5360"/>
        <item h="1" m="1" x="5911"/>
        <item h="1" m="1" x="5205"/>
        <item h="1" m="1" x="5912"/>
        <item h="1" m="1" x="5913"/>
        <item h="1" m="1" x="4826"/>
        <item h="1" m="1" x="5916"/>
        <item h="1" m="1" x="5917"/>
        <item h="1" m="1" x="5655"/>
        <item h="1" m="1" x="899"/>
        <item h="1" m="1" x="3662"/>
        <item h="1" m="1" x="5577"/>
        <item h="1" m="1" x="5928"/>
        <item h="1" m="1" x="5929"/>
        <item h="1" m="1" x="5442"/>
        <item h="1" m="1" x="5689"/>
        <item h="1" m="1" x="5931"/>
        <item h="1" m="1" x="5691"/>
        <item h="1" m="1" x="5692"/>
        <item h="1" m="1" x="5693"/>
        <item h="1" m="1" x="5697"/>
        <item h="1" m="1" x="5208"/>
        <item h="1" m="1" x="5938"/>
        <item h="1" m="1" x="5939"/>
        <item h="1" m="1" x="5959"/>
        <item h="1" m="1" x="5960"/>
        <item h="1" m="1" x="4326"/>
        <item h="1" m="1" x="5704"/>
        <item h="1" m="1" x="5708"/>
        <item h="1" m="1" x="5709"/>
        <item h="1" m="1" x="5581"/>
        <item h="1" m="1" x="5976"/>
        <item h="1" m="1" x="5718"/>
        <item h="1" m="1" x="5719"/>
        <item h="1" m="1" x="5981"/>
        <item h="1" m="1" x="5443"/>
        <item h="1" m="1" x="5722"/>
        <item h="1" m="1" x="5989"/>
        <item h="1" m="1" x="5727"/>
        <item h="1" m="1" x="5728"/>
        <item h="1" m="1" x="5729"/>
        <item h="1" m="1" x="5730"/>
        <item h="1" m="1" x="796"/>
        <item h="1" m="1" x="6005"/>
        <item h="1" m="1" x="6006"/>
        <item h="1" m="1" x="5748"/>
        <item h="1" m="1" x="5749"/>
        <item h="1" m="1" x="5742"/>
        <item h="1" m="1" x="5743"/>
        <item h="1" m="1" x="5744"/>
        <item h="1" m="1" x="5745"/>
        <item h="1" m="1" x="5746"/>
        <item h="1" m="1" x="5747"/>
        <item h="1" m="1" x="6015"/>
        <item h="1" m="1" x="6017"/>
        <item h="1" m="1" x="6018"/>
        <item h="1" m="1" x="6035"/>
        <item h="1" m="1" x="5209"/>
        <item h="1" m="1" x="3536"/>
        <item h="1" m="1" x="5145"/>
        <item h="1" m="1" x="5447"/>
        <item h="1" m="1" x="5226"/>
        <item h="1" m="1" x="5227"/>
        <item h="1" m="1" x="5649"/>
        <item h="1" m="1" x="5652"/>
        <item h="1" m="1" x="5653"/>
        <item h="1" m="1" x="5654"/>
        <item h="1" m="1" x="566"/>
        <item h="1" m="1" x="2646"/>
        <item h="1" m="1" x="3144"/>
        <item h="1" m="1" x="5583"/>
        <item h="1" m="1" x="5582"/>
        <item h="1" m="1" x="5591"/>
        <item h="1" m="1" x="5587"/>
        <item h="1" m="1" x="5661"/>
        <item h="1" m="1" x="5663"/>
        <item h="1" m="1" x="5664"/>
        <item h="1" m="1" x="5665"/>
        <item h="1" m="1" x="5666"/>
        <item h="1" m="1" x="4934"/>
        <item h="1" m="1" x="5673"/>
        <item h="1" m="1" x="3974"/>
        <item h="1" m="1" x="5448"/>
        <item h="1" m="1" x="5444"/>
        <item h="1" m="1" x="5446"/>
        <item h="1" m="1" x="5216"/>
        <item h="1" m="1" x="5678"/>
        <item h="1" m="1" x="5680"/>
        <item h="1" m="1" x="5210"/>
        <item h="1" m="1" x="5681"/>
        <item h="1" m="1" x="5594"/>
        <item h="1" m="1" x="5359"/>
        <item h="1" m="1" x="5683"/>
        <item h="1" m="1" x="5684"/>
        <item h="1" m="1" x="5687"/>
        <item h="1" m="1" x="5228"/>
        <item h="1" m="1" x="5219"/>
        <item h="1" m="1" x="5578"/>
        <item h="1" m="1" x="5593"/>
        <item h="1" m="1" x="608"/>
        <item h="1" m="1" x="5579"/>
        <item h="1" m="1" x="5688"/>
        <item h="1" m="1" x="5212"/>
        <item h="1" m="1" x="5213"/>
        <item h="1" m="1" x="5214"/>
        <item h="1" m="1" x="5590"/>
        <item h="1" m="1" x="5223"/>
        <item h="1" m="1" x="5224"/>
        <item h="1" m="1" x="5588"/>
        <item h="1" m="1" x="5589"/>
        <item h="1" m="1" x="5696"/>
        <item h="1" m="1" x="5220"/>
        <item h="1" m="1" x="5221"/>
        <item h="1" m="1" x="2403"/>
        <item h="1" m="1" x="5585"/>
        <item h="1" m="1" x="5066"/>
        <item h="1" m="1" x="5067"/>
        <item h="1" m="1" x="5698"/>
        <item h="1" m="1" x="5699"/>
        <item h="1" m="1" x="5215"/>
        <item h="1" m="1" x="5700"/>
        <item h="1" m="1" x="5702"/>
        <item h="1" m="1" x="5592"/>
        <item h="1" m="1" x="5703"/>
        <item h="1" m="1" x="2004"/>
        <item h="1" m="1" x="5706"/>
        <item h="1" m="1" x="5707"/>
        <item h="1" m="1" x="5714"/>
        <item h="1" m="1" x="5715"/>
        <item h="1" m="1" x="4467"/>
        <item h="1" m="1" x="5716"/>
        <item h="1" m="1" x="4956"/>
        <item h="1" m="1" x="2687"/>
        <item h="1" m="1" x="5449"/>
        <item h="1" m="1" x="5597"/>
        <item h="1" m="1" x="5723"/>
        <item h="1" m="1" x="5726"/>
        <item h="1" m="1" x="5734"/>
        <item h="1" m="1" x="5735"/>
        <item h="1" m="1" x="5229"/>
        <item h="1" m="1" x="5738"/>
        <item h="1" m="1" x="5211"/>
        <item h="1" m="1" x="5584"/>
        <item h="1" m="1" x="5753"/>
        <item h="1" m="1" x="5754"/>
        <item h="1" m="1" x="4232"/>
        <item h="1" m="1" x="4839"/>
        <item h="1" m="1" x="5596"/>
        <item h="1" m="1" x="4837"/>
        <item h="1" m="1" x="4840"/>
        <item h="1" m="1" x="5451"/>
        <item h="1" m="1" x="4978"/>
        <item h="1" m="1" x="5245"/>
        <item h="1" m="1" x="5598"/>
        <item h="1" m="1" x="5246"/>
        <item h="1" m="1" x="5599"/>
        <item h="1" m="1" x="5600"/>
        <item h="1" m="1" x="5247"/>
        <item h="1" m="1" x="5601"/>
        <item h="1" m="1" x="5454"/>
        <item h="1" m="1" x="5455"/>
        <item h="1" m="1" x="5086"/>
        <item h="1" m="1" x="5000"/>
        <item h="1" m="1" x="5602"/>
        <item h="1" m="1" x="5603"/>
        <item h="1" m="1" x="5456"/>
        <item h="1" m="1" x="2773"/>
        <item h="1" m="1" x="2779"/>
        <item h="1" m="1" x="4245"/>
        <item h="1" m="1" x="4125"/>
        <item h="1" m="1" x="5231"/>
        <item h="1" m="1" x="3137"/>
        <item h="1" m="1" x="5604"/>
        <item h="1" m="1" x="5457"/>
        <item h="1" m="1" x="5458"/>
        <item h="1" m="1" x="5232"/>
        <item h="1" m="1" x="5450"/>
        <item h="1" m="1" x="5606"/>
        <item h="1" x="270"/>
        <item h="1" m="1" x="5364"/>
        <item h="1" m="1" x="5365"/>
        <item h="1" m="1" x="5234"/>
        <item h="1" m="1" x="5361"/>
        <item h="1" m="1" x="5362"/>
        <item h="1" m="1" x="5222"/>
        <item h="1" m="1" x="5463"/>
        <item h="1" m="1" x="5464"/>
        <item h="1" m="1" x="5452"/>
        <item h="1" m="1" x="5235"/>
        <item h="1" m="1" x="5236"/>
        <item h="1" m="1" x="5237"/>
        <item h="1" m="1" x="5366"/>
        <item h="1" m="1" x="5453"/>
        <item h="1" m="1" x="5608"/>
        <item h="1" m="1" x="5465"/>
        <item h="1" m="1" x="5238"/>
        <item h="1" m="1" x="5239"/>
        <item h="1" m="1" x="5367"/>
        <item h="1" m="1" x="5610"/>
        <item h="1" m="1" x="5368"/>
        <item h="1" m="1" x="5468"/>
        <item h="1" m="1" x="4957"/>
        <item h="1" m="1" x="5611"/>
        <item h="1" m="1" x="5612"/>
        <item h="1" m="1" x="5613"/>
        <item h="1" m="1" x="5371"/>
        <item h="1" m="1" x="5614"/>
        <item h="1" m="1" x="5469"/>
        <item h="1" m="1" x="5615"/>
        <item h="1" m="1" x="5470"/>
        <item h="1" m="1" x="5616"/>
        <item h="1" m="1" x="5617"/>
        <item h="1" m="1" x="5618"/>
        <item h="1" m="1" x="5619"/>
        <item h="1" m="1" x="5471"/>
        <item h="1" m="1" x="5620"/>
        <item h="1" m="1" x="5241"/>
        <item h="1" m="1" x="5230"/>
        <item h="1" m="1" x="5621"/>
        <item h="1" m="1" x="5622"/>
        <item h="1" m="1" x="5623"/>
        <item h="1" m="1" x="5624"/>
        <item h="1" m="1" x="5625"/>
        <item h="1" m="1" x="5626"/>
        <item h="1" m="1" x="5459"/>
        <item h="1" m="1" x="5627"/>
        <item h="1" m="1" x="5628"/>
        <item h="1" m="1" x="5629"/>
        <item h="1" m="1" x="5473"/>
        <item h="1" m="1" x="5258"/>
        <item h="1" m="1" x="4935"/>
        <item h="1" m="1" x="5461"/>
        <item h="1" m="1" x="5631"/>
        <item h="1" m="1" x="5462"/>
        <item h="1" m="1" x="5632"/>
        <item h="1" m="1" x="5474"/>
        <item h="1" m="1" x="5475"/>
        <item h="1" m="1" x="5052"/>
        <item h="1" m="1" x="5248"/>
        <item h="1" m="1" x="5633"/>
        <item h="1" m="1" x="5634"/>
        <item h="1" m="1" x="3904"/>
        <item h="1" m="1" x="4930"/>
        <item h="1" m="1" x="5369"/>
        <item h="1" m="1" x="4931"/>
        <item h="1" m="1" x="5370"/>
        <item h="1" m="1" x="5466"/>
        <item h="1" m="1" x="5635"/>
        <item h="1" m="1" x="5477"/>
        <item h="1" m="1" x="5478"/>
        <item h="1" m="1" x="4875"/>
        <item h="1" m="1" x="5467"/>
        <item h="1" m="1" x="5637"/>
        <item h="1" m="1" x="5480"/>
        <item h="1" m="1" x="4899"/>
        <item h="1" m="1" x="5639"/>
        <item h="1" m="1" x="5481"/>
        <item h="1" m="1" x="5640"/>
        <item h="1" m="1" x="5259"/>
        <item h="1" m="1" x="5641"/>
        <item h="1" m="1" x="5482"/>
        <item h="1" m="1" x="5149"/>
        <item h="1" m="1" x="5152"/>
        <item h="1" m="1" x="5363"/>
        <item h="1" m="1" x="5483"/>
        <item h="1" m="1" x="5249"/>
        <item h="1" m="1" x="5484"/>
        <item h="1" m="1" x="2662"/>
        <item h="1" m="1" x="5250"/>
        <item h="1" m="1" x="5485"/>
        <item h="1" m="1" x="5108"/>
        <item h="1" m="1" x="5486"/>
        <item h="1" m="1" x="5487"/>
        <item h="1" m="1" x="5374"/>
        <item h="1" m="1" x="5375"/>
        <item h="1" m="1" x="5376"/>
        <item h="1" m="1" x="5253"/>
        <item h="1" m="1" x="5488"/>
        <item h="1" m="1" x="5489"/>
        <item h="1" m="1" x="5382"/>
        <item h="1" m="1" x="5053"/>
        <item h="1" m="1" x="5490"/>
        <item h="1" m="1" x="5491"/>
        <item h="1" m="1" x="5492"/>
        <item h="1" m="1" x="5493"/>
        <item h="1" m="1" x="5383"/>
        <item h="1" m="1" x="5254"/>
        <item h="1" m="1" x="5494"/>
        <item h="1" m="1" x="5112"/>
        <item h="1" m="1" x="5496"/>
        <item h="1" m="1" x="5497"/>
        <item h="1" m="1" x="4932"/>
        <item h="1" m="1" x="5498"/>
        <item h="1" m="1" x="5499"/>
        <item h="1" m="1" x="5500"/>
        <item h="1" m="1" x="5501"/>
        <item h="1" m="1" x="5062"/>
        <item h="1" m="1" x="1135"/>
        <item h="1" m="1" x="5384"/>
        <item h="1" m="1" x="3767"/>
        <item h="1" m="1" x="5503"/>
        <item h="1" m="1" x="567"/>
        <item h="1" m="1" x="5504"/>
        <item h="1" m="1" x="5505"/>
        <item h="1" m="1" x="5506"/>
        <item h="1" m="1" x="5507"/>
        <item h="1" m="1" x="5508"/>
        <item h="1" m="1" x="5509"/>
        <item h="1" m="1" x="5510"/>
        <item h="1" m="1" x="5511"/>
        <item h="1" m="1" x="5372"/>
        <item h="1" m="1" x="5512"/>
        <item h="1" m="1" x="5513"/>
        <item h="1" m="1" x="5385"/>
        <item h="1" m="1" x="5260"/>
        <item h="1" m="1" x="5386"/>
        <item h="1" m="1" x="5387"/>
        <item h="1" m="1" x="5388"/>
        <item h="1" m="1" x="5515"/>
        <item h="1" m="1" x="5517"/>
        <item h="1" m="1" x="5262"/>
        <item h="1" m="1" x="5373"/>
        <item h="1" m="1" x="5519"/>
        <item h="1" m="1" x="4343"/>
        <item h="1" m="1" x="5033"/>
        <item h="1" m="1" x="5521"/>
        <item h="1" m="1" x="5522"/>
        <item h="1" m="1" x="5524"/>
        <item h="1" m="1" x="344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4612"/>
        <item h="1" m="1" x="5533"/>
        <item h="1" m="1" x="5272"/>
        <item h="1" m="1" x="2182"/>
        <item h="1" m="1" x="5535"/>
        <item h="1" m="1" x="5377"/>
        <item h="1" m="1" x="5379"/>
        <item h="1" m="1" x="5380"/>
        <item h="1" m="1" x="4973"/>
        <item h="1" m="1" x="5381"/>
        <item h="1" m="1" x="4618"/>
        <item h="1" m="1" x="5271"/>
        <item h="1" m="1" x="5252"/>
        <item h="1" m="1" x="5058"/>
        <item h="1" m="1" x="4811"/>
        <item h="1" m="1" x="4996"/>
        <item h="1" m="1" x="4997"/>
        <item h="1" m="1" x="4998"/>
        <item h="1" m="1" x="5273"/>
        <item h="1" m="1" x="5274"/>
        <item h="1" m="1" x="5255"/>
        <item h="1" m="1" x="5256"/>
        <item h="1" m="1" x="5389"/>
        <item h="1" m="1" x="5390"/>
        <item h="1" m="1" x="5391"/>
        <item h="1" m="1" x="5392"/>
        <item h="1" m="1" x="5393"/>
        <item h="1" m="1" x="5257"/>
        <item h="1" m="1" x="5275"/>
        <item h="1" m="1" x="5276"/>
        <item h="1" m="1" x="5048"/>
        <item h="1" m="1" x="5277"/>
        <item h="1" m="1" x="5395"/>
        <item h="1" m="1" x="5396"/>
        <item h="1" m="1" x="5397"/>
        <item h="1" m="1" x="5398"/>
        <item h="1" m="1" x="3618"/>
        <item h="1" m="1" x="5261"/>
        <item h="1" m="1" x="5013"/>
        <item h="1" m="1" x="5399"/>
        <item h="1" m="1" x="5263"/>
        <item h="1" m="1" x="5400"/>
        <item h="1" m="1" x="5121"/>
        <item h="1" m="1" x="5001"/>
        <item h="1" m="1" x="5002"/>
        <item h="1" m="1" x="5264"/>
        <item h="1" m="1" x="5265"/>
        <item h="1" m="1" x="5401"/>
        <item h="1" m="1" x="5402"/>
        <item h="1" m="1" x="5102"/>
        <item h="1" m="1" x="5403"/>
        <item h="1" m="1" x="2312"/>
        <item h="1" m="1" x="1014"/>
        <item h="1" m="1" x="5140"/>
        <item h="1" m="1" x="5404"/>
        <item h="1" m="1" x="5278"/>
        <item h="1" m="1" x="5405"/>
        <item h="1" m="1" x="5406"/>
        <item h="1" m="1" x="5407"/>
        <item h="1" m="1" x="4981"/>
        <item h="1" m="1" x="5087"/>
        <item h="1" m="1" x="5279"/>
        <item h="1" m="1" x="4427"/>
        <item h="1" m="1" x="5267"/>
        <item h="1" m="1" x="4912"/>
        <item h="1" m="1" x="5408"/>
        <item h="1" m="1" x="5409"/>
        <item h="1" m="1" x="5410"/>
        <item h="1" m="1" x="5280"/>
        <item h="1" m="1" x="5411"/>
        <item h="1" m="1" x="5412"/>
        <item h="1" m="1" x="5413"/>
        <item h="1" m="1" x="5414"/>
        <item h="1" m="1" x="5268"/>
        <item h="1" m="1" x="5269"/>
        <item h="1" m="1" x="5270"/>
        <item h="1" m="1" x="5415"/>
        <item h="1" m="1" x="5281"/>
        <item h="1" m="1" x="5117"/>
        <item h="1" m="1" x="5282"/>
        <item h="1" m="1" x="5416"/>
        <item h="1" m="1" x="5009"/>
        <item h="1" m="1" x="5418"/>
        <item h="1" m="1" x="5131"/>
        <item h="1" m="1" x="5132"/>
        <item h="1" m="1" x="5133"/>
        <item h="1" m="1" x="4388"/>
        <item h="1" m="1" x="5147"/>
        <item h="1" m="1" x="5150"/>
        <item h="1" m="1" x="5151"/>
        <item h="1" m="1" x="5233"/>
        <item h="1" m="1" x="5283"/>
        <item h="1" m="1" x="5284"/>
        <item h="1" m="1" x="5285"/>
        <item h="1" m="1" x="5286"/>
        <item h="1" m="1" x="5054"/>
        <item h="1" m="1" x="4619"/>
        <item h="1" m="1" x="5057"/>
        <item h="1" m="1" x="2667"/>
        <item h="1" m="1" x="5287"/>
        <item h="1" m="1" x="5288"/>
        <item h="1" m="1" x="5289"/>
        <item h="1" m="1" x="5290"/>
        <item h="1" m="1" x="5113"/>
        <item h="1" m="1" x="5081"/>
        <item h="1" m="1" x="5291"/>
        <item h="1" m="1" x="571"/>
        <item h="1" m="1" x="5292"/>
        <item h="1" m="1" x="5088"/>
        <item h="1" m="1" x="4620"/>
        <item h="1" m="1" x="5293"/>
        <item h="1" m="1" x="5294"/>
        <item h="1" m="1" x="5295"/>
        <item h="1" m="1" x="5296"/>
        <item h="1" m="1" x="4999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118"/>
        <item h="1" m="1" x="5119"/>
        <item h="1" m="1" x="4750"/>
        <item h="1" m="1" x="5312"/>
        <item h="1" m="1" x="5313"/>
        <item h="1" m="1" x="5314"/>
        <item h="1" m="1" x="5315"/>
        <item h="1" m="1" x="4914"/>
        <item h="1" m="1" x="5141"/>
        <item h="1" m="1" x="5316"/>
        <item h="1" m="1" x="5317"/>
        <item h="1" m="1" x="5101"/>
        <item h="1" m="1" x="5319"/>
        <item h="1" m="1" x="4858"/>
        <item h="1" m="1" x="5320"/>
        <item h="1" m="1" x="5321"/>
        <item h="1" m="1" x="5134"/>
        <item h="1" m="1" x="5135"/>
        <item h="1" m="1" x="5136"/>
        <item h="1" m="1" x="5137"/>
        <item h="1" m="1" x="5138"/>
        <item h="1" m="1" x="5139"/>
        <item h="1" m="1" x="5041"/>
        <item h="1" m="1" x="5085"/>
        <item h="1" m="1" x="5069"/>
        <item h="1" m="1" x="5322"/>
        <item h="1" m="1" x="5323"/>
        <item h="1" m="1" x="5324"/>
        <item h="1" m="1" x="4530"/>
        <item h="1" m="1" x="4539"/>
        <item h="1" m="1" x="4531"/>
        <item h="1" m="1" x="5325"/>
        <item h="1" m="1" x="5326"/>
        <item h="1" m="1" x="5327"/>
        <item h="1" m="1" x="4929"/>
        <item h="1" m="1" x="5328"/>
        <item h="1" m="1" x="5329"/>
        <item h="1" m="1" x="5330"/>
        <item h="1" m="1" x="5331"/>
        <item h="1" m="1" x="5073"/>
        <item h="1" m="1" x="5044"/>
        <item h="1" m="1" x="5332"/>
        <item h="1" m="1" x="5333"/>
        <item h="1" m="1" x="5043"/>
        <item h="1" m="1" x="5334"/>
        <item h="1" m="1" x="5335"/>
        <item h="1" m="1" x="5336"/>
        <item h="1" m="1" x="5337"/>
        <item h="1" m="1" x="5338"/>
        <item h="1" m="1" x="5030"/>
        <item h="1" m="1" x="5031"/>
        <item h="1" m="1" x="5032"/>
        <item h="1" m="1" x="2778"/>
        <item h="1" m="1" x="5036"/>
        <item h="1" m="1" x="3028"/>
        <item h="1" m="1" x="4707"/>
        <item h="1" m="1" x="4631"/>
        <item h="1" m="1" x="3518"/>
        <item h="1" m="1" x="5038"/>
        <item h="1" m="1" x="5039"/>
        <item h="1" m="1" x="5040"/>
        <item h="1" m="1" x="5075"/>
        <item h="1" m="1" x="5339"/>
        <item h="1" m="1" x="5340"/>
        <item h="1" m="1" x="5006"/>
        <item h="1" m="1" x="3938"/>
        <item h="1" m="1" x="5128"/>
        <item h="1" m="1" x="4982"/>
        <item h="1" m="1" x="4908"/>
        <item h="1" m="1" x="4984"/>
        <item h="1" m="1" x="4985"/>
        <item h="1" m="1" x="4986"/>
        <item h="1" m="1" x="4987"/>
        <item h="1" m="1" x="4728"/>
        <item h="1" m="1" x="4988"/>
        <item h="1" m="1" x="4990"/>
        <item h="1" m="1" x="4991"/>
        <item h="1" m="1" x="4992"/>
        <item h="1" m="1" x="4993"/>
        <item h="1" m="1" x="4994"/>
        <item h="1" m="1" x="4995"/>
        <item h="1" m="1" x="4532"/>
        <item h="1" m="1" x="4622"/>
        <item h="1" m="1" x="1298"/>
        <item h="1" m="1" x="5003"/>
        <item h="1" m="1" x="4611"/>
        <item h="1" m="1" x="5004"/>
        <item h="1" m="1" x="5005"/>
        <item h="1" m="1" x="4812"/>
        <item h="1" m="1" x="5007"/>
        <item h="1" m="1" x="5008"/>
        <item h="1" m="1" x="5010"/>
        <item h="1" m="1" x="5012"/>
        <item h="1" m="1" x="5011"/>
        <item h="1" m="1" x="5014"/>
        <item h="1" m="1" x="5018"/>
        <item h="1" m="1" x="5017"/>
        <item h="1" m="1" x="5015"/>
        <item h="1" m="1" x="5016"/>
        <item h="1" m="1" x="4066"/>
        <item h="1" m="1" x="5019"/>
        <item h="1" m="1" x="5020"/>
        <item h="1" m="1" x="5022"/>
        <item h="1" m="1" x="4137"/>
        <item h="1" m="1" x="4632"/>
        <item h="1" m="1" x="5023"/>
        <item h="1" m="1" x="5024"/>
        <item h="1" m="1" x="5027"/>
        <item h="1" m="1" x="5026"/>
        <item h="1" m="1" x="2913"/>
        <item h="1" m="1" x="4537"/>
        <item h="1" m="1" x="5045"/>
        <item h="1" m="1" x="3703"/>
        <item h="1" m="1" x="4937"/>
        <item h="1" m="1" x="4945"/>
        <item h="1" m="1" x="5046"/>
        <item h="1" m="1" x="5047"/>
        <item h="1" m="1" x="5051"/>
        <item h="1" m="1" x="4948"/>
        <item h="1" m="1" x="4754"/>
        <item h="1" m="1" x="4197"/>
        <item h="1" m="1" x="4621"/>
        <item h="1" m="1" x="2299"/>
        <item h="1" m="1" x="4759"/>
        <item h="1" m="1" x="5060"/>
        <item h="1" m="1" x="5072"/>
        <item h="1" m="1" x="5071"/>
        <item h="1" m="1" x="5074"/>
        <item h="1" m="1" x="5076"/>
        <item h="1" m="1" x="5077"/>
        <item h="1" m="1" x="5078"/>
        <item h="1" m="1" x="4954"/>
        <item h="1" m="1" x="4955"/>
        <item h="1" m="1" x="4953"/>
        <item h="1" m="1" x="5079"/>
        <item h="1" m="1" x="5080"/>
        <item h="1" m="1" x="5084"/>
        <item h="1" m="1" x="4960"/>
        <item h="1" m="1" x="2579"/>
        <item h="1" m="1" x="4966"/>
        <item h="1" m="1" x="5089"/>
        <item h="1" m="1" x="5090"/>
        <item h="1" m="1" x="5091"/>
        <item h="1" m="1" x="5092"/>
        <item h="1" m="1" x="5096"/>
        <item h="1" m="1" x="4974"/>
        <item h="1" m="1" x="5095"/>
        <item h="1" m="1" x="5093"/>
        <item h="1" m="1" x="5094"/>
        <item h="1" m="1" x="5097"/>
        <item h="1" m="1" x="5099"/>
        <item h="1" m="1" x="5100"/>
        <item h="1" m="1" x="5098"/>
        <item h="1" x="14"/>
        <item h="1" m="1" x="5103"/>
        <item h="1" m="1" x="5104"/>
        <item h="1" m="1" x="5105"/>
        <item h="1" m="1" x="4975"/>
        <item h="1" m="1" x="4976"/>
        <item h="1" m="1" x="4883"/>
        <item h="1" m="1" x="5110"/>
        <item h="1" m="1" x="4853"/>
        <item h="1" m="1" x="5111"/>
        <item h="1" m="1" x="4623"/>
        <item h="1" m="1" x="5114"/>
        <item h="1" m="1" x="5115"/>
        <item h="1" m="1" x="1522"/>
        <item h="1" m="1" x="5120"/>
        <item h="1" m="1" x="5116"/>
        <item h="1" m="1" x="5130"/>
        <item h="1" m="1" x="5124"/>
        <item h="1" m="1" x="5125"/>
        <item h="1" m="1" x="5126"/>
        <item h="1" m="1" x="5127"/>
        <item h="1" m="1" x="4902"/>
        <item h="1" m="1" x="4903"/>
        <item h="1" m="1" x="4904"/>
        <item h="1" m="1" x="4907"/>
        <item h="1" m="1" x="4909"/>
        <item h="1" m="1" x="4910"/>
        <item h="1" m="1" x="4913"/>
        <item h="1" m="1" x="4797"/>
        <item h="1" m="1" x="4916"/>
        <item h="1" m="1" x="4917"/>
        <item h="1" m="1" x="4918"/>
        <item h="1" m="1" x="4919"/>
        <item h="1" m="1" x="4920"/>
        <item h="1" m="1" x="4921"/>
        <item h="1" m="1" x="4922"/>
        <item h="1" m="1" x="4923"/>
        <item h="1" m="1" x="4924"/>
        <item h="1" m="1" x="4925"/>
        <item h="1" m="1" x="4431"/>
        <item h="1" m="1" x="4927"/>
        <item h="1" m="1" x="4844"/>
        <item h="1" m="1" x="4817"/>
        <item h="1" m="1" x="4816"/>
        <item h="1" m="1" x="4928"/>
        <item h="1" m="1" x="4430"/>
        <item h="1" m="1" x="4830"/>
        <item h="1" m="1" x="4835"/>
        <item h="1" m="1" x="4936"/>
        <item h="1" m="1" x="4939"/>
        <item h="1" m="1" x="4436"/>
        <item h="1" m="1" x="4940"/>
        <item h="1" m="1" x="4941"/>
        <item h="1" m="1" x="4942"/>
        <item h="1" m="1" x="4943"/>
        <item h="1" m="1" x="4944"/>
        <item h="1" m="1" x="4434"/>
        <item h="1" m="1" x="4423"/>
        <item h="1" m="1" x="4946"/>
        <item h="1" m="1" x="4947"/>
        <item h="1" m="1" x="4846"/>
        <item h="1" m="1" x="4230"/>
        <item h="1" m="1" x="4324"/>
        <item h="1" m="1" x="4949"/>
        <item h="1" m="1" x="4196"/>
        <item h="1" m="1" x="4540"/>
        <item h="1" m="1" x="4845"/>
        <item h="1" m="1" x="4624"/>
        <item h="1" m="1" x="4534"/>
        <item h="1" m="1" x="4950"/>
        <item h="1" m="1" x="4852"/>
        <item h="1" m="1" x="3577"/>
        <item h="1" m="1" x="4428"/>
        <item h="1" m="1" x="4959"/>
        <item h="1" m="1" x="4961"/>
        <item h="1" m="1" x="4962"/>
        <item h="1" m="1" x="4963"/>
        <item h="1" m="1" x="4964"/>
        <item h="1" m="1" x="4965"/>
        <item h="1" m="1" x="4538"/>
        <item h="1" m="1" x="4533"/>
        <item h="1" m="1" x="4553"/>
        <item h="1" m="1" x="4968"/>
        <item h="1" m="1" x="472"/>
        <item h="1" m="1" x="4969"/>
        <item h="1" m="1" x="4970"/>
        <item h="1" m="1" x="4971"/>
        <item h="1" m="1" x="4972"/>
        <item h="1" m="1" x="4769"/>
        <item h="1" m="1" x="4156"/>
        <item h="1" m="1" x="4770"/>
        <item h="1" m="1" x="3667"/>
        <item h="1" m="1" x="4327"/>
        <item h="1" m="1" x="3051"/>
        <item h="1" m="1" x="4885"/>
        <item h="1" m="1" x="4889"/>
        <item h="1" m="1" x="4894"/>
        <item h="1" m="1" x="4895"/>
        <item h="1" m="1" x="4892"/>
        <item h="1" m="1" x="4980"/>
        <item h="1" m="1" x="4900"/>
        <item h="1" m="1" x="4780"/>
        <item h="1" m="1" x="4781"/>
        <item h="1" m="1" x="4782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1669"/>
        <item h="1" m="1" x="4793"/>
        <item h="1" m="1" x="4700"/>
        <item h="1" m="1" x="4794"/>
        <item h="1" m="1" x="4795"/>
        <item h="1" m="1" x="3769"/>
        <item h="1" m="1" x="4796"/>
        <item h="1" m="1" x="4626"/>
        <item h="1" m="1" x="4727"/>
        <item h="1" m="1" x="4799"/>
        <item h="1" m="1" x="4800"/>
        <item h="1" m="1" x="4802"/>
        <item h="1" m="1" x="4803"/>
        <item h="1" m="1" x="4446"/>
        <item h="1" m="1" x="4732"/>
        <item h="1" m="1" x="4731"/>
        <item h="1" m="1" x="4804"/>
        <item h="1" m="1" x="3184"/>
        <item h="1" m="1" x="4737"/>
        <item h="1" m="1" x="4805"/>
        <item h="1" m="1" x="4806"/>
        <item h="1" m="1" x="4807"/>
        <item h="1" m="1" x="4808"/>
        <item h="1" m="1" x="4809"/>
        <item h="1" m="1" x="4421"/>
        <item h="1" m="1" x="3240"/>
        <item h="1" m="1" x="4818"/>
        <item h="1" m="1" x="4819"/>
        <item h="1" m="1" x="4820"/>
        <item h="1" m="1" x="4821"/>
        <item h="1" m="1" x="4823"/>
        <item h="1" m="1" x="4824"/>
        <item h="1" m="1" x="4825"/>
        <item h="1" m="1" x="4827"/>
        <item h="1" m="1" x="4828"/>
        <item h="1" m="1" x="4829"/>
        <item h="1" m="1" x="4833"/>
        <item h="1" m="1" x="4630"/>
        <item h="1" m="1" x="4834"/>
        <item h="1" m="1" x="4836"/>
        <item h="1" m="1" x="4625"/>
        <item h="1" m="1" x="4838"/>
        <item h="1" m="1" x="4841"/>
        <item h="1" m="1" x="4842"/>
        <item h="1" m="1" x="4843"/>
        <item h="1" m="1" x="3113"/>
        <item h="1" m="1" x="4149"/>
        <item h="1" m="1" x="4150"/>
        <item h="1" m="1" x="2804"/>
        <item h="1" m="1" x="4758"/>
        <item h="1" m="1" x="4847"/>
        <item h="1" m="1" x="1899"/>
        <item h="1" m="1" x="4848"/>
        <item h="1" m="1" x="4760"/>
        <item h="1" m="1" x="4851"/>
        <item h="1" m="1" x="4594"/>
        <item h="1" m="1" x="4854"/>
        <item h="1" m="1" x="4856"/>
        <item h="1" m="1" x="4857"/>
        <item h="1" m="1" x="4764"/>
        <item h="1" m="1" x="4860"/>
        <item h="1" m="1" x="4861"/>
        <item h="1" m="1" x="4771"/>
        <item h="1" m="1" x="4866"/>
        <item h="1" m="1" x="4867"/>
        <item h="1" m="1" x="4544"/>
        <item h="1" m="1" x="4868"/>
        <item h="1" m="1" x="4252"/>
        <item h="1" m="1" x="4450"/>
        <item h="1" m="1" x="4451"/>
        <item h="1" m="1" x="4766"/>
        <item h="1" m="1" x="4870"/>
        <item h="1" m="1" x="4871"/>
        <item h="1" m="1" x="4429"/>
        <item h="1" m="1" x="4873"/>
        <item h="1" m="1" x="4874"/>
        <item h="1" m="1" x="4876"/>
        <item h="1" m="1" x="621"/>
        <item h="1" m="1" x="4880"/>
        <item h="1" m="1" x="4881"/>
        <item h="1" m="1" x="4882"/>
        <item h="1" m="1" x="4890"/>
        <item h="1" m="1" x="4891"/>
        <item h="1" m="1" x="4897"/>
        <item h="1" m="1" x="4898"/>
        <item h="1" m="1" x="4325"/>
        <item h="1" m="1" x="3223"/>
        <item h="1" m="1" x="3608"/>
        <item h="1" m="1" x="4097"/>
        <item h="1" m="1" x="4549"/>
        <item h="1" m="1" x="4715"/>
        <item h="1" m="1" x="4716"/>
        <item h="1" m="1" x="4636"/>
        <item h="1" m="1" x="4637"/>
        <item h="1" m="1" x="4718"/>
        <item h="1" m="1" x="4719"/>
        <item h="1" m="1" x="4720"/>
        <item h="1" m="1" x="4721"/>
        <item h="1" m="1" x="4722"/>
        <item h="1" m="1" x="4723"/>
        <item h="1" m="1" x="4724"/>
        <item h="1" m="1" x="4725"/>
        <item h="1" m="1" x="4729"/>
        <item h="1" m="1" x="4730"/>
        <item h="1" m="1" x="4734"/>
        <item h="1" m="1" x="4735"/>
        <item h="1" m="1" x="4736"/>
        <item h="1" m="1" x="4738"/>
        <item h="1" m="1" x="4740"/>
        <item h="1" m="1" x="4741"/>
        <item h="1" m="1" x="4742"/>
        <item h="1" m="1" x="4448"/>
        <item h="1" m="1" x="4744"/>
        <item h="1" m="1" x="3932"/>
        <item h="1" m="1" x="3673"/>
        <item h="1" m="1" x="3933"/>
        <item h="1" m="1" x="3218"/>
        <item h="1" m="1" x="4745"/>
        <item h="1" m="1" x="4642"/>
        <item h="1" m="1" x="4643"/>
        <item h="1" m="1" x="3361"/>
        <item h="1" m="1" x="4644"/>
        <item h="1" m="1" x="4639"/>
        <item h="1" m="1" x="4640"/>
        <item h="1" m="1" x="4641"/>
        <item h="1" m="1" x="4633"/>
        <item h="1" m="1" x="4746"/>
        <item h="1" m="1" x="4747"/>
        <item h="1" m="1" x="4748"/>
        <item h="1" m="1" x="4749"/>
        <item h="1" m="1" x="4627"/>
        <item h="1" m="1" x="4227"/>
        <item h="1" m="1" x="4228"/>
        <item h="1" m="1" x="4229"/>
        <item h="1" m="1" x="3985"/>
        <item h="1" m="1" x="4234"/>
        <item h="1" m="1" x="4751"/>
        <item h="1" m="1" x="4231"/>
        <item h="1" m="1" x="4753"/>
        <item h="1" m="1" x="4755"/>
        <item h="1" m="1" x="4756"/>
        <item h="1" m="1" x="4757"/>
        <item h="1" m="1" x="4761"/>
        <item h="1" m="1" x="4762"/>
        <item h="1" m="1" x="4763"/>
        <item h="1" m="1" x="4001"/>
        <item h="1" m="1" x="4003"/>
        <item h="1" m="1" x="4005"/>
        <item h="1" m="1" x="3995"/>
        <item h="1" m="1" x="4635"/>
        <item h="1" m="1" x="4036"/>
        <item h="1" m="1" x="4442"/>
        <item h="1" m="1" x="4765"/>
        <item h="1" m="1" x="4634"/>
        <item h="1" m="1" x="4767"/>
        <item h="1" m="1" x="4768"/>
        <item h="1" m="1" x="4772"/>
        <item h="1" m="1" x="4773"/>
        <item h="1" m="1" x="4774"/>
        <item h="1" m="1" x="4054"/>
        <item h="1" m="1" x="4775"/>
        <item h="1" m="1" x="4776"/>
        <item h="1" x="77"/>
        <item h="1" m="1" x="3472"/>
        <item h="1" m="1" x="4638"/>
        <item h="1" m="1" x="4328"/>
        <item h="1" m="1" x="4190"/>
        <item h="1" m="1" x="4080"/>
        <item h="1" m="1" x="4191"/>
        <item h="1" m="1" x="4317"/>
        <item h="1" m="1" x="4192"/>
        <item h="1" m="1" x="4777"/>
        <item h="1" m="1" x="4268"/>
        <item h="1" m="1" x="4269"/>
        <item h="1" m="1" x="4778"/>
        <item h="1" m="1" x="3236"/>
        <item h="1" m="1" x="4319"/>
        <item h="1" m="1" x="4145"/>
        <item h="1" m="1" x="3122"/>
        <item h="1" m="1" x="3718"/>
        <item h="1" m="1" x="4615"/>
        <item h="1" m="1" x="2138"/>
        <item h="1" m="1" x="3194"/>
        <item h="1" m="1" x="3222"/>
        <item h="1" m="1" x="4435"/>
        <item h="1" m="1" x="2550"/>
        <item h="1" m="1" x="3117"/>
        <item h="1" m="1" x="4233"/>
        <item h="1" m="1" x="4449"/>
        <item h="1" m="1" x="4645"/>
        <item h="1" m="1" x="4646"/>
        <item h="1" m="1" x="4647"/>
        <item h="1" m="1" x="4649"/>
        <item h="1" m="1" x="4650"/>
        <item h="1" m="1" x="4443"/>
        <item h="1" m="1" x="4102"/>
        <item h="1" m="1" x="4651"/>
        <item h="1" m="1" x="4652"/>
        <item h="1" m="1" x="4653"/>
        <item h="1" m="1" x="4654"/>
        <item h="1" m="1" x="4597"/>
        <item h="1" m="1" x="4655"/>
        <item h="1" m="1" x="4656"/>
        <item h="1" m="1" x="4542"/>
        <item h="1" m="1" x="4657"/>
        <item h="1" m="1" x="4180"/>
        <item h="1" m="1" x="3241"/>
        <item h="1" m="1" x="4006"/>
        <item h="1" m="1" x="4658"/>
        <item h="1" m="1" x="3748"/>
        <item h="1" m="1" x="4659"/>
        <item h="1" m="1" x="4660"/>
        <item h="1" m="1" x="4661"/>
        <item h="1" m="1" x="4662"/>
        <item h="1" m="1" x="4552"/>
        <item h="1" m="1" x="4329"/>
        <item h="1" m="1" x="4330"/>
        <item h="1" m="1" x="4663"/>
        <item h="1" m="1" x="4664"/>
        <item h="1" m="1" x="3990"/>
        <item h="1" m="1" x="3991"/>
        <item h="1" m="1" x="4666"/>
        <item h="1" m="1" x="4667"/>
        <item h="1" m="1" x="4668"/>
        <item h="1" m="1" x="4669"/>
        <item h="1" m="1" x="4670"/>
        <item h="1" m="1" x="4671"/>
        <item h="1" m="1" x="4547"/>
        <item h="1" m="1" x="4672"/>
        <item h="1" m="1" x="4444"/>
        <item h="1" m="1" x="4673"/>
        <item h="1" m="1" x="4543"/>
        <item h="1" m="1" x="4439"/>
        <item h="1" m="1" x="4546"/>
        <item h="1" m="1" x="4675"/>
        <item h="1" m="1" x="4676"/>
        <item h="1" m="1" x="4677"/>
        <item h="1" m="1" x="4678"/>
        <item h="1" m="1" x="4679"/>
        <item h="1" m="1" x="4445"/>
        <item h="1" m="1" x="4551"/>
        <item h="1" m="1" x="4680"/>
        <item h="1" m="1" x="4447"/>
        <item h="1" m="1" x="4438"/>
        <item h="1" m="1" x="4541"/>
        <item h="1" m="1" x="4681"/>
        <item h="1" m="1" x="4683"/>
        <item h="1" m="1" x="4684"/>
        <item h="1" m="1" x="4685"/>
        <item h="1" m="1" x="4686"/>
        <item h="1" m="1" x="4332"/>
        <item h="1" m="1" x="4096"/>
        <item h="1" m="1" x="4331"/>
        <item h="1" m="1" x="4687"/>
        <item h="1" m="1" x="4688"/>
        <item h="1" m="1" x="4689"/>
        <item h="1" m="1" x="4690"/>
        <item h="1" m="1" x="4692"/>
        <item h="1" m="1" x="4179"/>
        <item h="1" m="1" x="4200"/>
        <item h="1" m="1" x="4693"/>
        <item h="1" m="1" x="4017"/>
        <item h="1" m="1" x="4545"/>
        <item h="1" m="1" x="4018"/>
        <item h="1" m="1" x="4019"/>
        <item h="1" m="1" x="3935"/>
        <item h="1" m="1" x="4694"/>
        <item h="1" m="1" x="4696"/>
        <item h="1" m="1" x="4697"/>
        <item h="1" m="1" x="4698"/>
        <item h="1" m="1" x="4699"/>
        <item h="1" m="1" x="4701"/>
        <item h="1" m="1" x="4702"/>
        <item h="1" m="1" x="4033"/>
        <item h="1" m="1" x="4440"/>
        <item h="1" m="1" x="4340"/>
        <item h="1" m="1" x="4703"/>
        <item h="1" m="1" x="4056"/>
        <item h="1" m="1" x="3939"/>
        <item h="1" x="88"/>
        <item h="1" m="1" x="3840"/>
        <item h="1" m="1" x="3691"/>
        <item h="1" m="1" x="4704"/>
        <item h="1" m="1" x="4705"/>
        <item h="1" m="1" x="4706"/>
        <item h="1" m="1" x="4708"/>
        <item h="1" m="1" x="4067"/>
        <item h="1" m="1" x="4068"/>
        <item h="1" m="1" x="4710"/>
        <item h="1" m="1" x="4178"/>
        <item h="1" m="1" x="3172"/>
        <item h="1" m="1" x="4035"/>
        <item h="1" m="1" x="3768"/>
        <item h="1" m="1" x="4235"/>
        <item h="1" m="1" x="4711"/>
        <item h="1" m="1" x="4712"/>
        <item h="1" m="1" x="4713"/>
        <item h="1" m="1" x="4714"/>
        <item h="1" m="1" x="3944"/>
        <item h="1" m="1" x="3843"/>
        <item h="1" m="1" x="4275"/>
        <item h="1" m="1" x="4276"/>
        <item h="1" m="1" x="4322"/>
        <item h="1" m="1" x="4323"/>
        <item h="1" m="1" x="4320"/>
        <item h="1" m="1" x="4321"/>
        <item h="1" m="1" x="4536"/>
        <item h="1" m="1" x="4310"/>
        <item h="1" m="1" x="3174"/>
        <item h="1" m="1" x="4285"/>
        <item h="1" m="1" x="4554"/>
        <item h="1" m="1" x="4555"/>
        <item h="1" m="1" x="4452"/>
        <item h="1" m="1" x="4453"/>
        <item h="1" m="1" x="3982"/>
        <item h="1" x="111"/>
        <item h="1" m="1" x="4055"/>
        <item h="1" m="1" x="3681"/>
        <item h="1" m="1" x="3682"/>
        <item h="1" m="1" x="3683"/>
        <item h="1" m="1" x="355"/>
        <item h="1" m="1" x="4556"/>
        <item h="1" m="1" x="4557"/>
        <item h="1" m="1" x="4558"/>
        <item h="1" m="1" x="4334"/>
        <item h="1" m="1" x="4559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574"/>
        <item h="1" m="1" x="4575"/>
        <item h="1" m="1" x="4459"/>
        <item h="1" m="1" x="4461"/>
        <item h="1" m="1" x="4462"/>
        <item h="1" m="1" x="4460"/>
        <item h="1" m="1" x="4477"/>
        <item h="1" m="1" x="4480"/>
        <item h="1" m="1" x="4481"/>
        <item h="1" m="1" x="4028"/>
        <item h="1" m="1" x="4479"/>
        <item h="1" m="1" x="4473"/>
        <item h="1" m="1" x="4032"/>
        <item h="1" m="1" x="3747"/>
        <item h="1" m="1" x="4576"/>
        <item h="1" m="1" x="4577"/>
        <item h="1" m="1" x="4578"/>
        <item h="1" m="1" x="4579"/>
        <item h="1" m="1" x="2306"/>
        <item h="1" m="1" x="4580"/>
        <item h="1" m="1" x="4177"/>
        <item h="1" m="1" x="4175"/>
        <item h="1" m="1" x="4181"/>
        <item h="1" m="1" x="4176"/>
        <item h="1" m="1" x="4201"/>
        <item h="1" m="1" x="4581"/>
        <item h="1" m="1" x="4582"/>
        <item h="1" m="1" x="4583"/>
        <item h="1" m="1" x="4584"/>
        <item h="1" m="1" x="2071"/>
        <item h="1" m="1" x="4585"/>
        <item h="1" m="1" x="4586"/>
        <item h="1" m="1" x="4491"/>
        <item h="1" m="1" x="4494"/>
        <item h="1" m="1" x="4588"/>
        <item h="1" m="1" x="4589"/>
        <item h="1" x="246"/>
        <item h="1" m="1" x="4499"/>
        <item h="1" m="1" x="4590"/>
        <item h="1" m="1" x="4335"/>
        <item h="1" m="1" x="3141"/>
        <item h="1" m="1" x="4591"/>
        <item h="1" m="1" x="4592"/>
        <item h="1" m="1" x="4593"/>
        <item h="1" m="1" x="4595"/>
        <item h="1" m="1" x="4596"/>
        <item h="1" m="1" x="4598"/>
        <item h="1" m="1" x="4599"/>
        <item h="1" m="1" x="2123"/>
        <item h="1" m="1" x="4600"/>
        <item h="1" m="1" x="4601"/>
        <item h="1" m="1" x="4501"/>
        <item h="1" m="1" x="4339"/>
        <item h="1" m="1" x="662"/>
        <item h="1" m="1" x="4602"/>
        <item h="1" m="1" x="4603"/>
        <item h="1" m="1" x="3266"/>
        <item h="1" m="1" x="4604"/>
        <item h="1" m="1" x="4605"/>
        <item h="1" m="1" x="3077"/>
        <item h="1" m="1" x="4606"/>
        <item h="1" m="1" x="4607"/>
        <item h="1" m="1" x="4608"/>
        <item h="1" m="1" x="4609"/>
        <item h="1" m="1" x="1262"/>
        <item h="1" m="1" x="1011"/>
        <item h="1" m="1" x="3744"/>
        <item h="1" m="1" x="3153"/>
        <item h="1" m="1" x="3742"/>
        <item h="1" m="1" x="3743"/>
        <item h="1" m="1" x="3832"/>
        <item h="1" m="1" x="3656"/>
        <item h="1" m="1" x="4342"/>
        <item h="1" m="1" x="4344"/>
        <item h="1" m="1" x="4454"/>
        <item h="1" m="1" x="3971"/>
        <item h="1" m="1" x="3972"/>
        <item h="1" m="1" x="4455"/>
        <item h="1" m="1" x="4456"/>
        <item h="1" m="1" x="4457"/>
        <item h="1" m="1" x="4458"/>
        <item h="1" m="1" x="4351"/>
        <item h="1" m="1" x="4463"/>
        <item h="1" m="1" x="4466"/>
        <item h="1" m="1" x="4468"/>
        <item h="1" m="1" x="4469"/>
        <item h="1" m="1" x="4470"/>
        <item h="1" m="1" x="4471"/>
        <item h="1" m="1" x="2497"/>
        <item h="1" m="1" x="4472"/>
        <item h="1" m="1" x="4474"/>
        <item h="1" m="1" x="4475"/>
        <item h="1" m="1" x="4482"/>
        <item h="1" m="1" x="4483"/>
        <item h="1" m="1" x="4485"/>
        <item h="1" m="1" x="4486"/>
        <item h="1" m="1" x="4488"/>
        <item h="1" m="1" x="4072"/>
        <item h="1" m="1" x="3930"/>
        <item h="1" m="1" x="4193"/>
        <item h="1" m="1" x="3815"/>
        <item h="1" m="1" x="4489"/>
        <item h="1" m="1" x="613"/>
        <item h="1" m="1" x="4492"/>
        <item h="1" m="1" x="4493"/>
        <item h="1" m="1" x="4495"/>
        <item h="1" m="1" x="3629"/>
        <item h="1" m="1" x="3148"/>
        <item h="1" m="1" x="4496"/>
        <item h="1" m="1" x="4303"/>
        <item h="1" m="1" x="4336"/>
        <item h="1" m="1" x="4337"/>
        <item h="1" m="1" x="4497"/>
        <item h="1" m="1" x="4498"/>
        <item h="1" m="1" x="3303"/>
        <item h="1" m="1" x="4500"/>
        <item h="1" m="1" x="3161"/>
        <item h="1" m="1" x="4338"/>
        <item h="1" m="1" x="3160"/>
        <item h="1" m="1" x="3166"/>
        <item h="1" m="1" x="3170"/>
        <item h="1" m="1" x="4502"/>
        <item h="1" m="1" x="4503"/>
        <item h="1" m="1" x="513"/>
        <item h="1" m="1" x="4504"/>
        <item h="1" m="1" x="4505"/>
        <item h="1" m="1" x="4506"/>
        <item h="1" m="1" x="4507"/>
        <item h="1" m="1" x="4508"/>
        <item h="1" m="1" x="4046"/>
        <item h="1" m="1" x="4510"/>
        <item h="1" m="1" x="2173"/>
        <item h="1" m="1" x="4511"/>
        <item h="1" m="1" x="4512"/>
        <item h="1" m="1" x="4048"/>
        <item h="1" m="1" x="4049"/>
        <item h="1" m="1" x="4346"/>
        <item h="1" m="1" x="4513"/>
        <item h="1" m="1" x="3999"/>
        <item h="1" m="1" x="4514"/>
        <item h="1" m="1" x="4515"/>
        <item h="1" m="1" x="4194"/>
        <item h="1" m="1" x="4316"/>
        <item h="1" m="1" x="4263"/>
        <item h="1" m="1" x="4517"/>
        <item h="1" m="1" x="4518"/>
        <item h="1" m="1" x="919"/>
        <item h="1" m="1" x="3133"/>
        <item h="1" m="1" x="3164"/>
        <item h="1" m="1" x="4519"/>
        <item h="1" m="1" x="3163"/>
        <item h="1" m="1" x="3167"/>
        <item h="1" m="1" x="3168"/>
        <item h="1" m="1" x="3198"/>
        <item h="1" m="1" x="4520"/>
        <item h="1" m="1" x="1794"/>
        <item h="1" m="1" x="3185"/>
        <item h="1" m="1" x="4366"/>
        <item h="1" m="1" x="3217"/>
        <item h="1" m="1" x="4369"/>
        <item h="1" m="1" x="4522"/>
        <item h="1" m="1" x="4523"/>
        <item h="1" m="1" x="4524"/>
        <item h="1" m="1" x="3239"/>
        <item h="1" m="1" x="4525"/>
        <item h="1" m="1" x="3894"/>
        <item h="1" m="1" x="3981"/>
        <item h="1" m="1" x="3402"/>
        <item h="1" m="1" x="3948"/>
        <item h="1" m="1" x="3062"/>
        <item h="1" m="1" x="4051"/>
        <item h="1" m="1" x="4052"/>
        <item h="1" m="1" x="4347"/>
        <item h="1" m="1" x="4348"/>
        <item h="1" m="1" x="3542"/>
        <item h="1" m="1" x="4349"/>
        <item h="1" m="1" x="4350"/>
        <item h="1" m="1" x="3719"/>
        <item h="1" m="1" x="4352"/>
        <item h="1" m="1" x="4353"/>
        <item h="1" m="1" x="4014"/>
        <item h="1" m="1" x="4015"/>
        <item h="1" m="1" x="4016"/>
        <item h="1" m="1" x="4009"/>
        <item h="1" m="1" x="4010"/>
        <item h="1" m="1" x="4011"/>
        <item h="1" m="1" x="4012"/>
        <item h="1" m="1" x="4013"/>
        <item h="1" m="1" x="4153"/>
        <item h="1" m="1" x="3570"/>
        <item h="1" m="1" x="3551"/>
        <item h="1" m="1" x="4025"/>
        <item h="1" m="1" x="3850"/>
        <item h="1" m="1" x="3851"/>
        <item h="1" m="1" x="4154"/>
        <item h="1" m="1" x="3314"/>
        <item h="1" m="1" x="3849"/>
        <item h="1" m="1" x="4037"/>
        <item h="1" m="1" x="4034"/>
        <item h="1" m="1" x="4354"/>
        <item h="1" x="66"/>
        <item h="1" m="1" x="3921"/>
        <item h="1" m="1" x="4355"/>
        <item h="1" m="1" x="3670"/>
        <item h="1" m="1" x="3929"/>
        <item h="1" m="1" x="3671"/>
        <item h="1" m="1" x="3931"/>
        <item h="1" m="1" x="4081"/>
        <item h="1" m="1" x="4070"/>
        <item h="1" m="1" x="4198"/>
        <item h="1" m="1" x="4195"/>
        <item h="1" m="1" x="4356"/>
        <item h="1" m="1" x="4265"/>
        <item h="1" m="1" x="4264"/>
        <item h="1" m="1" x="4094"/>
        <item h="1" m="1" x="4357"/>
        <item h="1" m="1" x="4243"/>
        <item h="1" m="1" x="3134"/>
        <item h="1" m="1" x="4301"/>
        <item h="1" m="1" x="3136"/>
        <item h="1" m="1" x="3139"/>
        <item h="1" m="1" x="3173"/>
        <item h="1" m="1" x="3529"/>
        <item h="1" m="1" x="4358"/>
        <item h="1" m="1" x="1354"/>
        <item h="1" m="1" x="4359"/>
        <item h="1" m="1" x="4360"/>
        <item h="1" m="1" x="4361"/>
        <item h="1" m="1" x="4362"/>
        <item h="1" m="1" x="3201"/>
        <item h="1" m="1" x="3315"/>
        <item h="1" m="1" x="4248"/>
        <item h="1" m="1" x="4143"/>
        <item h="1" m="1" x="3205"/>
        <item h="1" m="1" x="3154"/>
        <item h="1" m="1" x="4363"/>
        <item h="1" m="1" x="4364"/>
        <item h="1" m="1" x="4365"/>
        <item h="1" m="1" x="4367"/>
        <item h="1" m="1" x="4368"/>
        <item h="1" m="1" x="3212"/>
        <item h="1" m="1" x="3225"/>
        <item h="1" m="1" x="3231"/>
        <item h="1" m="1" x="3233"/>
        <item h="1" m="1" x="4370"/>
        <item h="1" m="1" x="4213"/>
        <item h="1" m="1" x="4372"/>
        <item h="1" m="1" x="4215"/>
        <item h="1" m="1" x="4294"/>
        <item h="1" m="1" x="4297"/>
        <item h="1" m="1" x="4295"/>
        <item h="1" m="1" x="4293"/>
        <item h="1" m="1" x="4292"/>
        <item h="1" m="1" x="3905"/>
        <item h="1" m="1" x="3534"/>
        <item h="1" m="1" x="4374"/>
        <item h="1" m="1" x="4053"/>
        <item h="1" m="1" x="3941"/>
        <item h="1" x="96"/>
        <item h="1" m="1" x="4008"/>
        <item h="1" m="1" x="3602"/>
        <item h="1" m="1" x="4258"/>
        <item h="1" m="1" x="3123"/>
        <item h="1" m="1" x="4377"/>
        <item h="1" m="1" x="4209"/>
        <item h="1" m="1" x="4280"/>
        <item h="1" m="1" x="315"/>
        <item h="1" m="1" x="4274"/>
        <item h="1" m="1" x="4378"/>
        <item h="1" m="1" x="4379"/>
        <item h="1" m="1" x="4380"/>
        <item h="1" m="1" x="4381"/>
        <item h="1" m="1" x="4382"/>
        <item h="1" m="1" x="4383"/>
        <item h="1" m="1" x="4272"/>
        <item h="1" m="1" x="4273"/>
        <item h="1" m="1" x="4384"/>
        <item h="1" m="1" x="4385"/>
        <item h="1" m="1" x="4296"/>
        <item h="1" m="1" x="4386"/>
        <item h="1" m="1" x="4387"/>
        <item h="1" m="1" x="3881"/>
        <item h="1" m="1" x="1711"/>
        <item h="1" m="1" x="4277"/>
        <item h="1" m="1" x="4278"/>
        <item h="1" m="1" x="4279"/>
        <item h="1" m="1" x="4099"/>
        <item h="1" m="1" x="4281"/>
        <item h="1" m="1" x="4282"/>
        <item h="1" m="1" x="3622"/>
        <item h="1" m="1" x="3468"/>
        <item h="1" m="1" x="3145"/>
        <item h="1" m="1" x="4103"/>
        <item h="1" m="1" x="4283"/>
        <item h="1" m="1" x="3482"/>
        <item h="1" m="1" x="4284"/>
        <item h="1" m="1" x="4286"/>
        <item h="1" m="1" x="4287"/>
        <item h="1" m="1" x="4288"/>
        <item h="1" m="1" x="4289"/>
        <item h="1" m="1" x="4290"/>
        <item h="1" m="1" x="4291"/>
        <item h="1" m="1" x="4298"/>
        <item h="1" m="1" x="4299"/>
        <item h="1" m="1" x="4119"/>
        <item h="1" m="1" x="4300"/>
        <item h="1" m="1" x="3494"/>
        <item h="1" m="1" x="3491"/>
        <item h="1" m="1" x="3655"/>
        <item h="1" m="1" x="3495"/>
        <item h="1" m="1" x="4122"/>
        <item h="1" m="1" x="3920"/>
        <item h="1" m="1" x="3679"/>
        <item h="1" m="1" x="3922"/>
        <item h="1" m="1" x="3235"/>
        <item h="1" m="1" x="3934"/>
        <item h="1" m="1" x="4124"/>
        <item h="1" m="1" x="4302"/>
        <item h="1" m="1" x="3947"/>
        <item h="1" m="1" x="4131"/>
        <item h="1" m="1" x="3943"/>
        <item h="1" m="1" x="4133"/>
        <item h="1" m="1" x="4138"/>
        <item h="1" m="1" x="4139"/>
        <item h="1" m="1" x="4144"/>
        <item h="1" m="1" x="3963"/>
        <item h="1" m="1" x="3955"/>
        <item h="1" m="1" x="3956"/>
        <item h="1" m="1" x="3970"/>
        <item h="1" m="1" x="4304"/>
        <item h="1" m="1" x="4305"/>
        <item h="1" m="1" x="4306"/>
        <item h="1" m="1" x="3823"/>
        <item h="1" m="1" x="4307"/>
        <item h="1" m="1" x="4308"/>
        <item h="1" m="1" x="4309"/>
        <item h="1" m="1" x="3822"/>
        <item h="1" m="1" x="3826"/>
        <item h="1" m="1" x="4226"/>
        <item h="1" m="1" x="3975"/>
        <item h="1" m="1" x="4237"/>
        <item h="1" m="1" x="3988"/>
        <item h="1" m="1" x="4151"/>
        <item h="1" m="1" x="2936"/>
        <item h="1" m="1" x="4311"/>
        <item h="1" m="1" x="4312"/>
        <item h="1" m="1" x="3723"/>
        <item h="1" m="1" x="3729"/>
        <item h="1" m="1" x="4007"/>
        <item h="1" m="1" x="3997"/>
        <item h="1" m="1" x="3855"/>
        <item h="1" m="1" x="4030"/>
        <item h="1" m="1" x="3576"/>
        <item h="1" m="1" x="3094"/>
        <item h="1" m="1" x="4039"/>
        <item h="1" m="1" x="3228"/>
        <item h="1" m="1" x="4313"/>
        <item h="1" m="1" x="4042"/>
        <item h="1" m="1" x="4314"/>
        <item h="1" m="1" x="4172"/>
        <item h="1" m="1" x="3162"/>
        <item h="1" m="1" x="4045"/>
        <item h="1" m="1" x="3460"/>
        <item h="1" m="1" x="2330"/>
        <item h="1" m="1" x="4057"/>
        <item h="1" m="1" x="4073"/>
        <item h="1" m="1" x="4183"/>
        <item h="1" m="1" x="4182"/>
        <item h="1" m="1" x="3601"/>
        <item h="1" m="1" x="4087"/>
        <item h="1" m="1" x="4259"/>
        <item h="1" m="1" x="4260"/>
        <item h="1" m="1" x="4261"/>
        <item h="1" m="1" x="4262"/>
        <item h="1" m="1" x="4093"/>
        <item h="1" m="1" x="3659"/>
        <item h="1" m="1" x="3325"/>
        <item h="1" m="1" x="3798"/>
        <item h="1" m="1" x="3609"/>
        <item h="1" m="1" x="3890"/>
        <item h="1" m="1" x="3891"/>
        <item h="1" m="1" x="1828"/>
        <item h="1" m="1" x="4210"/>
        <item h="1" m="1" x="3186"/>
        <item h="1" m="1" x="3896"/>
        <item h="1" m="1" x="3897"/>
        <item h="1" m="1" x="3898"/>
        <item h="1" m="1" x="3632"/>
        <item h="1" m="1" x="4112"/>
        <item h="1" m="1" x="4211"/>
        <item h="1" m="1" x="3895"/>
        <item h="1" m="1" x="3899"/>
        <item h="1" m="1" x="3155"/>
        <item h="1" m="1" x="3156"/>
        <item h="1" m="1" x="3128"/>
        <item h="1" m="1" x="3147"/>
        <item h="1" m="1" x="3473"/>
        <item h="1" m="1" x="4114"/>
        <item h="1" m="1" x="4214"/>
        <item h="1" m="1" x="4216"/>
        <item h="1" m="1" x="4217"/>
        <item h="1" m="1" x="4219"/>
        <item h="1" m="1" x="2141"/>
        <item h="1" m="1" x="3428"/>
        <item h="1" m="1" x="3429"/>
        <item h="1" m="1" x="3661"/>
        <item h="1" m="1" x="4220"/>
        <item h="1" m="1" x="3914"/>
        <item h="1" m="1" x="3818"/>
        <item h="1" m="1" x="3674"/>
        <item h="1" m="1" x="3927"/>
        <item h="1" m="1" x="3928"/>
        <item h="1" m="1" x="3511"/>
        <item h="1" m="1" x="1150"/>
        <item h="1" m="1" x="4127"/>
        <item h="1" m="1" x="3685"/>
        <item h="1" m="1" x="3698"/>
        <item h="1" m="1" x="4221"/>
        <item h="1" m="1" x="4222"/>
        <item h="1" m="1" x="4223"/>
        <item h="1" m="1" x="4224"/>
        <item h="1" m="1" x="3595"/>
        <item h="1" m="1" x="4147"/>
        <item h="1" m="1" x="3142"/>
        <item h="1" m="1" x="3143"/>
        <item h="1" m="1" x="2203"/>
        <item h="1" m="1" x="2097"/>
        <item h="1" m="1" x="2419"/>
        <item h="1" m="1" x="4239"/>
        <item h="1" m="1" x="4240"/>
        <item h="1" m="1" x="3835"/>
        <item h="1" m="1" x="3989"/>
        <item h="1" m="1" x="3202"/>
        <item h="1" m="1" x="3206"/>
        <item h="1" m="1" x="3207"/>
        <item h="1" m="1" x="3208"/>
        <item h="1" m="1" x="3722"/>
        <item h="1" m="1" x="3998"/>
        <item h="1" m="1" x="4000"/>
        <item h="1" m="1" x="3565"/>
        <item h="1" m="1" x="3732"/>
        <item h="1" m="1" x="3554"/>
        <item h="1" m="1" x="3856"/>
        <item h="1" m="1" x="3553"/>
        <item h="1" m="1" x="3555"/>
        <item h="1" m="1" x="3853"/>
        <item h="1" m="1" x="3459"/>
        <item h="1" m="1" x="3745"/>
        <item h="1" m="1" x="3586"/>
        <item h="1" m="1" x="4168"/>
        <item h="1" m="1" x="3585"/>
        <item h="1" m="1" x="4169"/>
        <item h="1" m="1" x="3159"/>
        <item h="1" m="1" x="3204"/>
        <item h="1" m="1" x="4157"/>
        <item h="1" m="1" x="3169"/>
        <item h="1" m="1" x="4246"/>
        <item h="1" m="1" x="4247"/>
        <item h="1" m="1" x="4160"/>
        <item h="1" m="1" x="4161"/>
        <item h="1" m="1" x="4249"/>
        <item h="1" m="1" x="4250"/>
        <item h="1" m="1" x="4251"/>
        <item h="1" m="1" x="4254"/>
        <item h="1" m="1" x="4255"/>
        <item h="1" m="1" x="4256"/>
        <item h="1" m="1" x="4173"/>
        <item h="1" m="1" x="4065"/>
        <item h="1" m="1" x="4174"/>
        <item h="1" m="1" x="4199"/>
        <item h="1" m="1" x="4186"/>
        <item h="1" m="1" x="4083"/>
        <item h="1" m="1" x="4187"/>
        <item h="1" m="1" x="4188"/>
        <item h="1" m="1" x="4189"/>
        <item h="1" m="1" x="3416"/>
        <item h="1" m="1" x="4266"/>
        <item h="1" m="1" x="4270"/>
        <item h="1" m="1" x="4271"/>
        <item h="1" m="1" x="3610"/>
        <item h="1" m="1" x="4098"/>
        <item h="1" m="1" x="4100"/>
        <item h="1" m="1" x="3889"/>
        <item h="1" m="1" x="4101"/>
        <item h="1" m="1" x="4104"/>
        <item h="1" m="1" x="4105"/>
        <item h="1" m="1" x="4106"/>
        <item h="1" m="1" x="4107"/>
        <item h="1" m="1" x="4110"/>
        <item h="1" m="1" x="4111"/>
        <item h="1" m="1" x="3893"/>
        <item h="1" m="1" x="4113"/>
        <item h="1" m="1" x="3471"/>
        <item h="1" m="1" x="712"/>
        <item h="1" m="1" x="4115"/>
        <item h="1" m="1" x="4116"/>
        <item h="1" m="1" x="4117"/>
        <item h="1" m="1" x="4118"/>
        <item h="1" m="1" x="3427"/>
        <item h="1" m="1" x="3705"/>
        <item h="1" m="1" x="3496"/>
        <item h="1" m="1" x="2144"/>
        <item h="1" m="1" x="2473"/>
        <item h="1" m="1" x="4120"/>
        <item h="1" m="1" x="4121"/>
        <item h="1" m="1" x="3268"/>
        <item h="1" m="1" x="1415"/>
        <item h="1" m="1" x="3926"/>
        <item h="1" m="1" x="3676"/>
        <item h="1" m="1" x="3923"/>
        <item h="1" m="1" x="3925"/>
        <item h="1" m="1" x="2146"/>
        <item h="1" m="1" x="3692"/>
        <item h="1" m="1" x="4141"/>
        <item h="1" m="1" x="4142"/>
        <item h="1" m="1" x="3528"/>
        <item h="1" m="1" x="3967"/>
        <item h="1" m="1" x="3968"/>
        <item h="1" m="1" x="3957"/>
        <item h="1" m="1" x="3958"/>
        <item h="1" m="1" x="3959"/>
        <item h="1" m="1" x="3960"/>
        <item h="1" m="1" x="3973"/>
        <item h="1" m="1" x="3828"/>
        <item h="1" m="1" x="3838"/>
        <item h="1" m="1" x="3543"/>
        <item h="1" m="1" x="3199"/>
        <item h="1" m="1" x="3130"/>
        <item h="1" m="1" x="3457"/>
        <item h="1" m="1" x="3544"/>
        <item h="1" m="1" x="3456"/>
        <item h="1" m="1" x="4152"/>
        <item h="1" m="1" x="3996"/>
        <item h="1" m="1" x="3547"/>
        <item h="1" m="1" x="3548"/>
        <item h="1" m="1" x="4027"/>
        <item h="1" m="1" x="4029"/>
        <item h="1" m="1" x="4155"/>
        <item h="1" m="1" x="4158"/>
        <item h="1" m="1" x="4159"/>
        <item h="1" m="1" x="4162"/>
        <item h="1" m="1" x="4163"/>
        <item h="1" m="1" x="4164"/>
        <item h="1" m="1" x="4166"/>
        <item h="1" m="1" x="3871"/>
        <item h="1" m="1" x="4167"/>
        <item h="1" m="1" x="4170"/>
        <item h="1" m="1" x="2609"/>
        <item h="1" m="1" x="2672"/>
        <item h="1" m="1" x="3584"/>
        <item h="1" m="1" x="3158"/>
        <item h="1" m="1" x="4171"/>
        <item h="1" m="1" x="3211"/>
        <item h="1" m="1" x="4050"/>
        <item h="1" m="1" x="4058"/>
        <item h="1" m="1" x="4059"/>
        <item h="1" m="1" x="3770"/>
        <item h="1" m="1" x="4062"/>
        <item h="1" m="1" x="4060"/>
        <item h="1" m="1" x="4061"/>
        <item h="1" m="1" x="3777"/>
        <item h="1" m="1" x="3776"/>
        <item h="1" m="1" x="4064"/>
        <item h="1" m="1" x="4184"/>
        <item h="1" m="1" x="4185"/>
        <item h="1" m="1" x="4202"/>
        <item h="1" m="1" x="4088"/>
        <item h="1" m="1" x="4203"/>
        <item h="1" m="1" x="4204"/>
        <item h="1" m="1" x="4205"/>
        <item h="1" m="1" x="4206"/>
        <item h="1" m="1" x="4207"/>
        <item h="1" m="1" x="4208"/>
        <item h="1" m="1" x="3616"/>
        <item h="1" m="1" x="3615"/>
        <item h="1" m="1" x="3612"/>
        <item h="1" m="1" x="3613"/>
        <item h="1" m="1" x="3614"/>
        <item h="1" m="1" x="3611"/>
        <item h="1" m="1" x="3800"/>
        <item h="1" m="1" x="3883"/>
        <item h="1" m="1" x="3886"/>
        <item h="1" m="1" x="2035"/>
        <item h="1" m="1" x="409"/>
        <item h="1" m="1" x="3887"/>
        <item h="1" m="1" x="3126"/>
        <item h="1" m="1" x="3888"/>
        <item h="1" m="1" x="3892"/>
        <item h="1" m="1" x="3900"/>
        <item h="1" m="1" x="3285"/>
        <item h="1" m="1" x="3628"/>
        <item h="1" m="1" x="2143"/>
        <item h="1" m="1" x="3901"/>
        <item h="1" m="1" x="3763"/>
        <item h="1" m="1" x="3804"/>
        <item h="1" m="1" x="3806"/>
        <item h="1" m="1" x="3807"/>
        <item h="1" m="1" x="3805"/>
        <item h="1" m="1" x="3902"/>
        <item h="1" m="1" x="3903"/>
        <item h="1" m="1" x="3906"/>
        <item h="1" m="1" x="3907"/>
        <item h="1" m="1" x="3908"/>
        <item h="1" m="1" x="3909"/>
        <item h="1" m="1" x="3910"/>
        <item h="1" m="1" x="3911"/>
        <item h="1" m="1" x="3490"/>
        <item h="1" m="1" x="3912"/>
        <item h="1" m="1" x="3913"/>
        <item h="1" m="1" x="3430"/>
        <item h="1" m="1" x="3272"/>
        <item h="1" m="1" x="3915"/>
        <item h="1" m="1" x="3916"/>
        <item h="1" m="1" x="3917"/>
        <item h="1" m="1" x="3936"/>
        <item h="1" m="1" x="3942"/>
        <item h="1" m="1" x="3684"/>
        <item h="1" m="1" x="3688"/>
        <item h="1" m="1" x="3945"/>
        <item h="1" m="1" x="3946"/>
        <item h="1" m="1" x="3951"/>
        <item h="1" m="1" x="3704"/>
        <item h="1" m="1" x="3962"/>
        <item h="1" m="1" x="3176"/>
        <item h="1" m="1" x="3976"/>
        <item h="1" m="1" x="3977"/>
        <item h="1" m="1" x="3978"/>
        <item h="1" m="1" x="3983"/>
        <item h="1" m="1" x="3984"/>
        <item h="1" m="1" x="3986"/>
        <item h="1" m="1" x="3837"/>
        <item h="1" m="1" x="3829"/>
        <item h="1" m="1" x="3992"/>
        <item h="1" m="1" x="3209"/>
        <item h="1" m="1" x="3455"/>
        <item h="1" m="1" x="4021"/>
        <item h="1" m="1" x="4022"/>
        <item h="1" m="1" x="2324"/>
        <item h="1" m="1" x="3572"/>
        <item h="1" m="1" x="4024"/>
        <item h="1" m="1" x="3573"/>
        <item h="1" m="1" x="3574"/>
        <item h="1" m="1" x="3575"/>
        <item h="1" m="1" x="3058"/>
        <item h="1" m="1" x="3571"/>
        <item h="1" m="1" x="3734"/>
        <item h="1" m="1" x="3568"/>
        <item h="1" m="1" x="3567"/>
        <item h="1" m="1" x="3578"/>
        <item h="1" m="1" x="4040"/>
        <item h="1" m="1" x="1371"/>
        <item h="1" m="1" x="4041"/>
        <item h="1" m="1" x="3735"/>
        <item h="1" m="1" x="1706"/>
        <item h="1" m="1" x="4043"/>
        <item h="1" m="1" x="4044"/>
        <item h="1" m="1" x="3865"/>
        <item h="1" m="1" x="3759"/>
        <item h="1" m="1" x="3588"/>
        <item h="1" m="1" x="3323"/>
        <item h="1" m="1" x="4047"/>
        <item h="1" m="1" x="4074"/>
        <item h="1" m="1" x="4075"/>
        <item h="1" m="1" x="4076"/>
        <item h="1" m="1" x="4077"/>
        <item h="1" m="1" x="4084"/>
        <item h="1" m="1" x="4085"/>
        <item h="1" m="1" x="4086"/>
        <item h="1" m="1" x="4089"/>
        <item h="1" m="1" x="4090"/>
        <item h="1" m="1" x="4092"/>
        <item h="1" m="1" x="3775"/>
        <item h="1" m="1" x="3801"/>
        <item h="1" m="1" x="3802"/>
        <item h="1" m="1" x="3260"/>
        <item h="1" m="1" x="3188"/>
        <item h="1" m="1" x="3261"/>
        <item h="1" m="1" x="3262"/>
        <item h="1" m="1" x="3630"/>
        <item h="1" m="1" x="3803"/>
        <item h="1" m="1" x="3631"/>
        <item h="1" m="1" x="3636"/>
        <item h="1" m="1" x="3637"/>
        <item h="1" m="1" x="3808"/>
        <item h="1" m="1" x="3809"/>
        <item h="1" m="1" x="3623"/>
        <item h="1" m="1" x="3810"/>
        <item h="1" m="1" x="3627"/>
        <item h="1" m="1" x="3470"/>
        <item h="1" m="1" x="3640"/>
        <item h="1" m="1" x="3811"/>
        <item h="1" m="1" x="3812"/>
        <item h="1" m="1" x="3814"/>
        <item h="1" m="1" x="3646"/>
        <item h="1" m="1" x="3493"/>
        <item h="1" m="1" x="2475"/>
        <item h="1" m="1" x="3816"/>
        <item h="1" m="1" x="3666"/>
        <item h="1" m="1" x="3817"/>
        <item h="1" m="1" x="3060"/>
        <item h="1" m="1" x="3505"/>
        <item h="1" m="1" x="3506"/>
        <item h="1" m="1" x="3347"/>
        <item h="1" m="1" x="3672"/>
        <item h="1" m="1" x="3668"/>
        <item h="1" m="1" x="2392"/>
        <item h="1" m="1" x="3819"/>
        <item h="1" m="1" x="2781"/>
        <item h="1" m="1" x="3701"/>
        <item h="1" m="1" x="3820"/>
        <item h="1" m="1" x="3844"/>
        <item h="1" m="1" x="3215"/>
        <item h="1" m="1" x="3821"/>
        <item h="1" m="1" x="1832"/>
        <item h="1" m="1" x="3178"/>
        <item h="1" m="1" x="3177"/>
        <item h="1" m="1" x="3451"/>
        <item h="1" m="1" x="3824"/>
        <item h="1" m="1" x="3825"/>
        <item h="1" m="1" x="3452"/>
        <item h="1" m="1" x="3708"/>
        <item h="1" m="1" x="3107"/>
        <item h="1" m="1" x="3830"/>
        <item h="1" m="1" x="3833"/>
        <item h="1" m="1" x="3834"/>
        <item h="1" m="1" x="3836"/>
        <item h="1" m="1" x="3531"/>
        <item h="1" m="1" x="3224"/>
        <item h="1" m="1" x="3863"/>
        <item h="1" m="1" x="3250"/>
        <item h="1" m="1" x="3129"/>
        <item h="1" m="1" x="3541"/>
        <item h="1" m="1" x="3846"/>
        <item h="1" m="1" x="3724"/>
        <item h="1" m="1" x="3725"/>
        <item h="1" m="1" x="3726"/>
        <item h="1" m="1" x="3550"/>
        <item h="1" m="1" x="3566"/>
        <item h="1" m="1" x="3219"/>
        <item h="1" m="1" x="3858"/>
        <item h="1" m="1" x="3859"/>
        <item h="1" m="1" x="3738"/>
        <item h="1" m="1" x="3860"/>
        <item h="1" m="1" x="3737"/>
        <item h="1" m="1" x="3736"/>
        <item h="1" m="1" x="3862"/>
        <item h="1" m="1" x="3864"/>
        <item h="1" m="1" x="2151"/>
        <item h="1" m="1" x="3866"/>
        <item h="1" m="1" x="2578"/>
        <item h="1" m="1" x="2394"/>
        <item h="1" m="1" x="3750"/>
        <item h="1" m="1" x="3867"/>
        <item h="1" m="1" x="3868"/>
        <item h="1" m="1" x="3869"/>
        <item h="1" m="1" x="3874"/>
        <item h="1" m="1" x="3752"/>
        <item h="1" m="1" x="3761"/>
        <item h="1" m="1" x="3764"/>
        <item h="1" m="1" x="3771"/>
        <item h="1" m="1" x="3870"/>
        <item h="1" m="1" x="3782"/>
        <item h="1" m="1" x="3781"/>
        <item h="1" m="1" x="3872"/>
        <item h="1" m="1" x="3873"/>
        <item h="1" m="1" x="3091"/>
        <item h="1" m="1" x="3876"/>
        <item h="1" m="1" x="3095"/>
        <item h="1" m="1" x="3878"/>
        <item h="1" m="1" x="3799"/>
        <item h="1" m="1" x="3263"/>
        <item h="1" m="1" x="3264"/>
        <item h="1" m="1" x="3621"/>
        <item h="1" m="1" x="2142"/>
        <item h="1" m="1" x="3624"/>
        <item h="1" m="1" x="3625"/>
        <item h="1" m="1" x="3626"/>
        <item h="1" m="1" x="3633"/>
        <item h="1" m="1" x="3481"/>
        <item h="1" m="1" x="3480"/>
        <item h="1" m="1" x="3634"/>
        <item h="1" m="1" x="3635"/>
        <item h="1" m="1" x="3638"/>
        <item h="1" m="1" x="3639"/>
        <item h="1" m="1" x="3289"/>
        <item h="1" m="1" x="3642"/>
        <item h="1" m="1" x="3793"/>
        <item h="1" m="1" x="3643"/>
        <item h="1" m="1" x="3644"/>
        <item h="1" m="1" x="3645"/>
        <item h="1" m="1" x="3647"/>
        <item h="1" m="1" x="3648"/>
        <item h="1" m="1" x="3649"/>
        <item h="1" m="1" x="3650"/>
        <item h="1" m="1" x="3651"/>
        <item h="1" m="1" x="2820"/>
        <item h="1" m="1" x="3652"/>
        <item h="1" m="1" x="3653"/>
        <item h="1" m="1" x="3660"/>
        <item h="1" m="1" x="3500"/>
        <item h="1" m="1" x="3663"/>
        <item h="1" m="1" x="3664"/>
        <item h="1" m="1" x="3665"/>
        <item h="1" m="1" x="3509"/>
        <item h="1" m="1" x="3510"/>
        <item h="1" m="1" x="3502"/>
        <item h="1" m="1" x="3504"/>
        <item h="1" m="1" x="3669"/>
        <item h="1" m="1" x="3794"/>
        <item h="1" m="1" x="3686"/>
        <item h="1" m="1" x="3687"/>
        <item h="1" m="1" x="3689"/>
        <item h="1" m="1" x="3690"/>
        <item h="1" m="1" x="3693"/>
        <item h="1" m="1" x="3694"/>
        <item h="1" m="1" x="3695"/>
        <item h="1" m="1" x="3696"/>
        <item h="1" m="1" x="3697"/>
        <item h="1" m="1" x="3699"/>
        <item h="1" m="1" x="3700"/>
        <item h="1" m="1" x="2655"/>
        <item h="1" m="1" x="3706"/>
        <item h="1" m="1" x="3707"/>
        <item h="1" m="1" x="3709"/>
        <item h="1" m="1" x="3710"/>
        <item h="1" m="1" x="3711"/>
        <item h="1" m="1" x="3713"/>
        <item h="1" m="1" x="3714"/>
        <item h="1" m="1" x="3131"/>
        <item h="1" m="1" x="3257"/>
        <item h="1" m="1" x="3247"/>
        <item h="1" m="1" x="3245"/>
        <item h="1" m="1" x="3715"/>
        <item h="1" m="1" x="2041"/>
        <item h="1" m="1" x="3716"/>
        <item h="1" m="1" x="3717"/>
        <item h="1" m="1" x="3533"/>
        <item h="1" m="1" x="3191"/>
        <item h="1" m="1" x="3537"/>
        <item h="1" m="1" x="3797"/>
        <item h="1" m="1" x="3720"/>
        <item h="1" m="1" x="3721"/>
        <item h="1" m="1" x="3727"/>
        <item h="1" m="1" x="3728"/>
        <item h="1" m="1" x="3730"/>
        <item h="1" m="1" x="3731"/>
        <item h="1" m="1" x="3549"/>
        <item h="1" m="1" x="2147"/>
        <item h="1" m="1" x="811"/>
        <item h="1" m="1" x="3733"/>
        <item h="1" m="1" x="3739"/>
        <item h="1" m="1" x="3740"/>
        <item h="1" m="1" x="3741"/>
        <item h="1" m="1" x="3749"/>
        <item h="1" m="1" x="3751"/>
        <item h="1" m="1" x="3583"/>
        <item h="1" m="1" x="3753"/>
        <item h="1" m="1" x="3754"/>
        <item h="1" m="1" x="3755"/>
        <item h="1" m="1" x="3756"/>
        <item h="1" m="1" x="3757"/>
        <item h="1" m="1" x="3758"/>
        <item h="1" m="1" x="3762"/>
        <item h="1" m="1" x="3214"/>
        <item h="1" m="1" x="3760"/>
        <item h="1" m="1" x="3772"/>
        <item h="1" m="1" x="3774"/>
        <item h="1" m="1" x="3779"/>
        <item h="1" m="1" x="3780"/>
        <item h="1" m="1" x="3783"/>
        <item h="1" m="1" x="3784"/>
        <item h="1" m="1" x="3785"/>
        <item h="1" m="1" x="3786"/>
        <item h="1" m="1" x="3787"/>
        <item h="1" m="1" x="3788"/>
        <item h="1" m="1" x="3790"/>
        <item h="1" m="1" x="3791"/>
        <item h="1" m="1" x="3081"/>
        <item h="1" m="1" x="2926"/>
        <item h="1" m="1" x="3082"/>
        <item h="1" m="1" x="3796"/>
        <item h="1" m="1" x="3267"/>
        <item h="1" m="1" x="2474"/>
        <item h="1" m="1" x="3461"/>
        <item h="1" m="1" x="1903"/>
        <item h="1" m="1" x="856"/>
        <item h="1" m="1" x="752"/>
        <item h="1" m="1" x="3421"/>
        <item h="1" m="1" x="3462"/>
        <item h="1" m="1" x="3463"/>
        <item h="1" m="1" x="3464"/>
        <item h="1" m="1" x="3465"/>
        <item h="1" m="1" x="2393"/>
        <item h="1" m="1" x="3466"/>
        <item h="1" m="1" x="3467"/>
        <item h="1" m="1" x="1744"/>
        <item h="1" m="1" x="3474"/>
        <item h="1" m="1" x="3476"/>
        <item h="1" m="1" x="988"/>
        <item h="1" m="1" x="3478"/>
        <item h="1" x="126"/>
        <item h="1" m="1" x="3479"/>
        <item h="1" m="1" x="3483"/>
        <item h="1" m="1" x="3426"/>
        <item h="1" m="1" x="3484"/>
        <item h="1" m="1" x="3485"/>
        <item h="1" m="1" x="3486"/>
        <item h="1" m="1" x="3487"/>
        <item h="1" m="1" x="3334"/>
        <item h="1" m="1" x="3488"/>
        <item h="1" m="1" x="3489"/>
        <item h="1" m="1" x="3339"/>
        <item h="1" m="1" x="3497"/>
        <item h="1" m="1" x="3498"/>
        <item h="1" m="1" x="3499"/>
        <item h="1" m="1" x="3238"/>
        <item h="1" m="1" x="3140"/>
        <item h="1" m="1" x="3300"/>
        <item h="1" m="1" x="3503"/>
        <item h="1" m="1" x="851"/>
        <item h="1" m="1" x="3438"/>
        <item h="1" m="1" x="3507"/>
        <item h="1" m="1" x="3512"/>
        <item h="1" m="1" x="3213"/>
        <item h="1" m="1" x="3513"/>
        <item h="1" m="1" x="335"/>
        <item h="1" m="1" x="3515"/>
        <item h="1" m="1" x="3025"/>
        <item h="1" m="1" x="3442"/>
        <item h="1" m="1" x="3516"/>
        <item h="1" m="1" x="3517"/>
        <item h="1" m="1" x="3151"/>
        <item h="1" m="1" x="3440"/>
        <item h="1" m="1" x="3441"/>
        <item h="1" m="1" x="3443"/>
        <item h="1" m="1" x="3519"/>
        <item h="1" m="1" x="2029"/>
        <item h="1" m="1" x="3520"/>
        <item h="1" m="1" x="3521"/>
        <item h="1" m="1" x="3523"/>
        <item h="1" m="1" x="3524"/>
        <item h="1" m="1" x="3525"/>
        <item h="1" m="1" x="3526"/>
        <item h="1" m="1" x="2152"/>
        <item h="1" m="1" x="2153"/>
        <item h="1" m="1" x="2148"/>
        <item h="1" m="1" x="2150"/>
        <item h="1" m="1" x="3530"/>
        <item h="1" m="1" x="3017"/>
        <item h="1" m="1" x="3367"/>
        <item h="1" m="1" x="3368"/>
        <item h="1" m="1" x="3532"/>
        <item h="1" m="1" x="3232"/>
        <item h="1" m="1" x="3196"/>
        <item h="1" m="1" x="3197"/>
        <item h="1" m="1" x="3535"/>
        <item h="1" m="1" x="3539"/>
        <item h="1" m="1" x="3540"/>
        <item h="1" m="1" x="3545"/>
        <item h="1" m="1" x="3546"/>
        <item h="1" m="1" x="3556"/>
        <item h="1" m="1" x="3557"/>
        <item h="1" m="1" x="3558"/>
        <item h="1" m="1" x="983"/>
        <item h="1" m="1" x="3560"/>
        <item h="1" m="1" x="3561"/>
        <item h="1" m="1" x="3562"/>
        <item h="1" m="1" x="3563"/>
        <item h="1" m="1" x="3564"/>
        <item h="1" m="1" x="3569"/>
        <item h="1" m="1" x="3579"/>
        <item h="1" m="1" x="3070"/>
        <item h="1" m="1" x="3580"/>
        <item h="1" m="1" x="3581"/>
        <item h="1" m="1" x="3098"/>
        <item h="1" m="1" x="3317"/>
        <item h="1" m="1" x="3582"/>
        <item h="1" m="1" x="3587"/>
        <item h="1" m="1" x="3589"/>
        <item h="1" m="1" x="3590"/>
        <item h="1" m="1" x="3591"/>
        <item h="1" m="1" x="3592"/>
        <item h="1" m="1" x="3593"/>
        <item h="1" m="1" x="3594"/>
        <item h="1" m="1" x="3596"/>
        <item h="1" m="1" x="3597"/>
        <item h="1" m="1" x="3598"/>
        <item h="1" m="1" x="3599"/>
        <item h="1" m="1" x="3600"/>
        <item h="1" m="1" x="3220"/>
        <item h="1" m="1" x="3221"/>
        <item h="1" m="1" x="3603"/>
        <item h="1" m="1" x="3604"/>
        <item h="1" m="1" x="3605"/>
        <item h="1" m="1" x="3606"/>
        <item h="1" m="1" x="3083"/>
        <item h="1" m="1" x="3084"/>
        <item h="1" m="1" x="3195"/>
        <item h="1" m="1" x="3146"/>
        <item h="1" m="1" x="3422"/>
        <item h="1" m="1" x="3243"/>
        <item h="1" m="1" x="3242"/>
        <item h="1" m="1" x="3423"/>
        <item h="1" m="1" x="2195"/>
        <item h="1" m="1" x="1745"/>
        <item h="1" m="1" x="3424"/>
        <item h="1" m="1" x="3425"/>
        <item h="1" m="1" x="3335"/>
        <item h="1" m="1" x="3337"/>
        <item h="1" m="1" x="3432"/>
        <item h="1" m="1" x="3433"/>
        <item h="1" m="1" x="3434"/>
        <item h="1" m="1" x="3340"/>
        <item h="1" m="1" x="3435"/>
        <item h="1" m="1" x="3436"/>
        <item h="1" m="1" x="3437"/>
        <item h="1" m="1" x="3344"/>
        <item h="1" x="83"/>
        <item h="1" m="1" x="2699"/>
        <item h="1" m="1" x="2700"/>
        <item h="1" m="1" x="2698"/>
        <item h="1" m="1" x="3350"/>
        <item h="1" m="1" x="3348"/>
        <item h="1" m="1" x="3439"/>
        <item h="1" m="1" x="3354"/>
        <item h="1" m="1" x="3355"/>
        <item h="1" m="1" x="2510"/>
        <item h="1" m="1" x="3362"/>
        <item h="1" m="1" x="3363"/>
        <item h="1" m="1" x="3444"/>
        <item h="1" m="1" x="3446"/>
        <item h="1" m="1" x="3447"/>
        <item h="1" m="1" x="3304"/>
        <item h="1" m="1" x="3448"/>
        <item h="1" m="1" x="3449"/>
        <item h="1" m="1" x="3450"/>
        <item h="1" m="1" x="2654"/>
        <item h="1" m="1" x="3366"/>
        <item h="1" m="1" x="3273"/>
        <item h="1" m="1" x="3244"/>
        <item h="1" m="1" x="3369"/>
        <item h="1" m="1" x="3370"/>
        <item h="1" m="1" x="3453"/>
        <item h="1" m="1" x="3373"/>
        <item h="1" m="1" x="3454"/>
        <item h="1" m="1" x="3380"/>
        <item h="1" m="1" x="3379"/>
        <item h="1" m="1" x="3053"/>
        <item h="1" m="1" x="3059"/>
        <item h="1" m="1" x="3096"/>
        <item h="1" m="1" x="3387"/>
        <item h="1" x="134"/>
        <item h="1" m="1" x="3391"/>
        <item h="1" m="1" x="3234"/>
        <item h="1" m="1" x="3396"/>
        <item h="1" m="1" x="3399"/>
        <item h="1" m="1" x="3400"/>
        <item h="1" m="1" x="3403"/>
        <item h="1" m="1" x="3408"/>
        <item h="1" m="1" x="3409"/>
        <item h="1" m="1" x="3411"/>
        <item h="1" m="1" x="3417"/>
        <item h="1" m="1" x="3412"/>
        <item h="1" m="1" x="3413"/>
        <item h="1" m="1" x="3076"/>
        <item h="1" m="1" x="3414"/>
        <item h="1" m="1" x="3418"/>
        <item h="1" m="1" x="3419"/>
        <item h="1" m="1" x="3326"/>
        <item h="1" m="1" x="3327"/>
        <item h="1" m="1" x="3258"/>
        <item h="1" m="1" x="3328"/>
        <item h="1" m="1" x="3175"/>
        <item h="1" m="1" x="3227"/>
        <item h="1" m="1" x="2561"/>
        <item h="1" m="1" x="3329"/>
        <item h="1" m="1" x="3330"/>
        <item h="1" m="1" x="3331"/>
        <item h="1" m="1" x="3332"/>
        <item h="1" m="1" x="2760"/>
        <item h="1" m="1" x="3333"/>
        <item h="1" m="1" x="3099"/>
        <item h="1" m="1" x="3100"/>
        <item h="1" m="1" x="3149"/>
        <item h="1" m="1" x="3336"/>
        <item h="1" m="1" x="3338"/>
        <item h="1" m="1" x="2395"/>
        <item h="1" m="1" x="3035"/>
        <item h="1" m="1" x="3341"/>
        <item h="1" m="1" x="3342"/>
        <item h="1" m="1" x="3343"/>
        <item h="1" m="1" x="2070"/>
        <item h="1" m="1" x="3345"/>
        <item h="1" m="1" x="3346"/>
        <item h="1" m="1" x="2703"/>
        <item h="1" m="1" x="3061"/>
        <item h="1" m="1" x="3349"/>
        <item h="1" m="1" x="3351"/>
        <item h="1" m="1" x="3352"/>
        <item h="1" m="1" x="3356"/>
        <item h="1" m="1" x="3357"/>
        <item h="1" m="1" x="3358"/>
        <item h="1" m="1" x="3359"/>
        <item h="1" m="1" x="2592"/>
        <item h="1" m="1" x="3073"/>
        <item h="1" m="1" x="2170"/>
        <item h="1" m="1" x="3364"/>
        <item h="1" m="1" x="3034"/>
        <item h="1" m="1" x="3313"/>
        <item h="1" m="1" x="3182"/>
        <item h="1" m="1" x="3183"/>
        <item h="1" m="1" x="3181"/>
        <item h="1" m="1" x="3371"/>
        <item h="1" m="1" x="3372"/>
        <item h="1" m="1" x="2069"/>
        <item h="1" m="1" x="3019"/>
        <item h="1" m="1" x="3018"/>
        <item h="1" m="1" x="2582"/>
        <item h="1" m="1" x="3210"/>
        <item h="1" m="1" x="3374"/>
        <item h="1" m="1" x="3375"/>
        <item h="1" m="1" x="3376"/>
        <item h="1" m="1" x="3377"/>
        <item h="1" m="1" x="3378"/>
        <item h="1" m="1" x="3382"/>
        <item h="1" m="1" x="2504"/>
        <item h="1" m="1" x="2162"/>
        <item h="1" m="1" x="2681"/>
        <item h="1" m="1" x="2682"/>
        <item h="1" m="1" x="3384"/>
        <item h="1" m="1" x="2400"/>
        <item h="1" m="1" x="3385"/>
        <item h="1" m="1" x="2684"/>
        <item h="1" m="1" x="3386"/>
        <item h="1" x="181"/>
        <item h="1" m="1" x="3388"/>
        <item h="1" m="1" x="2919"/>
        <item h="1" m="1" x="3392"/>
        <item h="1" m="1" x="3393"/>
        <item h="1" m="1" x="1714"/>
        <item h="1" m="1" x="3180"/>
        <item h="1" m="1" x="3395"/>
        <item h="1" m="1" x="3397"/>
        <item h="1" m="1" x="3398"/>
        <item h="1" m="1" x="3401"/>
        <item h="1" m="1" x="3404"/>
        <item h="1" m="1" x="3405"/>
        <item h="1" m="1" x="3406"/>
        <item h="1" m="1" x="3407"/>
        <item h="1" m="1" x="3410"/>
        <item h="1" m="1" x="2155"/>
        <item h="1" m="1" x="2156"/>
        <item h="1" m="1" x="3248"/>
        <item h="1" m="1" x="3230"/>
        <item h="1" m="1" x="3249"/>
        <item h="1" m="1" x="3420"/>
        <item h="1" m="1" x="3278"/>
        <item h="1" m="1" x="3190"/>
        <item h="1" m="1" x="3259"/>
        <item h="1" m="1" x="3279"/>
        <item h="1" m="1" x="3280"/>
        <item h="1" m="1" x="3281"/>
        <item h="1" m="1" x="3282"/>
        <item h="1" m="1" x="3120"/>
        <item h="1" m="1" x="3283"/>
        <item h="1" m="1" x="3119"/>
        <item h="1" m="1" x="3114"/>
        <item h="1" m="1" x="3284"/>
        <item h="1" m="1" x="3101"/>
        <item h="1" m="1" x="3286"/>
        <item h="1" m="1" x="3287"/>
        <item h="1" m="1" x="3288"/>
        <item h="1" m="1" x="2479"/>
        <item h="1" m="1" x="2480"/>
        <item h="1" m="1" x="2481"/>
        <item h="1" m="1" x="3290"/>
        <item h="1" m="1" x="3292"/>
        <item h="1" m="1" x="3256"/>
        <item h="1" m="1" x="3138"/>
        <item h="1" m="1" x="3237"/>
        <item h="1" m="1" x="3036"/>
        <item h="1" m="1" x="3293"/>
        <item h="1" m="1" x="3294"/>
        <item h="1" m="1" x="3295"/>
        <item h="1" m="1" x="2426"/>
        <item h="1" m="1" x="3297"/>
        <item h="1" m="1" x="3298"/>
        <item h="1" m="1" x="2697"/>
        <item h="1" m="1" x="3299"/>
        <item h="1" m="1" x="2706"/>
        <item h="1" m="1" x="2705"/>
        <item h="1" m="1" x="3038"/>
        <item h="1" m="1" x="2478"/>
        <item h="1" m="1" x="3301"/>
        <item h="1" m="1" x="3302"/>
        <item h="1" m="1" x="3026"/>
        <item h="1" m="1" x="3027"/>
        <item h="1" m="1" x="3023"/>
        <item h="1" m="1" x="3193"/>
        <item h="1" m="1" x="1766"/>
        <item h="1" m="1" x="3192"/>
        <item h="1" m="1" x="3226"/>
        <item h="1" m="1" x="3305"/>
        <item h="1" m="1" x="3306"/>
        <item h="1" m="1" x="3307"/>
        <item h="1" m="1" x="3308"/>
        <item h="1" m="1" x="3309"/>
        <item h="1" m="1" x="3310"/>
        <item h="1" m="1" x="3311"/>
        <item h="1" m="1" x="3312"/>
        <item h="1" m="1" x="3171"/>
        <item h="1" m="1" x="3016"/>
        <item h="1" m="1" x="3121"/>
        <item h="1" m="1" x="3105"/>
        <item h="1" m="1" x="3104"/>
        <item h="1" m="1" x="3013"/>
        <item h="1" m="1" x="1727"/>
        <item h="1" m="1" x="3200"/>
        <item h="1" m="1" x="2768"/>
        <item h="1" m="1" x="3054"/>
        <item h="1" m="1" x="3056"/>
        <item h="1" m="1" x="3316"/>
        <item h="1" m="1" x="3165"/>
        <item h="1" m="1" x="3251"/>
        <item h="1" m="1" x="3047"/>
        <item h="1" m="1" x="2159"/>
        <item h="1" m="1" x="2160"/>
        <item h="1" m="1" x="3203"/>
        <item h="1" m="1" x="1959"/>
        <item h="1" m="1" x="3319"/>
        <item h="1" m="1" x="3320"/>
        <item h="1" m="1" x="3321"/>
        <item h="1" m="1" x="3322"/>
        <item h="1" m="1" x="3020"/>
        <item h="1" m="1" x="3068"/>
        <item h="1" m="1" x="3067"/>
        <item h="1" m="1" x="3066"/>
        <item h="1" m="1" x="3089"/>
        <item h="1" m="1" x="3324"/>
        <item h="1" m="1" x="3080"/>
        <item h="1" m="1" x="3216"/>
        <item h="1" m="1" x="3014"/>
        <item h="1" m="1" x="2630"/>
        <item h="1" m="1" x="3021"/>
        <item h="1" m="1" x="3022"/>
        <item h="1" m="1" x="3024"/>
        <item h="1" m="1" x="3029"/>
        <item h="1" m="1" x="3030"/>
        <item h="1" m="1" x="3031"/>
        <item h="1" m="1" x="3032"/>
        <item h="1" m="1" x="3033"/>
        <item h="1" m="1" x="3037"/>
        <item h="1" m="1" x="3039"/>
        <item h="1" m="1" x="3041"/>
        <item h="1" m="1" x="3042"/>
        <item h="1" m="1" x="2795"/>
        <item h="1" m="1" x="3043"/>
        <item h="1" m="1" x="3045"/>
        <item h="1" m="1" x="3046"/>
        <item h="1" m="1" x="2158"/>
        <item h="1" m="1" x="3048"/>
        <item h="1" m="1" x="2581"/>
        <item h="1" m="1" x="3050"/>
        <item h="1" m="1" x="3052"/>
        <item h="1" m="1" x="2683"/>
        <item h="1" m="1" x="2401"/>
        <item h="1" m="1" x="2163"/>
        <item h="1" m="1" x="2202"/>
        <item h="1" x="53"/>
        <item h="1" m="1" x="2704"/>
        <item h="1" m="1" x="3063"/>
        <item h="1" m="1" x="3065"/>
        <item h="1" m="1" x="3069"/>
        <item h="1" m="1" x="3071"/>
        <item h="1" m="1" x="3074"/>
        <item h="1" m="1" x="2402"/>
        <item h="1" m="1" x="3075"/>
        <item h="1" m="1" x="2721"/>
        <item h="1" m="1" x="3078"/>
        <item h="1" m="1" x="3079"/>
        <item h="1" m="1" x="3086"/>
        <item h="1" m="1" x="3088"/>
        <item h="1" m="1" x="3090"/>
        <item h="1" m="1" x="2477"/>
        <item h="1" m="1" x="3092"/>
        <item h="1" m="1" x="3093"/>
        <item h="1" m="1" x="3097"/>
        <item h="1" m="1" x="3102"/>
        <item h="1" m="1" x="3103"/>
        <item h="1" m="1" x="2602"/>
        <item h="1" m="1" x="3106"/>
        <item h="1" m="1" x="3108"/>
        <item h="1" m="1" x="3109"/>
        <item h="1" m="1" x="3110"/>
        <item h="1" m="1" x="3111"/>
        <item h="1" m="1" x="3112"/>
        <item h="1" m="1" x="2604"/>
        <item h="1" m="1" x="3115"/>
        <item h="1" m="1" x="3116"/>
        <item h="1" m="1" x="3124"/>
        <item h="1" m="1" x="3127"/>
        <item h="1" m="1" x="3135"/>
        <item h="1" m="1" x="3150"/>
        <item h="1" m="1" x="3152"/>
        <item h="1" m="1" x="3157"/>
        <item h="1" m="1" x="3179"/>
        <item h="1" m="1" x="3187"/>
        <item h="1" m="1" x="3189"/>
        <item h="1" m="1" x="2756"/>
        <item h="1" m="1" x="3246"/>
        <item h="1" m="1" x="3252"/>
        <item h="1" m="1" x="3253"/>
        <item h="1" m="1" x="2950"/>
        <item h="1" m="1" x="2849"/>
        <item h="1" m="1" x="3254"/>
        <item h="1" m="1" x="3255"/>
        <item h="1" m="1" x="3265"/>
        <item h="1" m="1" x="3269"/>
        <item h="1" m="1" x="3270"/>
        <item h="1" m="1" x="1367"/>
        <item h="1" m="1" x="3271"/>
        <item h="1" m="1" x="2391"/>
        <item h="1" m="1" x="2390"/>
        <item h="1" m="1" x="2771"/>
        <item h="1" m="1" x="3276"/>
        <item h="1" m="1" x="3277"/>
        <item h="1" m="1" x="2406"/>
        <item h="1" m="1" x="2911"/>
        <item h="1" m="1" x="2482"/>
        <item h="1" m="1" x="2774"/>
        <item h="1" m="1" x="2638"/>
        <item h="1" m="1" x="2639"/>
        <item h="1" m="1" x="2914"/>
        <item h="1" m="1" x="2786"/>
        <item h="1" m="1" x="2915"/>
        <item h="1" m="1" x="2777"/>
        <item h="1" m="1" x="2780"/>
        <item h="1" m="1" x="2782"/>
        <item h="1" m="1" x="2783"/>
        <item h="1" m="1" x="2916"/>
        <item h="1" m="1" x="2917"/>
        <item h="1" m="1" x="2657"/>
        <item h="1" m="1" x="2397"/>
        <item h="1" m="1" x="2568"/>
        <item h="1" m="1" x="2569"/>
        <item h="1" m="1" x="2396"/>
        <item h="1" m="1" x="2790"/>
        <item h="1" m="1" x="2792"/>
        <item h="1" m="1" x="2659"/>
        <item h="1" m="1" x="2405"/>
        <item h="1" m="1" x="2398"/>
        <item h="1" m="1" x="2572"/>
        <item h="1" m="1" x="2399"/>
        <item h="1" m="1" x="2663"/>
        <item h="1" m="1" x="2573"/>
        <item h="1" m="1" x="2921"/>
        <item h="1" m="1" x="2922"/>
        <item h="1" m="1" x="2674"/>
        <item h="1" m="1" x="2675"/>
        <item h="1" m="1" x="2676"/>
        <item h="1" m="1" x="2680"/>
        <item h="1" m="1" x="2801"/>
        <item h="1" m="1" x="2161"/>
        <item h="1" m="1" x="2686"/>
        <item h="1" m="1" x="2696"/>
        <item h="1" m="1" x="2923"/>
        <item h="1" m="1" x="2456"/>
        <item h="1" m="1" x="2925"/>
        <item h="1" m="1" x="2719"/>
        <item h="1" m="1" x="2164"/>
        <item h="1" m="1" x="2927"/>
        <item h="1" m="1" x="2723"/>
        <item h="1" m="1" x="2814"/>
        <item h="1" m="1" x="2815"/>
        <item h="1" m="1" x="2928"/>
        <item h="1" m="1" x="2597"/>
        <item h="1" m="1" x="1902"/>
        <item h="1" m="1" x="2599"/>
        <item h="1" m="1" x="2600"/>
        <item h="1" m="1" x="2929"/>
        <item h="1" m="1" x="2930"/>
        <item h="1" m="1" x="2931"/>
        <item h="1" m="1" x="2932"/>
        <item h="1" m="1" x="2933"/>
        <item h="1" m="1" x="2934"/>
        <item h="1" m="1" x="2935"/>
        <item h="1" m="1" x="2826"/>
        <item h="1" m="1" x="2825"/>
        <item h="1" m="1" x="2823"/>
        <item h="1" m="1" x="2824"/>
        <item h="1" m="1" x="2937"/>
        <item h="1" m="1" x="777"/>
        <item h="1" m="1" x="2938"/>
        <item h="1" m="1" x="2939"/>
        <item h="1" m="1" x="2940"/>
        <item h="1" m="1" x="1718"/>
        <item h="1" m="1" x="1798"/>
        <item h="1" m="1" x="2942"/>
        <item h="1" m="1" x="2943"/>
        <item h="1" m="1" x="2944"/>
        <item h="1" m="1" x="2166"/>
        <item h="1" m="1" x="1739"/>
        <item h="1" m="1" x="2754"/>
        <item h="1" m="1" x="2167"/>
        <item h="1" m="1" x="2945"/>
        <item h="1" m="1" x="2168"/>
        <item h="1" m="1" x="2946"/>
        <item h="1" m="1" x="1777"/>
        <item h="1" m="1" x="2947"/>
        <item h="1" m="1" x="1762"/>
        <item h="1" m="1" x="2843"/>
        <item h="1" m="1" x="2844"/>
        <item h="1" m="1" x="2948"/>
        <item h="1" m="1" x="2949"/>
        <item h="1" m="1" x="2169"/>
        <item h="1" m="1" x="1812"/>
        <item h="1" m="1" x="2414"/>
        <item h="1" m="1" x="295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892"/>
        <item h="1" m="1" x="2893"/>
        <item h="1" m="1" x="2894"/>
        <item h="1" m="1" x="2959"/>
        <item h="1" m="1" x="2960"/>
        <item h="1" m="1" x="2961"/>
        <item h="1" m="1" x="2962"/>
        <item h="1" m="1" x="2874"/>
        <item h="1" m="1" x="2875"/>
        <item h="1" m="1" x="2963"/>
        <item h="1" m="1" x="2964"/>
        <item h="1" m="1" x="2965"/>
        <item h="1" m="1" x="2966"/>
        <item h="1" m="1" x="2967"/>
        <item h="1" m="1" x="2968"/>
        <item h="1" m="1" x="2969"/>
        <item h="1" m="1" x="2897"/>
        <item h="1" m="1" x="2970"/>
        <item h="1" m="1" x="1912"/>
        <item h="1" m="1" x="2971"/>
        <item h="1" m="1" x="2972"/>
        <item h="1" m="1" x="2973"/>
        <item h="1" m="1" x="2974"/>
        <item h="1" m="1" x="288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895"/>
        <item h="1" m="1" x="2904"/>
        <item h="1" m="1" x="2983"/>
        <item h="1" m="1" x="2881"/>
        <item h="1" m="1" x="2883"/>
        <item h="1" m="1" x="2984"/>
        <item h="1" m="1" x="2885"/>
        <item h="1" m="1" x="2891"/>
        <item h="1" m="1" x="2985"/>
        <item h="1" m="1" x="2906"/>
        <item h="1" m="1" x="2856"/>
        <item h="1" m="1" x="2859"/>
        <item h="1" m="1" x="2860"/>
        <item h="1" m="1" x="2986"/>
        <item h="1" m="1" x="2987"/>
        <item h="1" m="1" x="2879"/>
        <item h="1" m="1" x="2880"/>
        <item h="1" m="1" x="2888"/>
        <item h="1" m="1" x="2882"/>
        <item h="1" m="1" x="2878"/>
        <item h="1" m="1" x="2988"/>
        <item h="1" m="1" x="2989"/>
        <item h="1" m="1" x="2990"/>
        <item h="1" m="1" x="2896"/>
        <item h="1" m="1" x="2991"/>
        <item h="1" m="1" x="2992"/>
        <item h="1" m="1" x="2876"/>
        <item h="1" m="1" x="2877"/>
        <item h="1" m="1" x="2873"/>
        <item h="1" m="1" x="2993"/>
        <item h="1" m="1" x="2994"/>
        <item h="1" m="1" x="2995"/>
        <item h="1" m="1" x="2996"/>
        <item h="1" m="1" x="2997"/>
        <item h="1" m="1" x="2998"/>
        <item h="1" m="1" x="2861"/>
        <item h="1" m="1" x="2863"/>
        <item h="1" m="1" x="2867"/>
        <item h="1" m="1" x="2866"/>
        <item h="1" m="1" x="2865"/>
        <item h="1" m="1" x="2864"/>
        <item h="1" m="1" x="2871"/>
        <item h="1" m="1" x="2902"/>
        <item h="1" m="1" x="2903"/>
        <item h="1" m="1" x="3000"/>
        <item h="1" m="1" x="3001"/>
        <item h="1" m="1" x="3002"/>
        <item h="1" m="1" x="3003"/>
        <item h="1" m="1" x="3004"/>
        <item h="1" m="1" x="2870"/>
        <item h="1" m="1" x="2898"/>
        <item h="1" m="1" x="2899"/>
        <item h="1" m="1" x="2900"/>
        <item h="1" m="1" x="2901"/>
        <item h="1" m="1" x="2887"/>
        <item h="1" m="1" x="2889"/>
        <item h="1" m="1" x="2890"/>
        <item h="1" m="1" x="3005"/>
        <item h="1" m="1" x="3006"/>
        <item h="1" m="1" x="3007"/>
        <item h="1" m="1" x="3008"/>
        <item h="1" m="1" x="3009"/>
        <item h="1" m="1" x="3010"/>
        <item h="1" m="1" x="2905"/>
        <item h="1" m="1" x="2886"/>
        <item h="1" m="1" x="2868"/>
        <item h="1" m="1" x="2862"/>
        <item h="1" m="1" x="2869"/>
        <item h="1" m="1" x="1859"/>
        <item h="1" m="1" x="3011"/>
        <item h="1" m="1" x="2174"/>
        <item h="1" m="1" x="2908"/>
        <item h="1" m="1" x="3012"/>
        <item h="1" m="1" x="2626"/>
        <item h="1" m="1" x="2627"/>
        <item h="1" m="1" x="2636"/>
        <item h="1" m="1" x="2483"/>
        <item h="1" m="1" x="2629"/>
        <item h="1" m="1" x="2407"/>
        <item h="1" m="1" x="2641"/>
        <item h="1" m="1" x="2175"/>
        <item h="1" m="1" x="2775"/>
        <item h="1" m="1" x="2776"/>
        <item h="1" m="1" x="2784"/>
        <item h="1" m="1" x="2785"/>
        <item h="1" m="1" x="2650"/>
        <item h="1" m="1" x="2647"/>
        <item h="1" m="1" x="2648"/>
        <item h="1" m="1" x="2649"/>
        <item h="1" m="1" x="2644"/>
        <item h="1" m="1" x="2653"/>
        <item h="1" m="1" x="2249"/>
        <item h="1" m="1" x="2788"/>
        <item h="1" m="1" x="2656"/>
        <item h="1" m="1" x="2048"/>
        <item h="1" m="1" x="2791"/>
        <item h="1" m="1" x="2658"/>
        <item h="1" m="1" x="2793"/>
        <item h="1" m="1" x="2794"/>
        <item h="1" m="1" x="2664"/>
        <item h="1" m="1" x="2409"/>
        <item h="1" m="1" x="2666"/>
        <item h="1" m="1" x="2485"/>
        <item h="1" m="1" x="2668"/>
        <item h="1" m="1" x="2576"/>
        <item h="1" m="1" x="2796"/>
        <item h="1" m="1" x="2701"/>
        <item h="1" m="1" x="2702"/>
        <item h="1" m="1" x="2584"/>
        <item h="1" m="1" x="2797"/>
        <item h="1" m="1" x="2800"/>
        <item h="1" m="1" x="2803"/>
        <item h="1" m="1" x="2178"/>
        <item h="1" m="1" x="2689"/>
        <item h="1" m="1" x="2690"/>
        <item h="1" m="1" x="2693"/>
        <item h="1" m="1" x="2694"/>
        <item h="1" m="1" x="2695"/>
        <item h="1" m="1" x="2411"/>
        <item h="1" m="1" x="2673"/>
        <item h="1" m="1" x="2708"/>
        <item h="1" m="1" x="2805"/>
        <item h="1" m="1" x="2806"/>
        <item h="1" m="1" x="2807"/>
        <item h="1" m="1" x="2183"/>
        <item h="1" m="1" x="2808"/>
        <item h="1" m="1" x="2710"/>
        <item h="1" m="1" x="2809"/>
        <item h="1" m="1" x="2711"/>
        <item h="1" m="1" x="2593"/>
        <item h="1" m="1" x="2720"/>
        <item h="1" m="1" x="1666"/>
        <item h="1" m="1" x="2812"/>
        <item h="1" m="1" x="2712"/>
        <item h="1" m="1" x="2813"/>
        <item h="1" m="1" x="2726"/>
        <item h="1" m="1" x="2725"/>
        <item h="1" m="1" x="2724"/>
        <item h="1" m="1" x="2816"/>
        <item h="1" m="1" x="2817"/>
        <item h="1" m="1" x="1689"/>
        <item h="1" m="1" x="2486"/>
        <item h="1" m="1" x="2818"/>
        <item h="1" m="1" x="2819"/>
        <item h="1" m="1" x="2598"/>
        <item h="1" m="1" x="2185"/>
        <item h="1" m="1" x="2601"/>
        <item h="1" m="1" x="2731"/>
        <item h="1" m="1" x="2732"/>
        <item h="1" m="1" x="2733"/>
        <item h="1" m="1" x="2412"/>
        <item h="1" m="1" x="2821"/>
        <item h="1" m="1" x="2822"/>
        <item h="1" m="1" x="2740"/>
        <item h="1" m="1" x="2739"/>
        <item h="1" m="1" x="1907"/>
        <item h="1" m="1" x="1905"/>
        <item h="1" m="1" x="2827"/>
        <item h="1" m="1" x="1707"/>
        <item h="1" m="1" x="1712"/>
        <item h="1" m="1" x="1710"/>
        <item h="1" m="1" x="2186"/>
        <item h="1" m="1" x="2828"/>
        <item h="1" m="1" x="2829"/>
        <item h="1" m="1" x="2830"/>
        <item h="1" m="1" x="2487"/>
        <item h="1" m="1" x="2188"/>
        <item h="1" m="1" x="2749"/>
        <item h="1" m="1" x="2831"/>
        <item h="1" m="1" x="2832"/>
        <item h="1" m="1" x="2192"/>
        <item h="1" m="1" x="2833"/>
        <item h="1" m="1" x="2834"/>
        <item h="1" m="1" x="1746"/>
        <item h="1" m="1" x="2490"/>
        <item h="1" m="1" x="2491"/>
        <item h="1" m="1" x="2617"/>
        <item h="1" m="1" x="2193"/>
        <item h="1" m="1" x="1755"/>
        <item h="1" m="1" x="1757"/>
        <item h="1" m="1" x="1758"/>
        <item h="1" m="1" x="2488"/>
        <item h="1" m="1" x="2191"/>
        <item h="1" m="1" x="2194"/>
        <item h="1" m="1" x="2835"/>
        <item h="1" m="1" x="2608"/>
        <item h="1" m="1" x="2836"/>
        <item h="1" m="1" x="2489"/>
        <item h="1" m="1" x="2190"/>
        <item h="1" m="1" x="2837"/>
        <item h="1" m="1" x="2838"/>
        <item h="1" m="1" x="2839"/>
        <item h="1" m="1" x="2840"/>
        <item h="1" m="1" x="1764"/>
        <item h="1" m="1" x="1778"/>
        <item h="1" m="1" x="1724"/>
        <item h="1" m="1" x="2841"/>
        <item h="1" m="1" x="2842"/>
        <item h="1" m="1" x="1904"/>
        <item h="1" m="1" x="2845"/>
        <item h="1" m="1" x="1820"/>
        <item h="1" m="1" x="1818"/>
        <item h="1" m="1" x="1825"/>
        <item h="1" m="1" x="2846"/>
        <item h="1" m="1" x="2847"/>
        <item h="1" m="1" x="1106"/>
        <item h="1" m="1" x="2848"/>
        <item h="1" m="1" x="2850"/>
        <item h="1" m="1" x="2851"/>
        <item h="1" m="1" x="2852"/>
        <item h="1" m="1" x="2853"/>
        <item h="1" m="1" x="2854"/>
        <item h="1" m="1" x="2855"/>
        <item h="1" m="1" x="1911"/>
        <item h="1" m="1" x="2766"/>
        <item h="1" m="1" x="2907"/>
        <item h="1" m="1" x="2769"/>
        <item h="1" m="1" x="2770"/>
        <item h="1" m="1" x="2492"/>
        <item h="1" m="1" x="2910"/>
        <item h="1" m="1" x="2628"/>
        <item h="1" m="1" x="2201"/>
        <item h="1" m="1" x="2637"/>
        <item h="1" m="1" x="2640"/>
        <item h="1" m="1" x="2642"/>
        <item h="1" m="1" x="2643"/>
        <item h="1" m="1" x="2645"/>
        <item h="1" m="1" x="2205"/>
        <item h="1" m="1" x="2651"/>
        <item h="1" m="1" x="2566"/>
        <item h="1" m="1" x="2652"/>
        <item h="1" m="1" x="2176"/>
        <item h="1" m="1" x="2494"/>
        <item h="1" m="1" x="2660"/>
        <item h="1" m="1" x="2210"/>
        <item h="1" m="1" x="2661"/>
        <item h="1" m="1" x="2665"/>
        <item h="1" m="1" x="2577"/>
        <item h="1" m="1" x="2585"/>
        <item h="1" m="1" x="2677"/>
        <item h="1" m="1" x="2678"/>
        <item h="1" m="1" x="2679"/>
        <item h="1" m="1" x="2181"/>
        <item h="1" m="1" x="2179"/>
        <item h="1" m="1" x="2685"/>
        <item h="1" m="1" x="2410"/>
        <item h="1" m="1" x="2688"/>
        <item h="1" m="1" x="2180"/>
        <item h="1" m="1" x="2692"/>
        <item h="1" m="1" x="2707"/>
        <item h="1" x="145"/>
        <item h="1" m="1" x="2713"/>
        <item h="1" m="1" x="2714"/>
        <item h="1" m="1" x="2715"/>
        <item h="1" m="1" x="2716"/>
        <item h="1" m="1" x="2717"/>
        <item h="1" m="1" x="2718"/>
        <item h="1" x="85"/>
        <item h="1" m="1" x="2184"/>
        <item h="1" m="1" x="2722"/>
        <item h="1" m="1" x="2727"/>
        <item h="1" m="1" x="2728"/>
        <item h="1" m="1" x="2435"/>
        <item h="1" m="1" x="2729"/>
        <item h="1" m="1" x="2730"/>
        <item h="1" m="1" x="2413"/>
        <item h="1" m="1" x="2734"/>
        <item h="1" m="1" x="2735"/>
        <item h="1" m="1" x="2736"/>
        <item h="1" m="1" x="2737"/>
        <item h="1" m="1" x="1908"/>
        <item h="1" m="1" x="2738"/>
        <item h="1" m="1" x="2603"/>
        <item h="1" m="1" x="2605"/>
        <item h="1" m="1" x="1906"/>
        <item h="1" m="1" x="2741"/>
        <item h="1" m="1" x="2742"/>
        <item h="1" m="1" x="1732"/>
        <item h="1" m="1" x="2744"/>
        <item h="1" m="1" x="2187"/>
        <item h="1" m="1" x="2745"/>
        <item h="1" m="1" x="2746"/>
        <item h="1" m="1" x="2747"/>
        <item h="1" m="1" x="2748"/>
        <item h="1" m="1" x="2527"/>
        <item h="1" m="1" x="1742"/>
        <item h="1" m="1" x="2277"/>
        <item h="1" m="1" x="2750"/>
        <item h="1" m="1" x="2751"/>
        <item h="1" m="1" x="2752"/>
        <item h="1" m="1" x="2753"/>
        <item h="1" m="1" x="2611"/>
        <item h="1" m="1" x="1795"/>
        <item h="1" m="1" x="1928"/>
        <item h="1" m="1" x="2755"/>
        <item h="1" m="1" x="2189"/>
        <item h="1" m="1" x="2196"/>
        <item h="1" m="1" x="2757"/>
        <item h="1" m="1" x="2758"/>
        <item h="1" m="1" x="2198"/>
        <item h="1" m="1" x="2284"/>
        <item h="1" m="1" x="2761"/>
        <item h="1" m="1" x="1849"/>
        <item h="1" m="1" x="2762"/>
        <item h="1" m="1" x="2763"/>
        <item h="1" m="1" x="2764"/>
        <item h="1" m="1" x="1913"/>
        <item h="1" m="1" x="1937"/>
        <item h="1" m="1" x="1936"/>
        <item h="1" m="1" x="2530"/>
        <item h="1" m="1" x="2767"/>
        <item h="1" m="1" x="2493"/>
        <item h="1" m="1" x="2560"/>
        <item h="1" m="1" x="2562"/>
        <item h="1" m="1" x="2563"/>
        <item h="1" m="1" x="2564"/>
        <item h="1" m="1" x="2570"/>
        <item h="1" m="1" x="2209"/>
        <item h="1" m="1" x="2427"/>
        <item h="1" m="1" x="2498"/>
        <item h="1" m="1" x="2575"/>
        <item h="1" m="1" x="2221"/>
        <item h="1" m="1" x="2583"/>
        <item h="1" m="1" x="2500"/>
        <item h="1" m="1" x="2501"/>
        <item h="1" m="1" x="2586"/>
        <item h="1" m="1" x="2587"/>
        <item h="1" m="1" x="2588"/>
        <item h="1" m="1" x="2589"/>
        <item h="1" m="1" x="2590"/>
        <item h="1" m="1" x="982"/>
        <item h="1" m="1" x="2428"/>
        <item h="1" m="1" x="2591"/>
        <item h="1" m="1" x="2509"/>
        <item h="1" m="1" x="2515"/>
        <item h="1" m="1" x="2241"/>
        <item h="1" m="1" x="2242"/>
        <item h="1" m="1" x="2244"/>
        <item h="1" m="1" x="2257"/>
        <item h="1" m="1" x="2258"/>
        <item h="1" m="1" x="2259"/>
        <item h="1" m="1" x="2263"/>
        <item h="1" m="1" x="2254"/>
        <item h="1" m="1" x="2594"/>
        <item h="1" m="1" x="2516"/>
        <item h="1" m="1" x="2596"/>
        <item h="1" m="1" x="1922"/>
        <item h="1" m="1" x="2271"/>
        <item h="1" m="1" x="2269"/>
        <item h="1" m="1" x="2270"/>
        <item h="1" m="1" x="2272"/>
        <item h="1" m="1" x="2606"/>
        <item h="1" m="1" x="2607"/>
        <item h="1" m="1" x="2279"/>
        <item h="1" m="1" x="2523"/>
        <item h="1" m="1" x="2610"/>
        <item h="1" m="1" x="1726"/>
        <item h="1" m="1" x="1749"/>
        <item h="1" m="1" x="2612"/>
        <item h="1" m="1" x="2613"/>
        <item h="1" m="1" x="1910"/>
        <item h="1" m="1" x="2614"/>
        <item h="1" m="1" x="2615"/>
        <item h="1" m="1" x="2616"/>
        <item h="1" m="1" x="1776"/>
        <item h="1" m="1" x="1774"/>
        <item h="1" m="1" x="1775"/>
        <item h="1" m="1" x="2524"/>
        <item h="1" m="1" x="2526"/>
        <item h="1" m="1" x="2525"/>
        <item h="1" x="44"/>
        <item h="1" m="1" x="2618"/>
        <item h="1" m="1" x="1836"/>
        <item h="1" m="1" x="2619"/>
        <item h="1" m="1" x="2620"/>
        <item h="1" m="1" x="2286"/>
        <item h="1" m="1" x="2287"/>
        <item h="1" m="1" x="1846"/>
        <item h="1" m="1" x="2531"/>
        <item h="1" m="1" x="2621"/>
        <item h="1" m="1" x="2622"/>
        <item h="1" m="1" x="1869"/>
        <item h="1" m="1" x="2623"/>
        <item h="1" m="1" x="804"/>
        <item h="1" m="1" x="1847"/>
        <item h="1" m="1" x="2416"/>
        <item h="1" m="1" x="2204"/>
        <item h="1" m="1" x="2495"/>
        <item h="1" m="1" x="2496"/>
        <item h="1" m="1" x="2220"/>
        <item h="1" m="1" x="2499"/>
        <item h="1" m="1" x="2503"/>
        <item h="1" m="1" x="2434"/>
        <item h="1" m="1" x="2430"/>
        <item h="1" m="1" x="2230"/>
        <item h="1" m="1" x="2231"/>
        <item h="1" m="1" x="2432"/>
        <item h="1" m="1" x="2433"/>
        <item h="1" m="1" x="2248"/>
        <item h="1" m="1" x="2507"/>
        <item h="1" m="1" x="2508"/>
        <item h="1" m="1" x="2511"/>
        <item h="1" m="1" x="2512"/>
        <item h="1" m="1" x="2513"/>
        <item h="1" m="1" x="2264"/>
        <item h="1" m="1" x="2517"/>
        <item h="1" m="1" x="2518"/>
        <item h="1" m="1" x="2519"/>
        <item h="1" m="1" x="2520"/>
        <item h="1" m="1" x="2521"/>
        <item h="1" m="1" x="2522"/>
        <item h="1" m="1" x="2280"/>
        <item h="1" m="1" x="2528"/>
        <item h="1" m="1" x="2438"/>
        <item h="1" m="1" x="2285"/>
        <item h="1" m="1" x="1560"/>
        <item h="1" m="1" x="2529"/>
        <item h="1" m="1" x="2532"/>
        <item h="1" m="1" x="2533"/>
        <item h="1" m="1" x="2534"/>
        <item h="1" m="1" x="2535"/>
        <item h="1" m="1" x="2293"/>
        <item h="1" m="1" x="2422"/>
        <item h="1" m="1" x="2418"/>
        <item h="1" m="1" x="2420"/>
        <item h="1" m="1" x="2421"/>
        <item h="1" m="1" x="2212"/>
        <item h="1" m="1" x="2536"/>
        <item h="1" m="1" x="2206"/>
        <item h="1" m="1" x="2537"/>
        <item h="1" m="1" x="2538"/>
        <item h="1" m="1" x="2431"/>
        <item h="1" m="1" x="2539"/>
        <item h="1" m="1" x="2540"/>
        <item h="1" m="1" x="2541"/>
        <item h="1" m="1" x="2245"/>
        <item h="1" m="1" x="2243"/>
        <item h="1" m="1" x="2240"/>
        <item h="1" m="1" x="2542"/>
        <item h="1" m="1" x="2543"/>
        <item h="1" m="1" x="2544"/>
        <item h="1" m="1" x="2261"/>
        <item h="1" m="1" x="1923"/>
        <item h="1" m="1" x="2545"/>
        <item h="1" m="1" x="2546"/>
        <item h="1" m="1" x="2547"/>
        <item h="1" m="1" x="2548"/>
        <item h="1" m="1" x="2549"/>
        <item h="1" m="1" x="2551"/>
        <item h="1" m="1" x="2552"/>
        <item h="1" m="1" x="2553"/>
        <item h="1" m="1" x="2554"/>
        <item h="1" m="1" x="1731"/>
        <item h="1" m="1" x="1821"/>
        <item h="1" m="1" x="2288"/>
        <item h="1" m="1" x="1938"/>
        <item h="1" m="1" x="1939"/>
        <item h="1" m="1" x="2557"/>
        <item h="1" m="1" x="1861"/>
        <item h="1" m="1" x="2558"/>
        <item h="1" m="1" x="2207"/>
        <item h="1" m="1" x="2423"/>
        <item h="1" m="1" x="2213"/>
        <item h="1" m="1" x="2425"/>
        <item h="1" m="1" x="2223"/>
        <item h="1" m="1" x="2224"/>
        <item h="1" m="1" x="2429"/>
        <item h="1" m="1" x="2247"/>
        <item h="1" m="1" x="2253"/>
        <item h="1" m="1" x="2260"/>
        <item h="1" m="1" x="2267"/>
        <item h="1" m="1" x="2268"/>
        <item h="1" m="1" x="1802"/>
        <item h="1" m="1" x="2278"/>
        <item h="1" m="1" x="2436"/>
        <item h="1" m="1" x="2282"/>
        <item h="1" m="1" x="2437"/>
        <item h="1" m="1" x="2289"/>
        <item h="1" m="1" x="2440"/>
        <item h="1" m="1" x="2441"/>
        <item h="1" m="1" x="2294"/>
        <item h="1" m="1" x="2295"/>
        <item h="1" m="1" x="2296"/>
        <item h="1" m="1" x="2444"/>
        <item h="1" m="1" x="2200"/>
        <item h="1" m="1" x="2445"/>
        <item h="1" m="1" x="2446"/>
        <item h="1" m="1" x="2447"/>
        <item h="1" m="1" x="2448"/>
        <item h="1" m="1" x="2211"/>
        <item h="1" m="1" x="2208"/>
        <item h="1" m="1" x="2450"/>
        <item h="1" m="1" x="2451"/>
        <item h="1" m="1" x="2453"/>
        <item h="1" m="1" x="2455"/>
        <item h="1" m="1" x="2226"/>
        <item h="1" m="1" x="2227"/>
        <item h="1" m="1" x="2457"/>
        <item h="1" m="1" x="2229"/>
        <item h="1" m="1" x="2228"/>
        <item h="1" m="1" x="2235"/>
        <item h="1" m="1" x="2251"/>
        <item h="1" m="1" x="2459"/>
        <item h="1" m="1" x="2250"/>
        <item h="1" m="1" x="2236"/>
        <item h="1" m="1" x="2237"/>
        <item h="1" m="1" x="2238"/>
        <item h="1" m="1" x="2239"/>
        <item h="1" m="1" x="2460"/>
        <item h="1" m="1" x="2262"/>
        <item h="1" m="1" x="2265"/>
        <item h="1" m="1" x="2461"/>
        <item h="1" m="1" x="2266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274"/>
        <item h="1" m="1" x="2283"/>
        <item h="1" m="1" x="2469"/>
        <item h="1" m="1" x="2470"/>
        <item h="1" m="1" x="1940"/>
        <item h="1" m="1" x="2471"/>
        <item h="1" m="1" x="2472"/>
        <item h="1" m="1" x="2297"/>
        <item h="1" m="1" x="2199"/>
        <item h="1" m="1" x="2225"/>
        <item h="1" m="1" x="2234"/>
        <item h="1" m="1" x="2255"/>
        <item h="1" m="1" x="2256"/>
        <item h="1" m="1" x="1921"/>
        <item h="1" m="1" x="2273"/>
        <item h="1" m="1" x="1713"/>
        <item h="1" m="1" x="1708"/>
        <item h="1" m="1" x="1719"/>
        <item h="1" m="1" x="1765"/>
        <item h="1" m="1" x="1785"/>
        <item h="1" m="1" x="2275"/>
        <item h="1" m="1" x="2276"/>
        <item h="1" m="1" x="1782"/>
        <item h="1" m="1" x="1730"/>
        <item h="1" m="1" x="1728"/>
        <item h="1" m="1" x="1738"/>
        <item h="1" m="1" x="1740"/>
        <item h="1" m="1" x="1734"/>
        <item h="1" m="1" x="1810"/>
        <item h="1" m="1" x="1816"/>
        <item h="1" m="1" x="1505"/>
        <item h="1" m="1" x="1823"/>
        <item h="1" m="1" x="2281"/>
        <item h="1" m="1" x="1837"/>
        <item h="1" m="1" x="1860"/>
        <item h="1" m="1" x="2290"/>
        <item h="1" m="1" x="2298"/>
        <item h="1" m="1" x="2301"/>
        <item h="1" m="1" x="2303"/>
        <item h="1" m="1" x="2304"/>
        <item h="1" m="1" x="2305"/>
        <item h="1" m="1" x="2307"/>
        <item h="1" m="1" x="2308"/>
        <item h="1" m="1" x="2309"/>
        <item h="1" m="1" x="2310"/>
        <item h="1" m="1" x="2311"/>
        <item h="1" x="139"/>
        <item h="1" m="1" x="2314"/>
        <item h="1" m="1" x="2315"/>
        <item h="1" m="1" x="2316"/>
        <item h="1" m="1" x="2318"/>
        <item h="1" m="1" x="2320"/>
        <item h="1" m="1" x="2321"/>
        <item h="1" m="1" x="2322"/>
        <item h="1" m="1" x="1035"/>
        <item h="1" m="1" x="383"/>
        <item h="1" m="1" x="2325"/>
        <item h="1" m="1" x="2326"/>
        <item h="1" m="1" x="2327"/>
        <item h="1" m="1" x="2329"/>
        <item h="1" m="1" x="2331"/>
        <item h="1" m="1" x="2332"/>
        <item h="1" m="1" x="2333"/>
        <item h="1" m="1" x="2334"/>
        <item h="1" m="1" x="2335"/>
        <item h="1" m="1" x="2337"/>
        <item h="1" m="1" x="2338"/>
        <item h="1" m="1" x="2339"/>
        <item h="1" m="1" x="2340"/>
        <item h="1" m="1" x="2341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709"/>
        <item h="1" m="1" x="2352"/>
        <item h="1" m="1" x="1729"/>
        <item h="1" m="1" x="2353"/>
        <item h="1" m="1" x="2354"/>
        <item h="1" m="1" x="2355"/>
        <item h="1" m="1" x="2356"/>
        <item h="1" m="1" x="2357"/>
        <item h="1" m="1" x="1748"/>
        <item h="1" m="1" x="1741"/>
        <item h="1" m="1" x="1784"/>
        <item h="1" m="1" x="2013"/>
        <item h="1" m="1" x="1767"/>
        <item h="1" m="1" x="2358"/>
        <item h="1" m="1" x="1797"/>
        <item h="1" m="1" x="2359"/>
        <item h="1" m="1" x="1799"/>
        <item h="1" m="1" x="1753"/>
        <item h="1" m="1" x="2360"/>
        <item h="1" m="1" x="1754"/>
        <item h="1" m="1" x="1750"/>
        <item h="1" m="1" x="2361"/>
        <item h="1" m="1" x="2362"/>
        <item h="1" m="1" x="2363"/>
        <item h="1" m="1" x="2364"/>
        <item h="1" m="1" x="2365"/>
        <item h="1" m="1" x="2366"/>
        <item h="1" m="1" x="2367"/>
        <item h="1" m="1" x="2368"/>
        <item h="1" m="1" x="2369"/>
        <item h="1" m="1" x="2370"/>
        <item h="1" m="1" x="2371"/>
        <item h="1" m="1" x="2372"/>
        <item h="1" m="1" x="2373"/>
        <item h="1" m="1" x="2374"/>
        <item h="1" m="1" x="1848"/>
        <item h="1" m="1" x="819"/>
        <item h="1" m="1" x="2375"/>
        <item h="1" m="1" x="2376"/>
        <item h="1" m="1" x="818"/>
        <item h="1" m="1" x="2377"/>
        <item h="1" m="1" x="2378"/>
        <item h="1" m="1" x="2379"/>
        <item h="1" m="1" x="2380"/>
        <item h="1" m="1" x="2381"/>
        <item h="1" m="1" x="2382"/>
        <item h="1" m="1" x="2384"/>
        <item h="1" m="1" x="2385"/>
        <item h="1" m="1" x="2386"/>
        <item h="1" m="1" x="2387"/>
        <item h="1" m="1" x="2388"/>
        <item h="1" m="1" x="2389"/>
        <item h="1" m="1" x="1408"/>
        <item h="1" m="1" x="1407"/>
        <item h="1" m="1" x="1894"/>
        <item h="1" m="1" x="1895"/>
        <item h="1" m="1" x="1834"/>
        <item h="1" m="1" x="1896"/>
        <item h="1" m="1" x="1897"/>
        <item h="1" m="1" x="1898"/>
        <item h="1" m="1" x="765"/>
        <item h="1" m="1" x="1780"/>
        <item h="1" m="1" x="1900"/>
        <item h="1" m="1" x="1901"/>
        <item h="1" m="1" x="810"/>
        <item h="1" m="1" x="1736"/>
        <item h="1" m="1" x="1909"/>
        <item h="1" m="1" x="1737"/>
        <item h="1" m="1" x="1914"/>
        <item h="1" m="1" x="1698"/>
        <item h="1" m="1" x="1697"/>
        <item h="1" m="1" x="1699"/>
        <item h="1" m="1" x="1916"/>
        <item h="1" m="1" x="1917"/>
        <item h="1" m="1" x="1918"/>
        <item h="1" m="1" x="1919"/>
        <item h="1" m="1" x="1920"/>
        <item h="1" m="1" x="1690"/>
        <item h="1" m="1" x="1691"/>
        <item h="1" m="1" x="1773"/>
        <item h="1" m="1" x="1378"/>
        <item h="1" m="1" x="1808"/>
        <item h="1" m="1" x="1924"/>
        <item h="1" m="1" x="1790"/>
        <item h="1" m="1" x="1925"/>
        <item h="1" m="1" x="1926"/>
        <item h="1" m="1" x="1723"/>
        <item h="1" m="1" x="1796"/>
        <item h="1" m="1" x="1725"/>
        <item h="1" m="1" x="1827"/>
        <item h="1" m="1" x="1829"/>
        <item h="1" m="1" x="1830"/>
        <item h="1" m="1" x="1929"/>
        <item h="1" m="1" x="1930"/>
        <item h="1" m="1" x="1932"/>
        <item h="1" m="1" x="1933"/>
        <item h="1" m="1" x="1934"/>
        <item h="1" m="1" x="1935"/>
        <item h="1" m="1" x="1942"/>
        <item h="1" m="1" x="1944"/>
        <item h="1" m="1" x="1618"/>
        <item h="1" m="1" x="1945"/>
        <item h="1" m="1" x="1946"/>
        <item h="1" m="1" x="1947"/>
        <item h="1" m="1" x="1948"/>
        <item h="1" m="1" x="1949"/>
        <item h="1" m="1" x="1595"/>
        <item h="1" m="1" x="1950"/>
        <item h="1" m="1" x="1605"/>
        <item h="1" m="1" x="1466"/>
        <item h="1" m="1" x="1613"/>
        <item h="1" m="1" x="1614"/>
        <item h="1" m="1" x="1951"/>
        <item h="1" m="1" x="1617"/>
        <item h="1" m="1" x="1952"/>
        <item h="1" m="1" x="1953"/>
        <item h="1" m="1" x="1954"/>
        <item h="1" m="1" x="1955"/>
        <item h="1" m="1" x="1956"/>
        <item h="1" m="1" x="1957"/>
        <item h="1" m="1" x="1958"/>
        <item h="1" m="1" x="1960"/>
        <item h="1" m="1" x="1961"/>
        <item h="1" m="1" x="1962"/>
        <item h="1" m="1" x="1963"/>
        <item h="1" m="1" x="1510"/>
        <item h="1" m="1" x="1964"/>
        <item h="1" m="1" x="1965"/>
        <item h="1" m="1" x="1511"/>
        <item h="1" m="1" x="1513"/>
        <item h="1" m="1" x="1968"/>
        <item h="1" m="1" x="1970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x="15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821"/>
        <item h="1" m="1" x="1998"/>
        <item h="1" m="1" x="1442"/>
        <item h="1" m="1" x="1999"/>
        <item h="1" m="1" x="823"/>
        <item h="1" m="1" x="822"/>
        <item h="1" m="1" x="1533"/>
        <item h="1" m="1" x="2002"/>
        <item h="1" m="1" x="830"/>
        <item h="1" m="1" x="831"/>
        <item h="1" m="1" x="812"/>
        <item h="1" m="1" x="1535"/>
        <item h="1" m="1" x="829"/>
        <item h="1" m="1" x="2003"/>
        <item h="1" m="1" x="828"/>
        <item h="1" m="1" x="2005"/>
        <item h="1" m="1" x="2006"/>
        <item h="1" m="1" x="601"/>
        <item h="1" m="1" x="824"/>
        <item h="1" m="1" x="825"/>
        <item h="1" m="1" x="826"/>
        <item h="1" m="1" x="2007"/>
        <item h="1" m="1" x="827"/>
        <item h="1" m="1" x="2008"/>
        <item h="1" m="1" x="2009"/>
        <item h="1" m="1" x="834"/>
        <item h="1" m="1" x="1747"/>
        <item h="1" m="1" x="1743"/>
        <item h="1" m="1" x="1540"/>
        <item h="1" m="1" x="1538"/>
        <item h="1" m="1" x="833"/>
        <item h="1" m="1" x="1539"/>
        <item h="1" m="1" x="838"/>
        <item h="1" m="1" x="839"/>
        <item h="1" m="1" x="2010"/>
        <item h="1" m="1" x="2011"/>
        <item h="1" m="1" x="2012"/>
        <item h="1" m="1" x="836"/>
        <item h="1" m="1" x="2015"/>
        <item h="1" m="1" x="2016"/>
        <item h="1" m="1" x="835"/>
        <item h="1" m="1" x="2017"/>
        <item h="1" m="1" x="2018"/>
        <item h="1" m="1" x="832"/>
        <item h="1" m="1" x="813"/>
        <item h="1" m="1" x="837"/>
        <item h="1" m="1" x="840"/>
        <item h="1" m="1" x="1553"/>
        <item h="1" m="1" x="841"/>
        <item h="1" m="1" x="842"/>
        <item h="1" m="1" x="843"/>
        <item h="1" m="1" x="1842"/>
        <item h="1" m="1" x="2020"/>
        <item h="1" m="1" x="2021"/>
        <item h="1" m="1" x="2022"/>
        <item h="1" m="1" x="2023"/>
        <item h="1" m="1" x="2024"/>
        <item h="1" m="1" x="2025"/>
        <item h="1" m="1" x="2026"/>
        <item h="1" m="1" x="2027"/>
        <item h="1" m="1" x="2028"/>
        <item h="1" m="1" x="2030"/>
        <item h="1" m="1" x="2031"/>
        <item h="1" m="1" x="1880"/>
        <item h="1" m="1" x="1883"/>
        <item h="1" m="1" x="1888"/>
        <item h="1" m="1" x="2032"/>
        <item h="1" m="1" x="2034"/>
        <item h="1" m="1" x="2036"/>
        <item h="1" m="1" x="2037"/>
        <item h="1" m="1" x="2038"/>
        <item h="1" m="1" x="2039"/>
        <item h="1" m="1" x="2040"/>
        <item h="1" m="1" x="2042"/>
        <item h="1" m="1" x="2043"/>
        <item h="1" m="1" x="2044"/>
        <item h="1" m="1" x="2045"/>
        <item h="1" m="1" x="2046"/>
        <item h="1" m="1" x="1122"/>
        <item h="1" m="1" x="2047"/>
        <item h="1" m="1" x="2051"/>
        <item h="1" m="1" x="2052"/>
        <item h="1" m="1" x="1475"/>
        <item h="1" m="1" x="2055"/>
        <item h="1" m="1" x="2056"/>
        <item h="1" m="1" x="1622"/>
        <item h="1" m="1" x="2057"/>
        <item h="1" m="1" x="2058"/>
        <item h="1" m="1" x="2059"/>
        <item h="1" m="1" x="2060"/>
        <item h="1" m="1" x="2061"/>
        <item h="1" m="1" x="2064"/>
        <item h="1" m="1" x="2065"/>
        <item h="1" m="1" x="2066"/>
        <item h="1" m="1" x="2067"/>
        <item h="1" m="1" x="2068"/>
        <item h="1" m="1" x="2072"/>
        <item h="1" m="1" x="2073"/>
        <item h="1" m="1" x="2076"/>
        <item h="1" m="1" x="2078"/>
        <item h="1" m="1" x="2079"/>
        <item h="1" m="1" x="2080"/>
        <item h="1" m="1" x="2081"/>
        <item h="1" m="1" x="125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4"/>
        <item h="1" m="1" x="2095"/>
        <item h="1" m="1" x="2098"/>
        <item h="1" m="1" x="2100"/>
        <item h="1" m="1" x="2101"/>
        <item h="1" m="1" x="2102"/>
        <item h="1" m="1" x="2103"/>
        <item h="1" m="1" x="1273"/>
        <item h="1" m="1" x="2104"/>
        <item h="1" m="1" x="2105"/>
        <item h="1" m="1" x="2106"/>
        <item h="1" m="1" x="2108"/>
        <item h="1" m="1" x="786"/>
        <item h="1" m="1" x="2110"/>
        <item h="1" m="1" x="2111"/>
        <item h="1" m="1" x="2112"/>
        <item h="1" m="1" x="2113"/>
        <item h="1" m="1" x="852"/>
        <item h="1" m="1" x="2114"/>
        <item h="1" m="1" x="2115"/>
        <item h="1" m="1" x="2116"/>
        <item h="1" m="1" x="2117"/>
        <item h="1" m="1" x="858"/>
        <item h="1" m="1" x="2118"/>
        <item h="1" m="1" x="2119"/>
        <item h="1" m="1" x="1759"/>
        <item h="1" m="1" x="2120"/>
        <item h="1" m="1" x="863"/>
        <item h="1" m="1" x="864"/>
        <item h="1" m="1" x="2122"/>
        <item h="1" m="1" x="870"/>
        <item h="1" m="1" x="2124"/>
        <item h="1" m="1" x="873"/>
        <item h="1" m="1" x="1735"/>
        <item h="1" m="1" x="1822"/>
        <item h="1" m="1" x="2125"/>
        <item h="1" m="1" x="1831"/>
        <item h="1" m="1" x="844"/>
        <item h="1" m="1" x="845"/>
        <item h="1" m="1" x="892"/>
        <item h="1" m="1" x="2126"/>
        <item h="1" m="1" x="2127"/>
        <item h="1" m="1" x="895"/>
        <item h="1" m="1" x="894"/>
        <item h="1" m="1" x="2128"/>
        <item h="1" m="1" x="1857"/>
        <item h="1" m="1" x="1580"/>
        <item h="1" m="1" x="846"/>
        <item h="1" x="98"/>
        <item h="1" m="1" x="1594"/>
        <item h="1" m="1" x="2129"/>
        <item h="1" m="1" x="2130"/>
        <item h="1" m="1" x="2132"/>
        <item h="1" m="1" x="2133"/>
        <item h="1" m="1" x="2134"/>
        <item h="1" m="1" x="2135"/>
        <item h="1" m="1" x="2136"/>
        <item h="1" m="1" x="2137"/>
        <item h="1" m="1" x="1596"/>
        <item h="1" m="1" x="1445"/>
        <item h="1" m="1" x="1446"/>
        <item h="1" m="1" x="1597"/>
        <item h="1" m="1" x="1598"/>
        <item h="1" m="1" x="1599"/>
        <item h="1" m="1" x="1601"/>
        <item h="1" m="1" x="1602"/>
        <item h="1" m="1" x="1454"/>
        <item h="1" m="1" x="1604"/>
        <item h="1" m="1" x="1457"/>
        <item h="1" m="1" x="1465"/>
        <item h="1" m="1" x="1464"/>
        <item h="1" m="1" x="1606"/>
        <item h="1" m="1" x="1456"/>
        <item h="1" m="1" x="1458"/>
        <item h="1" m="1" x="1607"/>
        <item h="1" m="1" x="1608"/>
        <item h="1" m="1" x="1609"/>
        <item h="1" m="1" x="1473"/>
        <item h="1" m="1" x="1611"/>
        <item h="1" m="1" x="1470"/>
        <item h="1" m="1" x="1467"/>
        <item h="1" m="1" x="1468"/>
        <item h="1" m="1" x="1612"/>
        <item h="1" m="1" x="336"/>
        <item h="1" m="1" x="1619"/>
        <item h="1" m="1" x="906"/>
        <item h="1" m="1" x="1620"/>
        <item h="1" m="1" x="1621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849"/>
        <item h="1" m="1" x="1632"/>
        <item h="1" m="1" x="1633"/>
        <item h="1" m="1" x="1634"/>
        <item h="1" m="1" x="1635"/>
        <item h="1" m="1" x="1636"/>
        <item h="1" m="1" x="1637"/>
        <item h="1" m="1" x="1638"/>
        <item h="1" m="1" x="1640"/>
        <item h="1" m="1" x="1641"/>
        <item h="1" m="1" x="1642"/>
        <item h="1" m="1" x="1643"/>
        <item h="1" m="1" x="1497"/>
        <item h="1" m="1" x="1644"/>
        <item h="1" m="1" x="1645"/>
        <item h="1" m="1" x="1646"/>
        <item h="1" m="1" x="1647"/>
        <item h="1" m="1" x="1648"/>
        <item h="1" m="1" x="1649"/>
        <item h="1" m="1" x="809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508"/>
        <item h="1" m="1" x="1658"/>
        <item h="1" m="1" x="1659"/>
        <item h="1" m="1" x="1660"/>
        <item h="1" m="1" x="1661"/>
        <item h="1" m="1" x="1662"/>
        <item h="1" m="1" x="1663"/>
        <item h="1" m="1" x="1664"/>
        <item h="1" m="1" x="1667"/>
        <item h="1" m="1" x="1668"/>
        <item h="1" m="1" x="1525"/>
        <item h="1" m="1" x="1207"/>
        <item h="1" m="1" x="1671"/>
        <item h="1" m="1" x="1672"/>
        <item h="1" m="1" x="1673"/>
        <item h="1" m="1" x="1674"/>
        <item h="1" m="1" x="1675"/>
        <item h="1" m="1" x="1676"/>
        <item h="1" m="1" x="1677"/>
        <item h="1" m="1" x="1678"/>
        <item h="1" m="1" x="1679"/>
        <item h="1" m="1" x="1680"/>
        <item h="1" m="1" x="1682"/>
        <item h="1" m="1" x="1683"/>
        <item h="1" m="1" x="1684"/>
        <item h="1" m="1" x="1685"/>
        <item h="1" m="1" x="1686"/>
        <item h="1" m="1" x="1687"/>
        <item h="1" m="1" x="1688"/>
        <item h="1" m="1" x="853"/>
        <item h="1" m="1" x="1529"/>
        <item h="1" m="1" x="1692"/>
        <item h="1" m="1" x="1693"/>
        <item h="1" m="1" x="1694"/>
        <item h="1" m="1" x="1695"/>
        <item h="1" m="1" x="854"/>
        <item h="1" m="1" x="1700"/>
        <item h="1" m="1" x="1701"/>
        <item h="1" m="1" x="1702"/>
        <item h="1" m="1" x="855"/>
        <item h="1" m="1" x="1703"/>
        <item h="1" m="1" x="1704"/>
        <item h="1" m="1" x="1705"/>
        <item h="1" m="1" x="857"/>
        <item h="1" m="1" x="1715"/>
        <item h="1" m="1" x="1716"/>
        <item h="1" m="1" x="1717"/>
        <item h="1" m="1" x="859"/>
        <item h="1" m="1" x="1720"/>
        <item h="1" m="1" x="1721"/>
        <item h="1" m="1" x="871"/>
        <item h="1" m="1" x="1722"/>
        <item h="1" m="1" x="1427"/>
        <item h="1" m="1" x="1751"/>
        <item h="1" m="1" x="868"/>
        <item h="1" m="1" x="1096"/>
        <item h="1" m="1" x="925"/>
        <item h="1" m="1" x="872"/>
        <item h="1" m="1" x="1760"/>
        <item h="1" m="1" x="1763"/>
        <item h="1" m="1" x="1769"/>
        <item h="1" m="1" x="1772"/>
        <item h="1" m="1" x="1779"/>
        <item h="1" m="1" x="1783"/>
        <item h="1" m="1" x="1786"/>
        <item h="1" m="1" x="1787"/>
        <item h="1" m="1" x="1788"/>
        <item h="1" m="1" x="1789"/>
        <item h="1" m="1" x="1791"/>
        <item h="1" m="1" x="1792"/>
        <item h="1" m="1" x="860"/>
        <item h="1" m="1" x="1793"/>
        <item h="1" m="1" x="614"/>
        <item h="1" m="1" x="861"/>
        <item h="1" m="1" x="862"/>
        <item h="1" m="1" x="867"/>
        <item h="1" m="1" x="1800"/>
        <item h="1" m="1" x="1801"/>
        <item h="1" m="1" x="1804"/>
        <item h="1" m="1" x="1805"/>
        <item h="1" m="1" x="1806"/>
        <item h="1" m="1" x="865"/>
        <item h="1" m="1" x="866"/>
        <item h="1" m="1" x="1807"/>
        <item h="1" m="1" x="942"/>
        <item h="1" m="1" x="874"/>
        <item h="1" m="1" x="1811"/>
        <item h="1" m="1" x="875"/>
        <item h="1" m="1" x="877"/>
        <item h="1" m="1" x="876"/>
        <item h="1" m="1" x="878"/>
        <item h="1" m="1" x="1813"/>
        <item h="1" m="1" x="1814"/>
        <item h="1" m="1" x="1815"/>
        <item h="1" m="1" x="1817"/>
        <item h="1" m="1" x="1819"/>
        <item h="1" m="1" x="879"/>
        <item h="1" m="1" x="950"/>
        <item h="1" m="1" x="880"/>
        <item h="1" m="1" x="881"/>
        <item h="1" m="1" x="952"/>
        <item h="1" m="1" x="882"/>
        <item h="1" m="1" x="1824"/>
        <item h="1" m="1" x="887"/>
        <item h="1" m="1" x="1554"/>
        <item h="1" m="1" x="885"/>
        <item h="1" m="1" x="886"/>
        <item h="1" m="1" x="889"/>
        <item h="1" m="1" x="888"/>
        <item h="1" m="1" x="1826"/>
        <item h="1" m="1" x="884"/>
        <item h="1" m="1" x="883"/>
        <item h="1" m="1" x="890"/>
        <item h="1" m="1" x="891"/>
        <item h="1" m="1" x="1833"/>
        <item h="1" m="1" x="1835"/>
        <item h="1" m="1" x="1840"/>
        <item h="1" m="1" x="1841"/>
        <item h="1" m="1" x="816"/>
        <item h="1" m="1" x="1559"/>
        <item h="1" m="1" x="1843"/>
        <item h="1" m="1" x="1844"/>
        <item h="1" m="1" x="1563"/>
        <item h="1" m="1" x="1850"/>
        <item h="1" m="1" x="1851"/>
        <item h="1" m="1" x="1852"/>
        <item h="1" m="1" x="896"/>
        <item h="1" m="1" x="1564"/>
        <item h="1" m="1" x="1853"/>
        <item h="1" m="1" x="1565"/>
        <item h="1" m="1" x="1854"/>
        <item h="1" m="1" x="1855"/>
        <item h="1" m="1" x="893"/>
        <item h="1" m="1" x="1863"/>
        <item h="1" m="1" x="1864"/>
        <item h="1" m="1" x="897"/>
        <item h="1" m="1" x="979"/>
        <item h="1" m="1" x="1865"/>
        <item h="1" m="1" x="1866"/>
        <item h="1" m="1" x="1867"/>
        <item h="1" m="1" x="898"/>
        <item h="1" m="1" x="1870"/>
        <item h="1" m="1" x="1871"/>
        <item h="1" m="1" x="1873"/>
        <item h="1" m="1" x="1874"/>
        <item h="1" m="1" x="1876"/>
        <item h="1" m="1" x="1585"/>
        <item h="1" m="1" x="1584"/>
        <item h="1" m="1" x="1586"/>
        <item h="1" m="1" x="1877"/>
        <item h="1" m="1" x="1878"/>
        <item h="1" m="1" x="1588"/>
        <item h="1" m="1" x="1881"/>
        <item h="1" m="1" x="1882"/>
        <item h="1" m="1" x="1884"/>
        <item h="1" m="1" x="1885"/>
        <item h="1" m="1" x="1886"/>
        <item h="1" m="1" x="1887"/>
        <item h="1" m="1" x="1890"/>
        <item h="1" m="1" x="1891"/>
        <item h="1" m="1" x="900"/>
        <item h="1" m="1" x="1892"/>
        <item h="1" m="1" x="1444"/>
        <item h="1" m="1" x="1449"/>
        <item h="1" m="1" x="1450"/>
        <item h="1" m="1" x="1452"/>
        <item h="1" m="1" x="1453"/>
        <item h="1" m="1" x="1455"/>
        <item h="1" m="1" x="1459"/>
        <item h="1" m="1" x="1460"/>
        <item h="1" m="1" x="1462"/>
        <item h="1" m="1" x="1463"/>
        <item h="1" m="1" x="902"/>
        <item h="1" m="1" x="903"/>
        <item h="1" m="1" x="1469"/>
        <item h="1" m="1" x="1471"/>
        <item h="1" m="1" x="1472"/>
        <item h="1" m="1" x="1474"/>
        <item h="1" m="1" x="1476"/>
        <item h="1" m="1" x="1478"/>
        <item h="1" m="1" x="1479"/>
        <item h="1" m="1" x="1480"/>
        <item h="1" m="1" x="1481"/>
        <item h="1" m="1" x="1482"/>
        <item h="1" m="1" x="1483"/>
        <item h="1" m="1" x="1484"/>
        <item h="1" m="1" x="1485"/>
        <item h="1" m="1" x="1486"/>
        <item h="1" m="1" x="1487"/>
        <item h="1" m="1" x="1488"/>
        <item h="1" m="1" x="1490"/>
        <item h="1" m="1" x="1491"/>
        <item h="1" m="1" x="1492"/>
        <item h="1" m="1" x="1493"/>
        <item h="1" m="1" x="1494"/>
        <item h="1" m="1" x="1495"/>
        <item h="1" m="1" x="1496"/>
        <item h="1" m="1" x="1498"/>
        <item h="1" m="1" x="1499"/>
        <item h="1" m="1" x="1500"/>
        <item h="1" m="1" x="1502"/>
        <item h="1" m="1" x="1503"/>
        <item h="1" m="1" x="1504"/>
        <item h="1" m="1" x="1506"/>
        <item h="1" m="1" x="1507"/>
        <item h="1" m="1" x="1512"/>
        <item h="1" m="1" x="1514"/>
        <item h="1" m="1" x="1516"/>
        <item h="1" m="1" x="910"/>
        <item h="1" m="1" x="1519"/>
        <item h="1" m="1" x="1520"/>
        <item h="1" m="1" x="1523"/>
        <item h="1" m="1" x="1524"/>
        <item h="1" m="1" x="1526"/>
        <item h="1" m="1" x="912"/>
        <item h="1" m="1" x="1527"/>
        <item h="1" m="1" x="1528"/>
        <item h="1" m="1" x="1530"/>
        <item h="1" m="1" x="1531"/>
        <item h="1" m="1" x="1532"/>
        <item h="1" m="1" x="1534"/>
        <item h="1" m="1" x="1349"/>
        <item h="1" m="1" x="1536"/>
        <item h="1" m="1" x="1537"/>
        <item h="1" m="1" x="915"/>
        <item h="1" m="1" x="916"/>
        <item h="1" m="1" x="922"/>
        <item h="1" m="1" x="921"/>
        <item h="1" m="1" x="1541"/>
        <item h="1" m="1" x="1542"/>
        <item h="1" m="1" x="928"/>
        <item h="1" m="1" x="1544"/>
        <item h="1" m="1" x="1545"/>
        <item h="1" m="1" x="1546"/>
        <item h="1" m="1" x="933"/>
        <item h="1" m="1" x="932"/>
        <item h="1" m="1" x="1547"/>
        <item h="1" m="1" x="1548"/>
        <item h="1" m="1" x="1549"/>
        <item h="1" m="1" x="1550"/>
        <item h="1" m="1" x="1551"/>
        <item h="1" m="1" x="936"/>
        <item h="1" m="1" x="926"/>
        <item h="1" m="1" x="1552"/>
        <item h="1" m="1" x="944"/>
        <item h="1" m="1" x="947"/>
        <item h="1" m="1" x="948"/>
        <item h="1" m="1" x="953"/>
        <item h="1" m="1" x="965"/>
        <item h="1" m="1" x="1555"/>
        <item h="1" m="1" x="966"/>
        <item h="1" m="1" x="964"/>
        <item h="1" m="1" x="968"/>
        <item h="1" m="1" x="969"/>
        <item h="1" m="1" x="967"/>
        <item h="1" m="1" x="970"/>
        <item h="1" m="1" x="1557"/>
        <item h="1" m="1" x="798"/>
        <item h="1" m="1" x="1558"/>
        <item h="1" m="1" x="1562"/>
        <item h="1" m="1" x="1567"/>
        <item h="1" m="1" x="1568"/>
        <item h="1" m="1" x="1569"/>
        <item h="1" m="1" x="1373"/>
        <item h="1" m="1" x="1570"/>
        <item h="1" m="1" x="1571"/>
        <item h="1" m="1" x="1572"/>
        <item h="1" m="1" x="1573"/>
        <item h="1" m="1" x="1574"/>
        <item h="1" m="1" x="1575"/>
        <item h="1" m="1" x="1576"/>
        <item h="1" m="1" x="975"/>
        <item h="1" m="1" x="1577"/>
        <item h="1" m="1" x="1578"/>
        <item h="1" m="1" x="976"/>
        <item h="1" m="1" x="1581"/>
        <item h="1" m="1" x="1587"/>
        <item h="1" m="1" x="1589"/>
        <item h="1" m="1" x="1118"/>
        <item h="1" m="1" x="1592"/>
        <item h="1" m="1" x="989"/>
        <item h="1" m="1" x="307"/>
        <item h="1" m="1" x="1593"/>
        <item h="1" m="1" x="993"/>
        <item h="1" m="1" x="991"/>
        <item h="1" m="1" x="992"/>
        <item h="1" m="1" x="998"/>
        <item h="1" m="1" x="1382"/>
        <item h="1" m="1" x="999"/>
        <item h="1" m="1" x="901"/>
        <item h="1" m="1" x="1008"/>
        <item h="1" m="1" x="1009"/>
        <item h="1" m="1" x="1007"/>
        <item h="1" m="1" x="1003"/>
        <item h="1" m="1" x="1004"/>
        <item h="1" m="1" x="1005"/>
        <item h="1" m="1" x="1006"/>
        <item h="1" m="1" x="1000"/>
        <item h="1" m="1" x="1002"/>
        <item h="1" m="1" x="1001"/>
        <item h="1" m="1" x="1383"/>
        <item h="1" m="1" x="904"/>
        <item h="1" m="1" x="1299"/>
        <item h="1" m="1" x="1012"/>
        <item h="1" m="1" x="1384"/>
        <item h="1" m="1" x="1303"/>
        <item h="1" m="1" x="1312"/>
        <item h="1" m="1" x="1313"/>
        <item h="1" m="1" x="1385"/>
        <item h="1" m="1" x="1386"/>
        <item h="1" m="1" x="1387"/>
        <item h="1" m="1" x="1314"/>
        <item h="1" m="1" x="1304"/>
        <item h="1" m="1" x="1305"/>
        <item h="1" m="1" x="1307"/>
        <item h="1" m="1" x="1308"/>
        <item h="1" m="1" x="1306"/>
        <item h="1" m="1" x="1015"/>
        <item h="1" m="1" x="1016"/>
        <item h="1" m="1" x="1302"/>
        <item h="1" m="1" x="1317"/>
        <item h="1" m="1" x="1300"/>
        <item h="1" m="1" x="1318"/>
        <item h="1" m="1" x="1388"/>
        <item h="1" m="1" x="1018"/>
        <item h="1" m="1" x="1017"/>
        <item h="1" m="1" x="1389"/>
        <item h="1" m="1" x="1390"/>
        <item h="1" m="1" x="1391"/>
        <item h="1" m="1" x="1392"/>
        <item h="1" m="1" x="1393"/>
        <item h="1" x="160"/>
        <item h="1" m="1" x="1019"/>
        <item h="1" m="1" x="762"/>
        <item h="1" m="1" x="1028"/>
        <item h="1" m="1" x="1029"/>
        <item h="1" m="1" x="1332"/>
        <item h="1" m="1" x="1329"/>
        <item h="1" m="1" x="1330"/>
        <item h="1" m="1" x="1331"/>
        <item h="1" m="1" x="1327"/>
        <item h="1" m="1" x="1394"/>
        <item h="1" m="1" x="1023"/>
        <item h="1" m="1" x="1025"/>
        <item h="1" m="1" x="1024"/>
        <item h="1" m="1" x="1026"/>
        <item h="1" m="1" x="1031"/>
        <item h="1" m="1" x="907"/>
        <item h="1" m="1" x="908"/>
        <item h="1" m="1" x="1034"/>
        <item h="1" m="1" x="1333"/>
        <item h="1" m="1" x="1395"/>
        <item h="1" m="1" x="1396"/>
        <item h="1" m="1" x="1036"/>
        <item h="1" m="1" x="1037"/>
        <item h="1" m="1" x="1397"/>
        <item h="1" m="1" x="1038"/>
        <item h="1" m="1" x="1047"/>
        <item h="1" m="1" x="1048"/>
        <item h="1" m="1" x="1049"/>
        <item h="1" m="1" x="1050"/>
        <item h="1" m="1" x="1398"/>
        <item h="1" m="1" x="1399"/>
        <item h="1" m="1" x="1043"/>
        <item h="1" m="1" x="1044"/>
        <item h="1" m="1" x="1042"/>
        <item h="1" m="1" x="1040"/>
        <item h="1" m="1" x="1041"/>
        <item h="1" m="1" x="1334"/>
        <item h="1" m="1" x="1400"/>
        <item h="1" m="1" x="1401"/>
        <item h="1" m="1" x="1402"/>
        <item h="1" m="1" x="1339"/>
        <item h="1" m="1" x="1335"/>
        <item h="1" m="1" x="1336"/>
        <item h="1" m="1" x="1338"/>
        <item h="1" m="1" x="1337"/>
        <item h="1" m="1" x="1051"/>
        <item h="1" m="1" x="1055"/>
        <item h="1" m="1" x="1057"/>
        <item h="1" m="1" x="1058"/>
        <item h="1" m="1" x="750"/>
        <item h="1" m="1" x="1053"/>
        <item h="1" m="1" x="1054"/>
        <item h="1" m="1" x="1061"/>
        <item h="1" m="1" x="1403"/>
        <item h="1" m="1" x="911"/>
        <item h="1" m="1" x="1065"/>
        <item h="1" m="1" x="1067"/>
        <item h="1" m="1" x="1068"/>
        <item h="1" m="1" x="1069"/>
        <item h="1" m="1" x="1066"/>
        <item h="1" m="1" x="1073"/>
        <item h="1" m="1" x="1071"/>
        <item h="1" m="1" x="1342"/>
        <item h="1" m="1" x="1074"/>
        <item h="1" m="1" x="1075"/>
        <item h="1" m="1" x="1404"/>
        <item h="1" m="1" x="1076"/>
        <item h="1" m="1" x="1077"/>
        <item h="1" m="1" x="1405"/>
        <item h="1" m="1" x="1078"/>
        <item h="1" m="1" x="1344"/>
        <item h="1" m="1" x="1079"/>
        <item h="1" m="1" x="1406"/>
        <item h="1" m="1" x="913"/>
        <item h="1" m="1" x="1080"/>
        <item h="1" m="1" x="914"/>
        <item h="1" m="1" x="1350"/>
        <item h="1" m="1" x="1351"/>
        <item h="1" m="1" x="1347"/>
        <item h="1" m="1" x="1348"/>
        <item h="1" m="1" x="917"/>
        <item h="1" m="1" x="918"/>
        <item h="1" m="1" x="1082"/>
        <item h="1" m="1" x="1083"/>
        <item h="1" m="1" x="1409"/>
        <item h="1" m="1" x="1084"/>
        <item h="1" m="1" x="1085"/>
        <item h="1" m="1" x="1086"/>
        <item h="1" m="1" x="1352"/>
        <item h="1" m="1" x="1356"/>
        <item h="1" m="1" x="1357"/>
        <item h="1" m="1" x="1355"/>
        <item h="1" m="1" x="1358"/>
        <item h="1" m="1" x="1359"/>
        <item h="1" m="1" x="1360"/>
        <item h="1" m="1" x="1361"/>
        <item h="1" m="1" x="931"/>
        <item h="1" m="1" x="1092"/>
        <item h="1" m="1" x="929"/>
        <item h="1" m="1" x="930"/>
        <item h="1" m="1" x="1410"/>
        <item h="1" m="1" x="1411"/>
        <item h="1" m="1" x="1412"/>
        <item h="1" m="1" x="1413"/>
        <item h="1" m="1" x="927"/>
        <item h="1" m="1" x="1353"/>
        <item h="1" m="1" x="934"/>
        <item h="1" m="1" x="935"/>
        <item h="1" m="1" x="937"/>
        <item h="1" m="1" x="1090"/>
        <item h="1" m="1" x="939"/>
        <item h="1" m="1" x="1417"/>
        <item h="1" m="1" x="1418"/>
        <item h="1" m="1" x="1419"/>
        <item h="1" m="1" x="940"/>
        <item h="1" m="1" x="938"/>
        <item h="1" m="1" x="1420"/>
        <item h="1" m="1" x="1421"/>
        <item h="1" m="1" x="1093"/>
        <item h="1" m="1" x="1422"/>
        <item h="1" m="1" x="1088"/>
        <item h="1" m="1" x="1089"/>
        <item h="1" m="1" x="815"/>
        <item h="1" m="1" x="814"/>
        <item h="1" m="1" x="941"/>
        <item h="1" m="1" x="1423"/>
        <item h="1" m="1" x="920"/>
        <item h="1" m="1" x="923"/>
        <item h="1" m="1" x="924"/>
        <item h="1" m="1" x="1364"/>
        <item h="1" m="1" x="1424"/>
        <item h="1" m="1" x="1425"/>
        <item h="1" m="1" x="1426"/>
        <item h="1" m="1" x="1095"/>
        <item h="1" m="1" x="1365"/>
        <item h="1" m="1" x="946"/>
        <item h="1" m="1" x="945"/>
        <item h="1" m="1" x="1097"/>
        <item h="1" m="1" x="943"/>
        <item h="1" m="1" x="1098"/>
        <item h="1" m="1" x="1099"/>
        <item h="1" m="1" x="1100"/>
        <item h="1" m="1" x="1101"/>
        <item h="1" m="1" x="1428"/>
        <item h="1" m="1" x="949"/>
        <item h="1" m="1" x="951"/>
        <item h="1" m="1" x="1102"/>
        <item h="1" m="1" x="954"/>
        <item h="1" m="1" x="1103"/>
        <item h="1" m="1" x="1429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1430"/>
        <item h="1" m="1" x="962"/>
        <item h="1" m="1" x="963"/>
        <item h="1" m="1" x="1432"/>
        <item h="1" m="1" x="1107"/>
        <item h="1" m="1" x="1433"/>
        <item h="1" m="1" x="1434"/>
        <item h="1" m="1" x="558"/>
        <item h="1" m="1" x="1435"/>
        <item h="1" m="1" x="1436"/>
        <item h="1" m="1" x="1437"/>
        <item h="1" m="1" x="1438"/>
        <item h="1" m="1" x="974"/>
        <item h="1" m="1" x="1439"/>
        <item h="1" m="1" x="1440"/>
        <item h="1" m="1" x="1112"/>
        <item h="1" m="1" x="1111"/>
        <item h="1" m="1" x="1109"/>
        <item h="1" m="1" x="1110"/>
        <item h="1" m="1" x="1441"/>
        <item h="1" m="1" x="1113"/>
        <item h="1" m="1" x="981"/>
        <item h="1" m="1" x="980"/>
        <item h="1" m="1" x="978"/>
        <item h="1" m="1" x="977"/>
        <item h="1" m="1" x="1115"/>
        <item h="1" m="1" x="984"/>
        <item h="1" m="1" x="985"/>
        <item h="1" m="1" x="1120"/>
        <item h="1" m="1" x="986"/>
        <item h="1" m="1" x="1123"/>
        <item h="1" m="1" x="1443"/>
        <item h="1" x="108"/>
        <item h="1" m="1" x="1129"/>
        <item h="1" m="1" x="1128"/>
        <item h="1" m="1" x="1379"/>
        <item h="1" m="1" x="1380"/>
        <item h="1" m="1" x="1131"/>
        <item h="1" m="1" x="742"/>
        <item h="1" m="1" x="1138"/>
        <item h="1" m="1" x="995"/>
        <item h="1" m="1" x="996"/>
        <item h="1" m="1" x="997"/>
        <item h="1" m="1" x="1297"/>
        <item h="1" m="1" x="1145"/>
        <item h="1" m="1" x="1146"/>
        <item h="1" m="1" x="1143"/>
        <item h="1" m="1" x="1155"/>
        <item h="1" m="1" x="1010"/>
        <item h="1" m="1" x="1301"/>
        <item h="1" m="1" x="1162"/>
        <item h="1" m="1" x="1309"/>
        <item h="1" m="1" x="1310"/>
        <item h="1" m="1" x="1315"/>
        <item h="1" m="1" x="1316"/>
        <item h="1" m="1" x="1319"/>
        <item h="1" m="1" x="1021"/>
        <item h="1" m="1" x="1020"/>
        <item h="1" m="1" x="1320"/>
        <item h="1" m="1" x="1321"/>
        <item h="1" m="1" x="1322"/>
        <item h="1" m="1" x="1323"/>
        <item h="1" m="1" x="1324"/>
        <item h="1" m="1" x="1164"/>
        <item h="1" m="1" x="1165"/>
        <item h="1" m="1" x="1173"/>
        <item h="1" m="1" x="1178"/>
        <item h="1" m="1" x="1179"/>
        <item h="1" m="1" x="1326"/>
        <item h="1" m="1" x="760"/>
        <item h="1" m="1" x="1027"/>
        <item h="1" m="1" x="1030"/>
        <item h="1" m="1" x="1184"/>
        <item h="1" m="1" x="1192"/>
        <item h="1" m="1" x="1039"/>
        <item h="1" m="1" x="1195"/>
        <item h="1" m="1" x="1045"/>
        <item h="1" m="1" x="1062"/>
        <item h="1" m="1" x="1340"/>
        <item h="1" m="1" x="1060"/>
        <item h="1" m="1" x="1063"/>
        <item h="1" m="1" x="1204"/>
        <item h="1" m="1" x="1070"/>
        <item h="1" m="1" x="1282"/>
        <item h="1" m="1" x="1072"/>
        <item h="1" m="1" x="1341"/>
        <item h="1" m="1" x="1287"/>
        <item h="1" m="1" x="1343"/>
        <item h="1" m="1" x="1345"/>
        <item h="1" m="1" x="1346"/>
        <item h="1" m="1" x="1081"/>
        <item h="1" m="1" x="1230"/>
        <item h="1" m="1" x="1087"/>
        <item h="1" m="1" x="1238"/>
        <item h="1" m="1" x="1362"/>
        <item h="1" m="1" x="1091"/>
        <item h="1" m="1" x="1363"/>
        <item h="1" m="1" x="1094"/>
        <item h="1" m="1" x="1366"/>
        <item h="1" m="1" x="1369"/>
        <item h="1" m="1" x="1370"/>
        <item h="1" m="1" x="1372"/>
        <item h="1" m="1" x="1260"/>
        <item h="1" m="1" x="1261"/>
        <item h="1" x="3"/>
        <item h="1" m="1" x="1263"/>
        <item h="1" m="1" x="1374"/>
        <item h="1" m="1" x="1376"/>
        <item h="1" m="1" x="1121"/>
        <item h="1" m="1" x="1124"/>
        <item h="1" m="1" x="1127"/>
        <item h="1" m="1" x="1269"/>
        <item h="1" m="1" x="1013"/>
        <item h="1" m="1" x="1133"/>
        <item h="1" m="1" x="1134"/>
        <item h="1" m="1" x="1136"/>
        <item h="1" m="1" x="1139"/>
        <item h="1" m="1" x="1140"/>
        <item h="1" m="1" x="1141"/>
        <item h="1" m="1" x="1142"/>
        <item h="1" m="1" x="1144"/>
        <item h="1" m="1" x="1147"/>
        <item h="1" x="90"/>
        <item h="1" m="1" x="1148"/>
        <item h="1" m="1" x="1151"/>
        <item h="1" m="1" x="1152"/>
        <item h="1" m="1" x="1153"/>
        <item h="1" m="1" x="1154"/>
        <item h="1" x="58"/>
        <item h="1" m="1" x="1156"/>
        <item h="1" m="1" x="1157"/>
        <item h="1" m="1" x="1158"/>
        <item h="1" m="1" x="1159"/>
        <item h="1" m="1" x="1160"/>
        <item h="1" m="1" x="1161"/>
        <item h="1" x="137"/>
        <item h="1" m="1" x="1166"/>
        <item h="1" m="1" x="1167"/>
        <item h="1" m="1" x="1168"/>
        <item h="1" m="1" x="1169"/>
        <item h="1" m="1" x="1170"/>
        <item h="1" m="1" x="1171"/>
        <item h="1" m="1" x="1172"/>
        <item h="1" m="1" x="1174"/>
        <item h="1" m="1" x="1175"/>
        <item h="1" m="1" x="1176"/>
        <item h="1" m="1" x="1177"/>
        <item h="1" m="1" x="1180"/>
        <item h="1" m="1" x="1181"/>
        <item h="1" m="1" x="1182"/>
        <item h="1" m="1" x="1183"/>
        <item h="1" m="1" x="1185"/>
        <item h="1" m="1" x="1186"/>
        <item h="1" m="1" x="1187"/>
        <item h="1" m="1" x="1188"/>
        <item h="1" m="1" x="1189"/>
        <item h="1" m="1" x="1190"/>
        <item h="1" m="1" x="1191"/>
        <item h="1" m="1" x="1193"/>
        <item h="1" m="1" x="1194"/>
        <item h="1" m="1" x="1196"/>
        <item h="1" m="1" x="1197"/>
        <item h="1" m="1" x="1198"/>
        <item h="1" m="1" x="1199"/>
        <item h="1" m="1" x="1200"/>
        <item h="1" m="1" x="1201"/>
        <item h="1" m="1" x="1206"/>
        <item h="1" m="1" x="1208"/>
        <item h="1" m="1" x="1209"/>
        <item h="1" m="1" x="1214"/>
        <item h="1" m="1" x="1215"/>
        <item h="1" m="1" x="1216"/>
        <item h="1" m="1" x="1217"/>
        <item h="1" m="1" x="1218"/>
        <item h="1" m="1" x="1220"/>
        <item h="1" m="1" x="1221"/>
        <item h="1" m="1" x="1222"/>
        <item h="1" m="1" x="1223"/>
        <item h="1" m="1" x="1225"/>
        <item h="1" m="1" x="1226"/>
        <item h="1" m="1" x="1227"/>
        <item h="1" m="1" x="1228"/>
        <item h="1" m="1" x="1229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9"/>
        <item h="1" m="1" x="1240"/>
        <item h="1" m="1" x="1241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1249"/>
        <item h="1" m="1" x="1250"/>
        <item h="1" m="1" x="1251"/>
        <item h="1" m="1" x="1252"/>
        <item h="1" m="1" x="1254"/>
        <item h="1" m="1" x="1255"/>
        <item h="1" m="1" x="1256"/>
        <item h="1" m="1" x="1258"/>
        <item h="1" m="1" x="1259"/>
        <item h="1" m="1" x="1264"/>
        <item h="1" m="1" x="1268"/>
        <item h="1" m="1" x="1270"/>
        <item h="1" m="1" x="1271"/>
        <item h="1" m="1" x="1272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3"/>
        <item h="1" m="1" x="1284"/>
        <item h="1" m="1" x="1285"/>
        <item h="1" m="1" x="1286"/>
        <item h="1" m="1" x="1288"/>
        <item h="1" m="1" x="1290"/>
        <item h="1" m="1" x="1292"/>
        <item h="1" m="1" x="1293"/>
        <item h="1" m="1" x="1294"/>
        <item h="1" m="1" x="1295"/>
        <item h="1" m="1" x="1296"/>
        <item h="1" m="1" x="671"/>
        <item h="1" m="1" x="508"/>
        <item h="1" m="1" x="509"/>
        <item h="1" x="5"/>
        <item h="1" m="1" x="514"/>
        <item h="1" m="1" x="673"/>
        <item h="1" m="1" x="674"/>
        <item h="1" m="1" x="675"/>
        <item h="1" m="1" x="676"/>
        <item h="1" m="1" x="677"/>
        <item h="1" m="1" x="678"/>
        <item h="1" m="1" x="679"/>
        <item h="1" m="1" x="680"/>
        <item h="1" m="1" x="681"/>
        <item h="1" m="1" x="682"/>
        <item h="1" m="1" x="683"/>
        <item h="1" m="1" x="684"/>
        <item h="1" m="1" x="685"/>
        <item h="1" m="1" x="686"/>
        <item h="1" m="1" x="687"/>
        <item h="1" m="1" x="688"/>
        <item h="1" m="1" x="689"/>
        <item h="1" m="1" x="690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432"/>
        <item h="1" m="1" x="515"/>
        <item h="1" m="1" x="516"/>
        <item h="1" m="1" x="703"/>
        <item h="1" m="1" x="704"/>
        <item h="1" m="1" x="438"/>
        <item h="1" m="1" x="705"/>
        <item h="1" x="13"/>
        <item h="1" m="1" x="527"/>
        <item h="1" m="1" x="519"/>
        <item h="1" m="1" x="517"/>
        <item h="1" m="1" x="436"/>
        <item h="1" m="1" x="442"/>
        <item h="1" m="1" x="707"/>
        <item h="1" m="1" x="708"/>
        <item h="1" m="1" x="709"/>
        <item h="1" m="1" x="524"/>
        <item h="1" m="1" x="710"/>
        <item h="1" m="1" x="711"/>
        <item h="1" m="1" x="526"/>
        <item h="1" m="1" x="534"/>
        <item h="1" m="1" x="713"/>
        <item h="1" m="1" x="714"/>
        <item h="1" m="1" x="715"/>
        <item h="1" m="1" x="716"/>
        <item h="1" m="1" x="717"/>
        <item h="1" m="1" x="718"/>
        <item h="1" m="1" x="719"/>
        <item h="1" m="1" x="720"/>
        <item h="1" m="1" x="532"/>
        <item h="1" m="1" x="721"/>
        <item h="1" m="1" x="528"/>
        <item h="1" m="1" x="529"/>
        <item h="1" m="1" x="535"/>
        <item h="1" m="1" x="723"/>
        <item h="1" x="41"/>
        <item h="1" m="1" x="536"/>
        <item h="1" m="1" x="724"/>
        <item h="1" m="1" x="725"/>
        <item h="1" m="1" x="726"/>
        <item h="1" m="1" x="727"/>
        <item h="1" m="1" x="530"/>
        <item h="1" m="1" x="531"/>
        <item h="1" x="47"/>
        <item h="1" x="57"/>
        <item h="1" x="59"/>
        <item h="1" m="1" x="457"/>
        <item h="1" m="1" x="458"/>
        <item h="1" x="54"/>
        <item h="1" m="1" x="553"/>
        <item h="1" m="1" x="552"/>
        <item h="1" x="60"/>
        <item h="1" m="1" x="728"/>
        <item h="1" m="1" x="729"/>
        <item h="1" m="1" x="565"/>
        <item h="1" m="1" x="730"/>
        <item h="1" m="1" x="731"/>
        <item h="1" m="1" x="733"/>
        <item h="1" m="1" x="463"/>
        <item h="1" m="1" x="461"/>
        <item h="1" m="1" x="460"/>
        <item h="1" x="65"/>
        <item h="1" m="1" x="462"/>
        <item h="1" m="1" x="735"/>
        <item h="1" m="1" x="736"/>
        <item h="1" m="1" x="737"/>
        <item h="1" m="1" x="470"/>
        <item h="1" m="1" x="579"/>
        <item h="1" m="1" x="574"/>
        <item h="1" m="1" x="575"/>
        <item h="1" m="1" x="576"/>
        <item h="1" m="1" x="577"/>
        <item h="1" x="103"/>
        <item h="1" x="104"/>
        <item h="1" x="105"/>
        <item h="1" x="107"/>
        <item h="1" x="114"/>
        <item h="1" m="1" x="741"/>
        <item h="1" m="1" x="743"/>
        <item h="1" m="1" x="581"/>
        <item h="1" m="1" x="582"/>
        <item h="1" m="1" x="744"/>
        <item h="1" m="1" x="584"/>
        <item h="1" m="1" x="585"/>
        <item h="1" m="1" x="745"/>
        <item h="1" m="1" x="589"/>
        <item h="1" x="127"/>
        <item h="1" m="1" x="590"/>
        <item h="1" m="1" x="591"/>
        <item h="1" m="1" x="592"/>
        <item h="1" m="1" x="604"/>
        <item h="1" m="1" x="746"/>
        <item h="1" m="1" x="607"/>
        <item h="1" m="1" x="605"/>
        <item h="1" m="1" x="609"/>
        <item h="1" m="1" x="610"/>
        <item h="1" m="1" x="611"/>
        <item h="1" m="1" x="612"/>
        <item h="1" x="141"/>
        <item h="1" m="1" x="748"/>
        <item h="1" m="1" x="617"/>
        <item h="1" m="1" x="749"/>
        <item h="1" m="1" x="751"/>
        <item h="1" m="1" x="753"/>
        <item h="1" m="1" x="615"/>
        <item h="1" m="1" x="754"/>
        <item h="1" m="1" x="755"/>
        <item h="1" m="1" x="756"/>
        <item h="1" m="1" x="757"/>
        <item h="1" m="1" x="618"/>
        <item h="1" m="1" x="758"/>
        <item h="1" m="1" x="759"/>
        <item h="1" m="1" x="619"/>
        <item h="1" x="184"/>
        <item h="1" m="1" x="761"/>
        <item h="1" m="1" x="763"/>
        <item h="1" x="162"/>
        <item h="1" x="164"/>
        <item h="1" x="165"/>
        <item h="1" x="166"/>
        <item h="1" x="167"/>
        <item h="1" m="1" x="764"/>
        <item h="1" m="1" x="766"/>
        <item h="1" m="1" x="767"/>
        <item h="1" m="1" x="768"/>
        <item h="1" m="1" x="769"/>
        <item h="1" m="1" x="770"/>
        <item h="1" m="1" x="626"/>
        <item h="1" m="1" x="624"/>
        <item h="1" m="1" x="625"/>
        <item h="1" x="194"/>
        <item h="1" x="195"/>
        <item h="1" m="1" x="489"/>
        <item h="1" m="1" x="772"/>
        <item h="1" m="1" x="637"/>
        <item h="1" m="1" x="633"/>
        <item h="1" m="1" x="629"/>
        <item h="1" m="1" x="631"/>
        <item h="1" x="197"/>
        <item h="1" m="1" x="639"/>
        <item h="1" m="1" x="638"/>
        <item h="1" x="219"/>
        <item h="1" m="1" x="493"/>
        <item h="1" m="1" x="773"/>
        <item h="1" m="1" x="643"/>
        <item h="1" m="1" x="774"/>
        <item h="1" m="1" x="644"/>
        <item h="1" m="1" x="775"/>
        <item h="1" m="1" x="645"/>
        <item h="1" m="1" x="776"/>
        <item h="1" m="1" x="646"/>
        <item h="1" m="1" x="778"/>
        <item h="1" m="1" x="781"/>
        <item h="1" m="1" x="782"/>
        <item h="1" m="1" x="494"/>
        <item h="1" m="1" x="783"/>
        <item h="1" m="1" x="647"/>
        <item h="1" m="1" x="648"/>
        <item h="1" m="1" x="785"/>
        <item h="1" x="245"/>
        <item h="1" m="1" x="649"/>
        <item h="1" x="249"/>
        <item h="1" x="250"/>
        <item h="1" m="1" x="653"/>
        <item h="1" m="1" x="787"/>
        <item h="1" m="1" x="788"/>
        <item h="1" m="1" x="789"/>
        <item h="1" m="1" x="496"/>
        <item h="1" m="1" x="659"/>
        <item h="1" m="1" x="655"/>
        <item h="1" m="1" x="656"/>
        <item h="1" m="1" x="657"/>
        <item h="1" m="1" x="658"/>
        <item h="1" x="258"/>
        <item h="1" m="1" x="660"/>
        <item h="1" m="1" x="790"/>
        <item h="1" m="1" x="791"/>
        <item h="1" m="1" x="792"/>
        <item h="1" x="257"/>
        <item h="1" m="1" x="793"/>
        <item h="1" m="1" x="794"/>
        <item h="1" m="1" x="795"/>
        <item h="1" m="1" x="797"/>
        <item h="1" m="1" x="661"/>
        <item h="1" m="1" x="410"/>
        <item h="1" m="1" x="413"/>
        <item h="1" m="1" x="799"/>
        <item h="1" m="1" x="411"/>
        <item h="1" m="1" x="800"/>
        <item h="1" m="1" x="801"/>
        <item h="1" m="1" x="802"/>
        <item h="1" m="1" x="803"/>
        <item h="1" m="1" x="665"/>
        <item h="1" m="1" x="670"/>
        <item h="1" m="1" x="668"/>
        <item h="1" m="1" x="669"/>
        <item h="1" m="1" x="427"/>
        <item h="1" m="1" x="506"/>
        <item h="1" m="1" x="507"/>
        <item h="1" x="6"/>
        <item h="1" m="1" x="510"/>
        <item h="1" m="1" x="511"/>
        <item h="1" m="1" x="512"/>
        <item h="1" m="1" x="435"/>
        <item h="1" m="1" x="518"/>
        <item h="1" m="1" x="441"/>
        <item h="1" m="1" x="521"/>
        <item h="1" m="1" x="522"/>
        <item h="1" m="1" x="523"/>
        <item h="1" m="1" x="443"/>
        <item h="1" m="1" x="525"/>
        <item h="1" m="1" x="445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4"/>
        <item h="1" m="1" x="545"/>
        <item h="1" m="1" x="546"/>
        <item h="1" m="1" x="547"/>
        <item h="1" m="1" x="548"/>
        <item h="1" m="1" x="549"/>
        <item h="1" m="1" x="550"/>
        <item h="1" m="1" x="454"/>
        <item h="1" m="1" x="551"/>
        <item h="1" m="1" x="554"/>
        <item h="1" m="1" x="456"/>
        <item h="1" m="1" x="555"/>
        <item h="1" m="1" x="556"/>
        <item h="1" m="1" x="557"/>
        <item h="1" m="1" x="559"/>
        <item h="1" m="1" x="561"/>
        <item h="1" m="1" x="562"/>
        <item h="1" m="1" x="563"/>
        <item h="1" m="1" x="464"/>
        <item h="1" m="1" x="466"/>
        <item h="1" m="1" x="467"/>
        <item h="1" m="1" x="468"/>
        <item h="1" m="1" x="570"/>
        <item h="1" m="1" x="572"/>
        <item h="1" m="1" x="573"/>
        <item h="1" m="1" x="578"/>
        <item h="1" x="82"/>
        <item h="1" m="1" x="580"/>
        <item h="1" x="102"/>
        <item h="1" x="117"/>
        <item h="1" m="1" x="583"/>
        <item h="1" m="1" x="586"/>
        <item h="1" m="1" x="587"/>
        <item h="1" m="1" x="588"/>
        <item h="1" m="1" x="593"/>
        <item h="1" m="1" x="594"/>
        <item h="1" m="1" x="595"/>
        <item h="1" x="135"/>
        <item h="1" m="1" x="597"/>
        <item h="1" x="138"/>
        <item h="1" m="1" x="598"/>
        <item h="1" m="1" x="616"/>
        <item h="1" m="1" x="620"/>
        <item h="1" m="1" x="622"/>
        <item h="1" x="169"/>
        <item h="1" x="171"/>
        <item h="1" x="182"/>
        <item h="1" m="1" x="627"/>
        <item h="1" m="1" x="628"/>
        <item h="1" m="1" x="491"/>
        <item h="1" m="1" x="490"/>
        <item h="1" m="1" x="389"/>
        <item h="1" x="203"/>
        <item h="1" x="198"/>
        <item h="1" m="1" x="630"/>
        <item h="1" m="1" x="634"/>
        <item h="1" m="1" x="635"/>
        <item h="1" m="1" x="636"/>
        <item h="1" m="1" x="641"/>
        <item h="1" m="1" x="642"/>
        <item h="1" x="231"/>
        <item h="1" x="232"/>
        <item h="1" m="1" x="495"/>
        <item h="1" x="237"/>
        <item h="1" m="1" x="650"/>
        <item h="1" m="1" x="651"/>
        <item h="1" m="1" x="652"/>
        <item h="1" x="240"/>
        <item h="1" m="1" x="654"/>
        <item h="1" x="262"/>
        <item h="1" m="1" x="500"/>
        <item h="1" x="276"/>
        <item h="1" x="277"/>
        <item h="1" m="1" x="666"/>
        <item h="1" m="1" x="667"/>
        <item h="1" x="282"/>
        <item h="1" x="0"/>
        <item h="1" m="1" x="428"/>
        <item h="1" m="1" x="430"/>
        <item h="1" m="1" x="431"/>
        <item h="1" x="11"/>
        <item h="1" x="12"/>
        <item h="1" m="1" x="433"/>
        <item h="1" m="1" x="434"/>
        <item h="1" m="1" x="437"/>
        <item h="1" m="1" x="439"/>
        <item h="1" m="1" x="440"/>
        <item h="1" m="1" x="444"/>
        <item h="1" m="1" x="446"/>
        <item h="1" m="1" x="447"/>
        <item h="1" m="1" x="448"/>
        <item h="1" m="1" x="449"/>
        <item h="1" m="1" x="322"/>
        <item h="1" m="1" x="323"/>
        <item h="1" m="1" x="450"/>
        <item h="1" m="1" x="451"/>
        <item h="1" m="1" x="319"/>
        <item h="1" m="1" x="452"/>
        <item h="1" m="1" x="453"/>
        <item h="1" x="56"/>
        <item h="1" m="1" x="455"/>
        <item h="1" m="1" x="344"/>
        <item h="1" m="1" x="349"/>
        <item h="1" x="92"/>
        <item h="1" x="80"/>
        <item h="1" x="94"/>
        <item h="1" m="1" x="345"/>
        <item h="1" m="1" x="346"/>
        <item h="1" x="101"/>
        <item h="1" m="1" x="354"/>
        <item h="1" m="1" x="473"/>
        <item h="1" m="1" x="474"/>
        <item h="1" m="1" x="475"/>
        <item h="1" m="1" x="476"/>
        <item h="1" m="1" x="477"/>
        <item h="1" m="1" x="478"/>
        <item h="1" m="1" x="480"/>
        <item h="1" x="132"/>
        <item h="1" m="1" x="368"/>
        <item h="1" m="1" x="366"/>
        <item h="1" m="1" x="370"/>
        <item h="1" x="146"/>
        <item h="1" m="1" x="482"/>
        <item h="1" m="1" x="483"/>
        <item h="1" m="1" x="484"/>
        <item h="1" m="1" x="378"/>
        <item h="1" x="190"/>
        <item h="1" x="191"/>
        <item h="1" x="217"/>
        <item h="1" m="1" x="388"/>
        <item h="1" m="1" x="387"/>
        <item h="1" m="1" x="492"/>
        <item h="1" x="204"/>
        <item h="1" x="205"/>
        <item h="1" x="209"/>
        <item h="1" x="225"/>
        <item h="1" x="233"/>
        <item h="1" x="238"/>
        <item h="1" m="1" x="394"/>
        <item h="1" m="1" x="395"/>
        <item h="1" m="1" x="396"/>
        <item h="1" m="1" x="398"/>
        <item h="1" m="1" x="399"/>
        <item h="1" x="255"/>
        <item h="1" m="1" x="404"/>
        <item h="1" m="1" x="405"/>
        <item h="1" m="1" x="406"/>
        <item h="1" m="1" x="407"/>
        <item h="1" x="260"/>
        <item h="1" x="263"/>
        <item h="1" m="1" x="497"/>
        <item h="1" m="1" x="498"/>
        <item h="1" m="1" x="414"/>
        <item h="1" m="1" x="415"/>
        <item h="1" m="1" x="416"/>
        <item h="1" m="1" x="502"/>
        <item h="1" m="1" x="503"/>
        <item h="1" m="1" x="505"/>
        <item h="1" m="1" x="418"/>
        <item h="1" m="1" x="420"/>
        <item h="1" m="1" x="421"/>
        <item h="1" m="1" x="422"/>
        <item h="1" m="1" x="423"/>
        <item h="1" m="1" x="424"/>
        <item h="1" m="1" x="425"/>
        <item h="1" x="291"/>
        <item h="1" m="1" x="419"/>
        <item h="1" m="1" x="293"/>
        <item h="1" m="1" x="294"/>
        <item h="1" m="1" x="295"/>
        <item h="1" m="1" x="296"/>
        <item h="1" m="1" x="297"/>
        <item h="1" m="1" x="298"/>
        <item h="1" x="16"/>
        <item h="1" x="17"/>
        <item h="1" m="1" x="300"/>
        <item h="1" m="1" x="302"/>
        <item h="1" m="1" x="303"/>
        <item h="1" m="1" x="304"/>
        <item h="1" m="1" x="305"/>
        <item h="1" m="1" x="306"/>
        <item h="1" x="37"/>
        <item h="1" x="38"/>
        <item h="1" m="1" x="308"/>
        <item h="1" m="1" x="309"/>
        <item h="1" m="1" x="310"/>
        <item h="1" m="1" x="311"/>
        <item h="1" x="39"/>
        <item h="1" m="1" x="312"/>
        <item h="1" m="1" x="313"/>
        <item h="1" m="1" x="314"/>
        <item h="1" m="1" x="316"/>
        <item h="1" m="1" x="317"/>
        <item h="1" x="27"/>
        <item h="1" m="1" x="320"/>
        <item h="1" m="1" x="321"/>
        <item h="1" m="1" x="324"/>
        <item h="1" m="1" x="325"/>
        <item h="1" m="1" x="326"/>
        <item h="1" x="32"/>
        <item h="1" x="33"/>
        <item h="1" m="1" x="327"/>
        <item h="1" m="1" x="328"/>
        <item h="1" x="26"/>
        <item h="1" m="1" x="329"/>
        <item h="1" m="1" x="330"/>
        <item h="1" m="1" x="331"/>
        <item h="1" m="1" x="333"/>
        <item h="1" m="1" x="334"/>
        <item h="1" m="1" x="340"/>
        <item h="1" m="1" x="341"/>
        <item h="1" m="1" x="342"/>
        <item h="1" x="95"/>
        <item h="1" x="76"/>
        <item h="1" m="1" x="347"/>
        <item h="1" m="1" x="351"/>
        <item h="1" m="1" x="352"/>
        <item h="1" m="1" x="353"/>
        <item h="1" x="115"/>
        <item h="1" x="120"/>
        <item h="1" m="1" x="356"/>
        <item h="1" m="1" x="357"/>
        <item h="1" m="1" x="358"/>
        <item h="1" m="1" x="359"/>
        <item h="1" m="1" x="360"/>
        <item h="1" m="1" x="361"/>
        <item h="1" m="1" x="362"/>
        <item h="1" m="1" x="363"/>
        <item h="1" m="1" x="364"/>
        <item h="1" x="123"/>
        <item h="1" x="124"/>
        <item h="1" m="1" x="369"/>
        <item h="1" m="1" x="371"/>
        <item h="1" m="1" x="372"/>
        <item h="1" m="1" x="373"/>
        <item h="1" m="1" x="374"/>
        <item h="1" m="1" x="375"/>
        <item h="1" m="1" x="377"/>
        <item h="1" x="178"/>
        <item h="1" x="179"/>
        <item h="1" x="175"/>
        <item h="1" x="177"/>
        <item h="1" x="192"/>
        <item h="1" m="1" x="379"/>
        <item h="1" m="1" x="380"/>
        <item h="1" m="1" x="381"/>
        <item h="1" m="1" x="382"/>
        <item h="1" m="1" x="384"/>
        <item h="1" x="208"/>
        <item h="1" x="212"/>
        <item h="1" x="211"/>
        <item h="1" x="200"/>
        <item h="1" x="201"/>
        <item h="1" x="202"/>
        <item h="1" m="1" x="390"/>
        <item h="1" m="1" x="391"/>
        <item h="1" m="1" x="392"/>
        <item h="1" x="224"/>
        <item h="1" x="239"/>
        <item h="1" m="1" x="397"/>
        <item h="1" m="1" x="400"/>
        <item h="1" x="251"/>
        <item h="1" m="1" x="401"/>
        <item h="1" m="1" x="403"/>
        <item h="1" m="1" x="417"/>
        <item h="1" x="273"/>
        <item h="1" x="288"/>
        <item h="1" x="289"/>
        <item h="1" m="1" x="426"/>
        <item h="1" x="7"/>
        <item h="1" x="8"/>
        <item h="1" x="9"/>
        <item h="1" x="15"/>
        <item h="1" x="18"/>
        <item h="1" x="19"/>
        <item h="1" x="20"/>
        <item h="1" x="21"/>
        <item h="1" x="22"/>
        <item h="1" x="23"/>
        <item h="1" x="24"/>
        <item h="1" x="28"/>
        <item h="1" x="30"/>
        <item h="1" x="31"/>
        <item h="1" x="34"/>
        <item h="1" x="35"/>
        <item h="1" x="36"/>
        <item h="1" x="42"/>
        <item h="1" x="43"/>
        <item h="1" x="45"/>
        <item h="1" x="46"/>
        <item h="1" x="48"/>
        <item h="1" x="49"/>
        <item h="1" x="50"/>
        <item h="1" x="51"/>
        <item h="1" x="52"/>
        <item h="1" x="55"/>
        <item h="1" x="64"/>
        <item h="1" x="67"/>
        <item h="1" x="68"/>
        <item h="1" x="69"/>
        <item h="1" x="70"/>
        <item h="1" x="71"/>
        <item h="1" x="72"/>
        <item h="1" x="73"/>
        <item h="1" x="78"/>
        <item h="1" x="86"/>
        <item h="1" x="87"/>
        <item h="1" x="97"/>
        <item h="1" x="99"/>
        <item h="1" x="100"/>
        <item h="1" x="106"/>
        <item h="1" x="110"/>
        <item h="1" x="112"/>
        <item h="1" x="113"/>
        <item h="1" x="118"/>
        <item h="1" x="136"/>
        <item h="1" x="147"/>
        <item h="1" x="148"/>
        <item h="1" x="149"/>
        <item h="1" x="150"/>
        <item h="1" x="151"/>
        <item h="1" x="153"/>
        <item h="1" x="154"/>
        <item h="1" x="157"/>
        <item h="1" x="158"/>
        <item h="1" x="172"/>
        <item h="1" x="176"/>
        <item h="1" x="187"/>
        <item h="1" x="188"/>
        <item h="1" x="189"/>
        <item h="1" x="193"/>
        <item h="1" x="196"/>
        <item h="1" x="206"/>
        <item h="1" x="213"/>
        <item h="1" x="214"/>
        <item h="1" x="215"/>
        <item h="1" x="216"/>
        <item h="1" x="218"/>
        <item h="1" x="220"/>
        <item h="1" x="228"/>
        <item h="1" x="234"/>
        <item h="1" x="235"/>
        <item h="1" x="241"/>
        <item h="1" x="242"/>
        <item h="1" x="243"/>
        <item h="1" x="244"/>
        <item h="1" x="252"/>
        <item h="1" x="253"/>
        <item h="1" x="254"/>
        <item h="1" x="259"/>
        <item h="1" x="261"/>
        <item h="1" x="267"/>
        <item h="1" x="271"/>
        <item h="1" x="272"/>
        <item h="1" x="278"/>
        <item h="1" x="279"/>
        <item h="1" x="280"/>
        <item h="1" x="281"/>
        <item h="1" x="283"/>
        <item h="1" x="284"/>
        <item h="1" x="285"/>
        <item h="1" x="286"/>
        <item h="1" x="287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7"/>
    </i>
    <i r="1">
      <x v="8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4">
    <format dxfId="549">
      <pivotArea field="27" type="button" dataOnly="0" labelOnly="1" outline="0" axis="axisPage" fieldPosition="0"/>
    </format>
    <format dxfId="548">
      <pivotArea outline="0" collapsedLevelsAreSubtotals="1" fieldPosition="0"/>
    </format>
    <format dxfId="547">
      <pivotArea type="all" dataOnly="0" outline="0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dataOnly="0" labelOnly="1" grandRow="1" outline="0" fieldPosition="0"/>
    </format>
    <format dxfId="543">
      <pivotArea dataOnly="0" labelOnly="1" outline="0" axis="axisValues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grandRow="1"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dataOnly="0" labelOnly="1" grandRow="1" outline="0" fieldPosition="0"/>
    </format>
    <format dxfId="534">
      <pivotArea dataOnly="0" labelOnly="1" outline="0" axis="axisValues" fieldPosition="0"/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dataOnly="0" labelOnly="1" grandRow="1" outline="0" fieldPosition="0"/>
    </format>
    <format dxfId="530">
      <pivotArea dataOnly="0" labelOnly="1" outline="0" axis="axisValues" fieldPosition="0"/>
    </format>
    <format dxfId="529">
      <pivotArea type="all" dataOnly="0" outline="0" fieldPosition="0"/>
    </format>
    <format>
      <pivotArea type="all" dataOnly="0" outline="0" fieldPosition="0"/>
    </format>
    <format dxfId="528">
      <pivotArea grandRow="1" outline="0" collapsedLevelsAreSubtotals="1" fieldPosition="0"/>
    </format>
    <format dxfId="527">
      <pivotArea type="all" dataOnly="0" outline="0" fieldPosition="0"/>
    </format>
    <format dxfId="526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dataOnly="0" labelOnly="1" grandRow="1" outline="0" fieldPosition="0"/>
    </format>
    <format dxfId="517">
      <pivotArea dataOnly="0" labelOnly="1" outline="0" axis="axisValues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44" type="button" dataOnly="0" labelOnly="1" outline="0" axis="axisRow" fieldPosition="0"/>
    </format>
    <format dxfId="513">
      <pivotArea dataOnly="0" labelOnly="1" fieldPosition="0">
        <references count="1">
          <reference field="44" count="1">
            <x v="0"/>
          </reference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510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outline="0" axis="axisValues" fieldPosition="0"/>
    </format>
    <format dxfId="509">
      <pivotArea dataOnly="0" labelOnly="1" fieldPosition="0">
        <references count="1">
          <reference field="44" count="1">
            <x v="0"/>
          </reference>
        </references>
      </pivotArea>
    </format>
    <format dxfId="508">
      <pivotArea dataOnly="0" labelOnly="1" grandRow="1" outline="0" fieldPosition="0"/>
    </format>
    <format dxfId="507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7" cacheId="154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N5:V42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1"/>
        <item h="1" m="1" x="9"/>
        <item x="6"/>
        <item x="5"/>
        <item x="7"/>
        <item x="0"/>
        <item x="4"/>
        <item h="1" x="2"/>
        <item x="3"/>
        <item h="1" x="8"/>
        <item t="default"/>
      </items>
    </pivotField>
    <pivotField showAll="0"/>
    <pivotField showAll="0"/>
    <pivotField axis="axisRow" subtotalTop="0" showAll="0" sortType="descending">
      <items count="7">
        <item x="5"/>
        <item x="0"/>
        <item x="2"/>
        <item x="3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7"/>
        <item x="4"/>
        <item m="1" x="10"/>
        <item x="8"/>
        <item x="1"/>
        <item h="1" x="9"/>
        <item x="6"/>
        <item x="5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36">
    <i>
      <x v="4"/>
    </i>
    <i r="1">
      <x v="1"/>
    </i>
    <i t="default">
      <x v="4"/>
    </i>
    <i>
      <x v="3"/>
    </i>
    <i r="1">
      <x v="1"/>
    </i>
    <i t="default">
      <x v="3"/>
    </i>
    <i>
      <x v="9"/>
    </i>
    <i r="1">
      <x v="4"/>
    </i>
    <i r="1">
      <x v="1"/>
    </i>
    <i t="default">
      <x v="9"/>
    </i>
    <i>
      <x v="7"/>
    </i>
    <i r="1">
      <x v="3"/>
    </i>
    <i r="1">
      <x v="4"/>
    </i>
    <i r="1">
      <x v="2"/>
    </i>
    <i r="1">
      <x v="1"/>
    </i>
    <i t="default">
      <x v="7"/>
    </i>
    <i>
      <x v="1"/>
    </i>
    <i r="1">
      <x v="4"/>
    </i>
    <i r="1">
      <x v="5"/>
    </i>
    <i t="default">
      <x v="1"/>
    </i>
    <i>
      <x v="10"/>
    </i>
    <i r="1">
      <x v="1"/>
    </i>
    <i t="default">
      <x v="10"/>
    </i>
    <i>
      <x v="6"/>
    </i>
    <i r="1">
      <x v="1"/>
    </i>
    <i t="default">
      <x v="6"/>
    </i>
    <i>
      <x v="8"/>
    </i>
    <i r="1">
      <x v="3"/>
    </i>
    <i r="1">
      <x v="4"/>
    </i>
    <i r="1">
      <x v="1"/>
    </i>
    <i r="1">
      <x v="2"/>
    </i>
    <i t="default">
      <x v="8"/>
    </i>
    <i>
      <x/>
    </i>
    <i r="1">
      <x v="5"/>
    </i>
    <i t="default">
      <x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RESPONSÁVEL" fld="42" subtotal="count" baseField="0" baseItem="0" numFmtId="3"/>
  </dataFields>
  <formats count="270">
    <format dxfId="794">
      <pivotArea field="39" type="button" dataOnly="0" labelOnly="1" outline="0" axis="axisRow" fieldPosition="1"/>
    </format>
    <format dxfId="793">
      <pivotArea outline="0" collapsedLevelsAreSubtotals="1" fieldPosition="0"/>
    </format>
    <format dxfId="792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791">
      <pivotArea dataOnly="0" labelOnly="1" grandCol="1" outline="0" fieldPosition="0"/>
    </format>
    <format dxfId="790">
      <pivotArea dataOnly="0" labelOnly="1" fieldPosition="0">
        <references count="1">
          <reference field="42" count="0"/>
        </references>
      </pivotArea>
    </format>
    <format dxfId="789">
      <pivotArea dataOnly="0" labelOnly="1" fieldPosition="0">
        <references count="1">
          <reference field="42" count="0"/>
        </references>
      </pivotArea>
    </format>
    <format dxfId="788">
      <pivotArea dataOnly="0" labelOnly="1" fieldPosition="0">
        <references count="1">
          <reference field="42" count="0"/>
        </references>
      </pivotArea>
    </format>
    <format dxfId="787">
      <pivotArea dataOnly="0" labelOnly="1" fieldPosition="0">
        <references count="1">
          <reference field="39" count="0"/>
        </references>
      </pivotArea>
    </format>
    <format dxfId="786">
      <pivotArea dataOnly="0" labelOnly="1" outline="0" fieldPosition="0">
        <references count="1">
          <reference field="42" count="0"/>
        </references>
      </pivotArea>
    </format>
    <format dxfId="785">
      <pivotArea type="origin" dataOnly="0" labelOnly="1" outline="0" fieldPosition="0"/>
    </format>
    <format dxfId="784">
      <pivotArea field="42" type="button" dataOnly="0" labelOnly="1" outline="0" axis="axisRow" fieldPosition="0"/>
    </format>
    <format dxfId="783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782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781">
      <pivotArea dataOnly="0" labelOnly="1" fieldPosition="0">
        <references count="1">
          <reference field="42" count="0"/>
        </references>
      </pivotArea>
    </format>
    <format dxfId="780">
      <pivotArea dataOnly="0" labelOnly="1" fieldPosition="0">
        <references count="1">
          <reference field="42" count="0"/>
        </references>
      </pivotArea>
    </format>
    <format dxfId="779">
      <pivotArea dataOnly="0" labelOnly="1" fieldPosition="0">
        <references count="1">
          <reference field="42" count="0"/>
        </references>
      </pivotArea>
    </format>
    <format dxfId="778">
      <pivotArea dataOnly="0" labelOnly="1" fieldPosition="0">
        <references count="1">
          <reference field="42" count="0"/>
        </references>
      </pivotArea>
    </format>
    <format dxfId="777">
      <pivotArea collapsedLevelsAreSubtotals="1" fieldPosition="0">
        <references count="1">
          <reference field="42" count="1">
            <x v="3"/>
          </reference>
        </references>
      </pivotArea>
    </format>
    <format dxfId="776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75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74">
      <pivotArea type="origin" dataOnly="0" labelOnly="1" outline="0" fieldPosition="0"/>
    </format>
    <format dxfId="773">
      <pivotArea field="42" type="button" dataOnly="0" labelOnly="1" outline="0" axis="axisRow" fieldPosition="0"/>
    </format>
    <format dxfId="772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771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770">
      <pivotArea dataOnly="0" labelOnly="1" grandRow="1" outline="0" fieldPosition="0"/>
    </format>
    <format dxfId="769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68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67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766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765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64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63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762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761">
      <pivotArea field="36" type="button" dataOnly="0" labelOnly="1" outline="0" axis="axisCol" fieldPosition="0"/>
    </format>
    <format dxfId="760">
      <pivotArea type="origin" dataOnly="0" labelOnly="1" outline="0" fieldPosition="0"/>
    </format>
    <format dxfId="759">
      <pivotArea type="all" dataOnly="0" outline="0" fieldPosition="0"/>
    </format>
    <format dxfId="758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757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756">
      <pivotArea dataOnly="0" labelOnly="1" grandRow="1" outline="0" fieldPosition="0"/>
    </format>
    <format dxfId="755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754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753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752">
      <pivotArea dataOnly="0" labelOnly="1" fieldPosition="0">
        <references count="1">
          <reference field="42" count="0"/>
        </references>
      </pivotArea>
    </format>
    <format dxfId="751">
      <pivotArea dataOnly="0" labelOnly="1" grandRow="1" outline="0" fieldPosition="0"/>
    </format>
    <format dxfId="750">
      <pivotArea type="all" dataOnly="0" outline="0" fieldPosition="0"/>
    </format>
    <format dxfId="749">
      <pivotArea outline="0" collapsedLevelsAreSubtotals="1" fieldPosition="0"/>
    </format>
    <format dxfId="748">
      <pivotArea type="origin" dataOnly="0" labelOnly="1" outline="0" fieldPosition="0"/>
    </format>
    <format dxfId="747">
      <pivotArea field="36" type="button" dataOnly="0" labelOnly="1" outline="0" axis="axisCol" fieldPosition="0"/>
    </format>
    <format dxfId="746">
      <pivotArea type="topRight" dataOnly="0" labelOnly="1" outline="0" fieldPosition="0"/>
    </format>
    <format dxfId="745">
      <pivotArea field="42" type="button" dataOnly="0" labelOnly="1" outline="0" axis="axisRow" fieldPosition="0"/>
    </format>
    <format dxfId="744">
      <pivotArea dataOnly="0" labelOnly="1" fieldPosition="0">
        <references count="1">
          <reference field="42" count="0"/>
        </references>
      </pivotArea>
    </format>
    <format dxfId="743">
      <pivotArea dataOnly="0" labelOnly="1" fieldPosition="0">
        <references count="1">
          <reference field="42" count="0" defaultSubtotal="1"/>
        </references>
      </pivotArea>
    </format>
    <format dxfId="742">
      <pivotArea dataOnly="0" labelOnly="1" grandRow="1" outline="0" fieldPosition="0"/>
    </format>
    <format dxfId="741">
      <pivotArea dataOnly="0" labelOnly="1" fieldPosition="0">
        <references count="1">
          <reference field="36" count="0"/>
        </references>
      </pivotArea>
    </format>
    <format dxfId="740">
      <pivotArea dataOnly="0" labelOnly="1" grandCol="1" outline="0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type="origin" dataOnly="0" labelOnly="1" outline="0" fieldPosition="0"/>
    </format>
    <format dxfId="736">
      <pivotArea field="36" type="button" dataOnly="0" labelOnly="1" outline="0" axis="axisCol" fieldPosition="0"/>
    </format>
    <format dxfId="735">
      <pivotArea type="topRight" dataOnly="0" labelOnly="1" outline="0" fieldPosition="0"/>
    </format>
    <format dxfId="734">
      <pivotArea field="42" type="button" dataOnly="0" labelOnly="1" outline="0" axis="axisRow" fieldPosition="0"/>
    </format>
    <format dxfId="733">
      <pivotArea dataOnly="0" labelOnly="1" fieldPosition="0">
        <references count="1">
          <reference field="42" count="0"/>
        </references>
      </pivotArea>
    </format>
    <format dxfId="732">
      <pivotArea dataOnly="0" labelOnly="1" fieldPosition="0">
        <references count="1">
          <reference field="42" count="0" defaultSubtotal="1"/>
        </references>
      </pivotArea>
    </format>
    <format dxfId="731">
      <pivotArea dataOnly="0" labelOnly="1" grandRow="1" outline="0" fieldPosition="0"/>
    </format>
    <format dxfId="730">
      <pivotArea dataOnly="0" labelOnly="1" fieldPosition="0">
        <references count="1">
          <reference field="36" count="0"/>
        </references>
      </pivotArea>
    </format>
    <format dxfId="729">
      <pivotArea dataOnly="0" labelOnly="1" grandCol="1" outline="0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type="origin" dataOnly="0" labelOnly="1" outline="0" fieldPosition="0"/>
    </format>
    <format dxfId="725">
      <pivotArea field="36" type="button" dataOnly="0" labelOnly="1" outline="0" axis="axisCol" fieldPosition="0"/>
    </format>
    <format dxfId="724">
      <pivotArea type="topRight" dataOnly="0" labelOnly="1" outline="0" fieldPosition="0"/>
    </format>
    <format dxfId="723">
      <pivotArea field="42" type="button" dataOnly="0" labelOnly="1" outline="0" axis="axisRow" fieldPosition="0"/>
    </format>
    <format dxfId="722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721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720">
      <pivotArea dataOnly="0" labelOnly="1" grandRow="1" outline="0" fieldPosition="0"/>
    </format>
    <format dxfId="719">
      <pivotArea dataOnly="0" labelOnly="1" fieldPosition="0">
        <references count="1">
          <reference field="36" count="0"/>
        </references>
      </pivotArea>
    </format>
    <format dxfId="718">
      <pivotArea dataOnly="0" labelOnly="1" grandCol="1" outline="0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type="origin" dataOnly="0" labelOnly="1" outline="0" fieldPosition="0"/>
    </format>
    <format dxfId="714">
      <pivotArea field="36" type="button" dataOnly="0" labelOnly="1" outline="0" axis="axisCol" fieldPosition="0"/>
    </format>
    <format dxfId="713">
      <pivotArea type="topRight" dataOnly="0" labelOnly="1" outline="0" fieldPosition="0"/>
    </format>
    <format dxfId="712">
      <pivotArea field="42" type="button" dataOnly="0" labelOnly="1" outline="0" axis="axisRow" fieldPosition="0"/>
    </format>
    <format dxfId="711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710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709">
      <pivotArea dataOnly="0" labelOnly="1" grandRow="1" outline="0" fieldPosition="0"/>
    </format>
    <format dxfId="708">
      <pivotArea dataOnly="0" labelOnly="1" fieldPosition="0">
        <references count="1">
          <reference field="36" count="0"/>
        </references>
      </pivotArea>
    </format>
    <format dxfId="707">
      <pivotArea dataOnly="0" labelOnly="1" grandCol="1" outline="0" fieldPosition="0"/>
    </format>
    <format dxfId="706">
      <pivotArea type="all" dataOnly="0" outline="0" fieldPosition="0"/>
    </format>
    <format dxfId="705">
      <pivotArea outline="0" collapsedLevelsAreSubtotals="1" fieldPosition="0"/>
    </format>
    <format dxfId="704">
      <pivotArea dataOnly="0" labelOnly="1" fieldPosition="0">
        <references count="1">
          <reference field="36" count="0"/>
        </references>
      </pivotArea>
    </format>
    <format dxfId="703">
      <pivotArea dataOnly="0" labelOnly="1" grandCol="1" outline="0" fieldPosition="0"/>
    </format>
    <format dxfId="702">
      <pivotArea dataOnly="0" labelOnly="1" fieldPosition="0">
        <references count="1">
          <reference field="42" count="0"/>
        </references>
      </pivotArea>
    </format>
    <format dxfId="701">
      <pivotArea outline="0" collapsedLevelsAreSubtotals="1" fieldPosition="0"/>
    </format>
    <format dxfId="700">
      <pivotArea dataOnly="0" labelOnly="1" fieldPosition="0">
        <references count="1">
          <reference field="36" count="0"/>
        </references>
      </pivotArea>
    </format>
    <format dxfId="699">
      <pivotArea dataOnly="0" labelOnly="1" grandCol="1" outline="0" fieldPosition="0"/>
    </format>
    <format dxfId="698">
      <pivotArea outline="0" collapsedLevelsAreSubtotals="1" fieldPosition="0"/>
    </format>
    <format dxfId="697">
      <pivotArea dataOnly="0" labelOnly="1" fieldPosition="0">
        <references count="1">
          <reference field="36" count="0"/>
        </references>
      </pivotArea>
    </format>
    <format dxfId="696">
      <pivotArea dataOnly="0" labelOnly="1" grandCol="1" outline="0" fieldPosition="0"/>
    </format>
    <format dxfId="695">
      <pivotArea outline="0" collapsedLevelsAreSubtotals="1" fieldPosition="0"/>
    </format>
    <format dxfId="694">
      <pivotArea dataOnly="0" labelOnly="1" fieldPosition="0">
        <references count="1">
          <reference field="36" count="0"/>
        </references>
      </pivotArea>
    </format>
    <format dxfId="693">
      <pivotArea dataOnly="0" labelOnly="1" grandCol="1" outline="0" fieldPosition="0"/>
    </format>
    <format dxfId="692">
      <pivotArea type="all" dataOnly="0" outline="0" fieldPosition="0"/>
    </format>
    <format dxfId="691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690">
      <pivotArea dataOnly="0" labelOnly="1" fieldPosition="0">
        <references count="1">
          <reference field="42" count="0"/>
        </references>
      </pivotArea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type="origin" dataOnly="0" labelOnly="1" outline="0" fieldPosition="0"/>
    </format>
    <format dxfId="686">
      <pivotArea field="36" type="button" dataOnly="0" labelOnly="1" outline="0" axis="axisCol" fieldPosition="0"/>
    </format>
    <format dxfId="685">
      <pivotArea type="topRight" dataOnly="0" labelOnly="1" outline="0" fieldPosition="0"/>
    </format>
    <format dxfId="684">
      <pivotArea field="42" type="button" dataOnly="0" labelOnly="1" outline="0" axis="axisRow" fieldPosition="0"/>
    </format>
    <format dxfId="683">
      <pivotArea dataOnly="0" labelOnly="1" fieldPosition="0">
        <references count="1">
          <reference field="42" count="0"/>
        </references>
      </pivotArea>
    </format>
    <format dxfId="682">
      <pivotArea dataOnly="0" labelOnly="1" fieldPosition="0">
        <references count="1">
          <reference field="42" count="0" defaultSubtotal="1"/>
        </references>
      </pivotArea>
    </format>
    <format dxfId="681">
      <pivotArea dataOnly="0" labelOnly="1" grandRow="1" outline="0" fieldPosition="0"/>
    </format>
    <format dxfId="68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7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678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77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676">
      <pivotArea dataOnly="0" labelOnly="1" fieldPosition="0">
        <references count="1">
          <reference field="36" count="0"/>
        </references>
      </pivotArea>
    </format>
    <format dxfId="675">
      <pivotArea dataOnly="0" labelOnly="1" grandCol="1" outline="0" fieldPosition="0"/>
    </format>
    <format>
      <pivotArea type="all" dataOnly="0" outline="0" fieldPosition="0"/>
    </format>
    <format dxfId="674">
      <pivotArea type="origin" dataOnly="0" labelOnly="1" outline="0" fieldPosition="0"/>
    </format>
    <format dxfId="673">
      <pivotArea field="36" type="button" dataOnly="0" labelOnly="1" outline="0" axis="axisCol" fieldPosition="0"/>
    </format>
    <format dxfId="672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71">
      <pivotArea dataOnly="0" labelOnly="1" grandCol="1" outline="0" fieldPosition="0"/>
    </format>
    <format dxfId="670">
      <pivotArea collapsedLevelsAreSubtotals="1" fieldPosition="0">
        <references count="1">
          <reference field="42" count="1">
            <x v="1"/>
          </reference>
        </references>
      </pivotArea>
    </format>
    <format dxfId="669">
      <pivotArea collapsedLevelsAreSubtotals="1" fieldPosition="0">
        <references count="1">
          <reference field="42" count="1">
            <x v="3"/>
          </reference>
        </references>
      </pivotArea>
    </format>
    <format dxfId="668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667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66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65">
      <pivotArea collapsedLevelsAreSubtotals="1" fieldPosition="0">
        <references count="1">
          <reference field="42" count="1">
            <x v="0"/>
          </reference>
        </references>
      </pivotArea>
    </format>
    <format dxfId="664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663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662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661">
      <pivotArea outline="0" collapsedLevelsAreSubtotals="1" fieldPosition="0">
        <references count="1">
          <reference field="36" count="0" selected="0"/>
        </references>
      </pivotArea>
    </format>
    <format dxfId="660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659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658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657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656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655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654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653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652">
      <pivotArea grandRow="1" outline="0" collapsedLevelsAreSubtotals="1" fieldPosition="0"/>
    </format>
    <format dxfId="651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650">
      <pivotArea type="all" dataOnly="0" outline="0" fieldPosition="0"/>
    </format>
    <format dxfId="649">
      <pivotArea outline="0" collapsedLevelsAreSubtotals="1" fieldPosition="0"/>
    </format>
    <format dxfId="648">
      <pivotArea field="36" type="button" dataOnly="0" labelOnly="1" outline="0" axis="axisCol" fieldPosition="0"/>
    </format>
    <format dxfId="647">
      <pivotArea type="topRight" dataOnly="0" labelOnly="1" outline="0" fieldPosition="0"/>
    </format>
    <format dxfId="646">
      <pivotArea dataOnly="0" labelOnly="1" fieldPosition="0">
        <references count="1">
          <reference field="36" count="0"/>
        </references>
      </pivotArea>
    </format>
    <format dxfId="645">
      <pivotArea dataOnly="0" labelOnly="1" grandCol="1" outline="0" fieldPosition="0"/>
    </format>
    <format dxfId="64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64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64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64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64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63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638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63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63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63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34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63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63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63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30">
      <pivotArea type="origin" dataOnly="0" labelOnly="1" outline="0" fieldPosition="0"/>
    </format>
    <format dxfId="629">
      <pivotArea field="42" type="button" dataOnly="0" labelOnly="1" outline="0" axis="axisRow" fieldPosition="0"/>
    </format>
    <format dxfId="628">
      <pivotArea dataOnly="0" labelOnly="1" fieldPosition="0">
        <references count="1">
          <reference field="42" count="0"/>
        </references>
      </pivotArea>
    </format>
    <format dxfId="627">
      <pivotArea dataOnly="0" labelOnly="1" fieldPosition="0">
        <references count="1">
          <reference field="42" count="0" defaultSubtotal="1"/>
        </references>
      </pivotArea>
    </format>
    <format dxfId="626">
      <pivotArea dataOnly="0" labelOnly="1" grandRow="1" outline="0" fieldPosition="0"/>
    </format>
    <format dxfId="625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62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23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622">
      <pivotArea type="origin" dataOnly="0" labelOnly="1" outline="0" fieldPosition="0"/>
    </format>
    <format dxfId="621">
      <pivotArea field="42" type="button" dataOnly="0" labelOnly="1" outline="0" axis="axisRow" fieldPosition="0"/>
    </format>
    <format dxfId="620">
      <pivotArea dataOnly="0" labelOnly="1" fieldPosition="0">
        <references count="1">
          <reference field="42" count="0"/>
        </references>
      </pivotArea>
    </format>
    <format dxfId="619">
      <pivotArea dataOnly="0" labelOnly="1" fieldPosition="0">
        <references count="1">
          <reference field="42" count="0" defaultSubtotal="1"/>
        </references>
      </pivotArea>
    </format>
    <format dxfId="618">
      <pivotArea dataOnly="0" labelOnly="1" grandRow="1" outline="0" fieldPosition="0"/>
    </format>
    <format dxfId="617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616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15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type="origin" dataOnly="0" labelOnly="1" outline="0" fieldPosition="0"/>
    </format>
    <format dxfId="611">
      <pivotArea field="36" type="button" dataOnly="0" labelOnly="1" outline="0" axis="axisCol" fieldPosition="0"/>
    </format>
    <format dxfId="610">
      <pivotArea type="topRight" dataOnly="0" labelOnly="1" outline="0" fieldPosition="0"/>
    </format>
    <format dxfId="609">
      <pivotArea field="42" type="button" dataOnly="0" labelOnly="1" outline="0" axis="axisRow" fieldPosition="0"/>
    </format>
    <format dxfId="608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607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606">
      <pivotArea dataOnly="0" labelOnly="1" grandRow="1" outline="0" fieldPosition="0"/>
    </format>
    <format dxfId="605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604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0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02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601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600">
      <pivotArea dataOnly="0" labelOnly="1" grandCol="1" outline="0" fieldPosition="0"/>
    </format>
    <format dxfId="599">
      <pivotArea dataOnly="0" labelOnly="1" fieldPosition="0">
        <references count="1">
          <reference field="42" count="1">
            <x v="4"/>
          </reference>
        </references>
      </pivotArea>
    </format>
    <format dxfId="598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>
      <pivotArea dataOnly="0" labelOnly="1" grandCol="1" outline="0" fieldPosition="0"/>
    </format>
    <format dxfId="597">
      <pivotArea dataOnly="0" labelOnly="1" fieldPosition="0">
        <references count="1">
          <reference field="42" count="1">
            <x v="4"/>
          </reference>
        </references>
      </pivotArea>
    </format>
    <format dxfId="596">
      <pivotArea dataOnly="0" labelOnly="1" fieldPosition="0">
        <references count="1">
          <reference field="42" count="1">
            <x v="3"/>
          </reference>
        </references>
      </pivotArea>
    </format>
    <format dxfId="595">
      <pivotArea dataOnly="0" labelOnly="1" fieldPosition="0">
        <references count="1">
          <reference field="42" count="1">
            <x v="0"/>
          </reference>
        </references>
      </pivotArea>
    </format>
    <format dxfId="594">
      <pivotArea dataOnly="0" labelOnly="1" fieldPosition="0">
        <references count="1">
          <reference field="42" count="1">
            <x v="6"/>
          </reference>
        </references>
      </pivotArea>
    </format>
    <format dxfId="593">
      <pivotArea dataOnly="0" labelOnly="1" fieldPosition="0">
        <references count="1">
          <reference field="42" count="1">
            <x v="1"/>
          </reference>
        </references>
      </pivotArea>
    </format>
    <format dxfId="592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91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90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589">
      <pivotArea collapsedLevelsAreSubtotals="1" fieldPosition="0">
        <references count="1">
          <reference field="42" count="1">
            <x v="0"/>
          </reference>
        </references>
      </pivotArea>
    </format>
    <format dxfId="588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87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86">
      <pivotArea collapsedLevelsAreSubtotals="1" fieldPosition="0">
        <references count="1">
          <reference field="42" count="1">
            <x v="1"/>
          </reference>
        </references>
      </pivotArea>
    </format>
    <format dxfId="585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584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583">
      <pivotArea collapsedLevelsAreSubtotals="1" fieldPosition="0">
        <references count="1">
          <reference field="42" count="1">
            <x v="6"/>
          </reference>
        </references>
      </pivotArea>
    </format>
    <format dxfId="582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81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580">
      <pivotArea collapsedLevelsAreSubtotals="1" fieldPosition="0">
        <references count="1">
          <reference field="42" count="1">
            <x v="3"/>
          </reference>
        </references>
      </pivotArea>
    </format>
    <format dxfId="579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578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577">
      <pivotArea grandRow="1" outline="0" collapsedLevelsAreSubtotals="1" fieldPosition="0"/>
    </format>
    <format dxfId="576">
      <pivotArea dataOnly="0" labelOnly="1" fieldPosition="0">
        <references count="1">
          <reference field="42" count="0"/>
        </references>
      </pivotArea>
    </format>
    <format dxfId="57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57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7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72">
      <pivotArea dataOnly="0" labelOnly="1" fieldPosition="0">
        <references count="1">
          <reference field="42" count="0"/>
        </references>
      </pivotArea>
    </format>
    <format dxfId="571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57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6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68">
      <pivotArea dataOnly="0" labelOnly="1" fieldPosition="0">
        <references count="1">
          <reference field="42" count="1">
            <x v="2"/>
          </reference>
        </references>
      </pivotArea>
    </format>
    <format dxfId="56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6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56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6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563">
      <pivotArea type="origin" dataOnly="0" labelOnly="1" outline="0" fieldPosition="0"/>
    </format>
    <format dxfId="562">
      <pivotArea field="42" type="button" dataOnly="0" labelOnly="1" outline="0" axis="axisRow" fieldPosition="0"/>
    </format>
    <format dxfId="561">
      <pivotArea dataOnly="0" labelOnly="1" fieldPosition="0">
        <references count="1">
          <reference field="42" count="0"/>
        </references>
      </pivotArea>
    </format>
    <format dxfId="560">
      <pivotArea dataOnly="0" labelOnly="1" fieldPosition="0">
        <references count="1">
          <reference field="42" count="0" defaultSubtotal="1"/>
        </references>
      </pivotArea>
    </format>
    <format dxfId="559">
      <pivotArea dataOnly="0" labelOnly="1" grandRow="1" outline="0" fieldPosition="0"/>
    </format>
    <format dxfId="55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5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56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555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554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553">
      <pivotArea dataOnly="0" labelOnly="1" fieldPosition="0">
        <references count="1">
          <reference field="42" count="1">
            <x v="10"/>
          </reference>
        </references>
      </pivotArea>
    </format>
    <format dxfId="552">
      <pivotArea dataOnly="0" labelOnly="1" fieldPosition="0">
        <references count="1">
          <reference field="42" count="1">
            <x v="7"/>
          </reference>
        </references>
      </pivotArea>
    </format>
    <format dxfId="551">
      <pivotArea dataOnly="0" labelOnly="1" fieldPosition="0">
        <references count="1">
          <reference field="42" count="1">
            <x v="9"/>
          </reference>
        </references>
      </pivotArea>
    </format>
    <format dxfId="550">
      <pivotArea dataOnly="0" labelOnly="1" fieldPosition="0">
        <references count="1">
          <reference field="42" count="1">
            <x v="8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6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N52:V109" firstHeaderRow="1" firstDataRow="2" firstDataCol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2">
        <item x="0"/>
        <item x="14"/>
        <item x="4"/>
        <item x="6"/>
        <item m="1" x="59"/>
        <item m="1" x="62"/>
        <item m="1" x="77"/>
        <item x="8"/>
        <item x="30"/>
        <item m="1" x="90"/>
        <item m="1" x="75"/>
        <item m="1" x="76"/>
        <item x="9"/>
        <item m="1" x="94"/>
        <item x="32"/>
        <item x="10"/>
        <item x="12"/>
        <item x="13"/>
        <item x="5"/>
        <item x="2"/>
        <item x="55"/>
        <item x="33"/>
        <item x="31"/>
        <item x="20"/>
        <item x="7"/>
        <item x="28"/>
        <item x="22"/>
        <item m="1" x="74"/>
        <item m="1" x="66"/>
        <item x="21"/>
        <item x="16"/>
        <item x="25"/>
        <item x="29"/>
        <item x="24"/>
        <item m="1" x="65"/>
        <item m="1" x="64"/>
        <item x="26"/>
        <item x="27"/>
        <item x="23"/>
        <item x="17"/>
        <item m="1" x="82"/>
        <item x="34"/>
        <item x="35"/>
        <item x="19"/>
        <item x="11"/>
        <item m="1" x="60"/>
        <item m="1" x="72"/>
        <item m="1" x="67"/>
        <item m="1" x="100"/>
        <item x="39"/>
        <item x="37"/>
        <item x="36"/>
        <item m="1" x="88"/>
        <item x="40"/>
        <item x="41"/>
        <item x="42"/>
        <item x="45"/>
        <item m="1" x="63"/>
        <item m="1" x="56"/>
        <item x="3"/>
        <item x="15"/>
        <item m="1" x="80"/>
        <item m="1" x="81"/>
        <item m="1" x="70"/>
        <item m="1" x="71"/>
        <item x="44"/>
        <item m="1" x="91"/>
        <item m="1" x="96"/>
        <item x="46"/>
        <item x="47"/>
        <item m="1" x="57"/>
        <item m="1" x="93"/>
        <item m="1" x="99"/>
        <item m="1" x="58"/>
        <item x="38"/>
        <item m="1" x="68"/>
        <item x="1"/>
        <item m="1" x="73"/>
        <item m="1" x="92"/>
        <item m="1" x="79"/>
        <item m="1" x="61"/>
        <item x="18"/>
        <item x="43"/>
        <item m="1" x="89"/>
        <item m="1" x="84"/>
        <item m="1" x="98"/>
        <item m="1" x="97"/>
        <item m="1" x="95"/>
        <item x="50"/>
        <item x="49"/>
        <item m="1" x="86"/>
        <item m="1" x="87"/>
        <item m="1" x="85"/>
        <item m="1" x="83"/>
        <item m="1" x="78"/>
        <item x="48"/>
        <item x="53"/>
        <item m="1" x="69"/>
        <item x="52"/>
        <item x="51"/>
        <item x="5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6"/>
        <item x="5"/>
        <item x="7"/>
        <item x="3"/>
        <item h="1" x="8"/>
        <item x="1"/>
        <item x="0"/>
        <item x="4"/>
        <item h="1" m="1" x="9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56">
    <i>
      <x v="76"/>
    </i>
    <i>
      <x v="14"/>
    </i>
    <i>
      <x v="18"/>
    </i>
    <i>
      <x v="42"/>
    </i>
    <i>
      <x v="15"/>
    </i>
    <i>
      <x v="96"/>
    </i>
    <i>
      <x v="69"/>
    </i>
    <i>
      <x v="12"/>
    </i>
    <i>
      <x v="56"/>
    </i>
    <i>
      <x v="54"/>
    </i>
    <i>
      <x v="8"/>
    </i>
    <i>
      <x v="30"/>
    </i>
    <i>
      <x v="3"/>
    </i>
    <i>
      <x v="21"/>
    </i>
    <i>
      <x v="17"/>
    </i>
    <i>
      <x v="31"/>
    </i>
    <i>
      <x v="2"/>
    </i>
    <i>
      <x v="68"/>
    </i>
    <i>
      <x v="22"/>
    </i>
    <i>
      <x v="95"/>
    </i>
    <i>
      <x v="23"/>
    </i>
    <i>
      <x/>
    </i>
    <i>
      <x v="41"/>
    </i>
    <i>
      <x v="49"/>
    </i>
    <i>
      <x v="44"/>
    </i>
    <i>
      <x v="98"/>
    </i>
    <i>
      <x v="37"/>
    </i>
    <i>
      <x v="19"/>
    </i>
    <i>
      <x v="55"/>
    </i>
    <i>
      <x v="36"/>
    </i>
    <i>
      <x v="53"/>
    </i>
    <i>
      <x v="33"/>
    </i>
    <i>
      <x v="24"/>
    </i>
    <i>
      <x v="29"/>
    </i>
    <i>
      <x v="65"/>
    </i>
    <i>
      <x v="59"/>
    </i>
    <i>
      <x v="1"/>
    </i>
    <i>
      <x v="51"/>
    </i>
    <i>
      <x v="32"/>
    </i>
    <i>
      <x v="50"/>
    </i>
    <i>
      <x v="38"/>
    </i>
    <i>
      <x v="88"/>
    </i>
    <i>
      <x v="60"/>
    </i>
    <i>
      <x v="100"/>
    </i>
    <i>
      <x v="7"/>
    </i>
    <i>
      <x v="16"/>
    </i>
    <i>
      <x v="43"/>
    </i>
    <i>
      <x v="89"/>
    </i>
    <i>
      <x v="74"/>
    </i>
    <i>
      <x v="26"/>
    </i>
    <i>
      <x v="25"/>
    </i>
    <i>
      <x v="99"/>
    </i>
    <i>
      <x v="81"/>
    </i>
    <i>
      <x v="82"/>
    </i>
    <i>
      <x v="39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34">
    <format dxfId="1002">
      <pivotArea field="25" grandCol="1" collapsedLevelsAreSubtotals="1" axis="axisRow" fieldPosition="0">
        <references count="1">
          <reference field="25" count="0"/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type="origin" dataOnly="0" labelOnly="1" outline="0" fieldPosition="0"/>
    </format>
    <format dxfId="998">
      <pivotArea field="25" type="button" dataOnly="0" labelOnly="1" outline="0" axis="axisRow" fieldPosition="0"/>
    </format>
    <format dxfId="997">
      <pivotArea dataOnly="0" labelOnly="1" fieldPosition="0">
        <references count="1">
          <reference field="25" count="0"/>
        </references>
      </pivotArea>
    </format>
    <format dxfId="996">
      <pivotArea dataOnly="0" labelOnly="1" grandRow="1" outline="0" fieldPosition="0"/>
    </format>
    <format dxfId="995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94">
      <pivotArea dataOnly="0" labelOnly="1" grandCol="1" outline="0" fieldPosition="0"/>
    </format>
    <format dxfId="993">
      <pivotArea outline="0" collapsedLevelsAreSubtotals="1" fieldPosition="0"/>
    </format>
    <format dxfId="992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91">
      <pivotArea dataOnly="0" labelOnly="1" grandCol="1" outline="0" fieldPosition="0"/>
    </format>
    <format dxfId="990">
      <pivotArea field="25" grandCol="1" collapsedLevelsAreSubtotals="1" axis="axisRow" fieldPosition="0">
        <references count="1">
          <reference field="25" count="0"/>
        </references>
      </pivotArea>
    </format>
    <format dxfId="989">
      <pivotArea type="origin" dataOnly="0" labelOnly="1" outline="0" fieldPosition="0"/>
    </format>
    <format dxfId="988">
      <pivotArea field="25" type="button" dataOnly="0" labelOnly="1" outline="0" axis="axisRow" fieldPosition="0"/>
    </format>
    <format dxfId="987">
      <pivotArea dataOnly="0" labelOnly="1" fieldPosition="0">
        <references count="1">
          <reference field="25" count="0"/>
        </references>
      </pivotArea>
    </format>
    <format dxfId="986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985">
      <pivotArea type="origin" dataOnly="0" labelOnly="1" outline="0" fieldPosition="0"/>
    </format>
    <format dxfId="984">
      <pivotArea field="25" type="button" dataOnly="0" labelOnly="1" outline="0" axis="axisRow" fieldPosition="0"/>
    </format>
    <format dxfId="983">
      <pivotArea dataOnly="0" labelOnly="1" fieldPosition="0">
        <references count="1">
          <reference field="25" count="0"/>
        </references>
      </pivotArea>
    </format>
    <format dxfId="982">
      <pivotArea dataOnly="0" labelOnly="1" grandRow="1" outline="0" fieldPosition="0"/>
    </format>
    <format dxfId="981">
      <pivotArea type="all" dataOnly="0" outline="0" fieldPosition="0"/>
    </format>
    <format dxfId="980">
      <pivotArea outline="0" collapsedLevelsAreSubtotals="1" fieldPosition="0"/>
    </format>
    <format dxfId="979">
      <pivotArea type="origin" dataOnly="0" labelOnly="1" outline="0" fieldPosition="0"/>
    </format>
    <format dxfId="978">
      <pivotArea field="36" type="button" dataOnly="0" labelOnly="1" outline="0" axis="axisCol" fieldPosition="0"/>
    </format>
    <format dxfId="977">
      <pivotArea type="topRight" dataOnly="0" labelOnly="1" outline="0" fieldPosition="0"/>
    </format>
    <format dxfId="976">
      <pivotArea field="25" type="button" dataOnly="0" labelOnly="1" outline="0" axis="axisRow" fieldPosition="0"/>
    </format>
    <format dxfId="975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974">
      <pivotArea dataOnly="0" labelOnly="1" grandRow="1" outline="0" fieldPosition="0"/>
    </format>
    <format dxfId="973">
      <pivotArea dataOnly="0" labelOnly="1" fieldPosition="0">
        <references count="1">
          <reference field="36" count="0"/>
        </references>
      </pivotArea>
    </format>
    <format dxfId="972">
      <pivotArea dataOnly="0" labelOnly="1" grandCol="1" outline="0" fieldPosition="0"/>
    </format>
    <format dxfId="971">
      <pivotArea type="all" dataOnly="0" outline="0" fieldPosition="0"/>
    </format>
    <format dxfId="970">
      <pivotArea outline="0" collapsedLevelsAreSubtotals="1" fieldPosition="0"/>
    </format>
    <format dxfId="969">
      <pivotArea type="origin" dataOnly="0" labelOnly="1" outline="0" fieldPosition="0"/>
    </format>
    <format dxfId="968">
      <pivotArea field="36" type="button" dataOnly="0" labelOnly="1" outline="0" axis="axisCol" fieldPosition="0"/>
    </format>
    <format dxfId="967">
      <pivotArea type="topRight" dataOnly="0" labelOnly="1" outline="0" fieldPosition="0"/>
    </format>
    <format dxfId="966">
      <pivotArea field="25" type="button" dataOnly="0" labelOnly="1" outline="0" axis="axisRow" fieldPosition="0"/>
    </format>
    <format dxfId="965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964">
      <pivotArea dataOnly="0" labelOnly="1" grandRow="1" outline="0" fieldPosition="0"/>
    </format>
    <format dxfId="963">
      <pivotArea dataOnly="0" labelOnly="1" fieldPosition="0">
        <references count="1">
          <reference field="36" count="0"/>
        </references>
      </pivotArea>
    </format>
    <format dxfId="962">
      <pivotArea dataOnly="0" labelOnly="1" grandCol="1" outline="0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type="origin" dataOnly="0" labelOnly="1" outline="0" fieldPosition="0"/>
    </format>
    <format dxfId="958">
      <pivotArea field="36" type="button" dataOnly="0" labelOnly="1" outline="0" axis="axisCol" fieldPosition="0"/>
    </format>
    <format dxfId="957">
      <pivotArea type="topRight" dataOnly="0" labelOnly="1" outline="0" fieldPosition="0"/>
    </format>
    <format dxfId="956">
      <pivotArea field="25" type="button" dataOnly="0" labelOnly="1" outline="0" axis="axisRow" fieldPosition="0"/>
    </format>
    <format dxfId="955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54">
      <pivotArea dataOnly="0" labelOnly="1" grandRow="1" outline="0" fieldPosition="0"/>
    </format>
    <format dxfId="953">
      <pivotArea dataOnly="0" labelOnly="1" fieldPosition="0">
        <references count="1">
          <reference field="36" count="0"/>
        </references>
      </pivotArea>
    </format>
    <format dxfId="952">
      <pivotArea dataOnly="0" labelOnly="1" grandCol="1" outline="0" fieldPosition="0"/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type="origin" dataOnly="0" labelOnly="1" outline="0" fieldPosition="0"/>
    </format>
    <format dxfId="948">
      <pivotArea field="36" type="button" dataOnly="0" labelOnly="1" outline="0" axis="axisCol" fieldPosition="0"/>
    </format>
    <format dxfId="947">
      <pivotArea type="topRight" dataOnly="0" labelOnly="1" outline="0" fieldPosition="0"/>
    </format>
    <format dxfId="946">
      <pivotArea field="25" type="button" dataOnly="0" labelOnly="1" outline="0" axis="axisRow" fieldPosition="0"/>
    </format>
    <format dxfId="945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44">
      <pivotArea dataOnly="0" labelOnly="1" grandRow="1" outline="0" fieldPosition="0"/>
    </format>
    <format dxfId="943">
      <pivotArea dataOnly="0" labelOnly="1" fieldPosition="0">
        <references count="1">
          <reference field="36" count="0"/>
        </references>
      </pivotArea>
    </format>
    <format dxfId="942">
      <pivotArea dataOnly="0" labelOnly="1" grandCol="1" outline="0" fieldPosition="0"/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38">
      <pivotArea dataOnly="0" labelOnly="1" fieldPosition="0">
        <references count="1">
          <reference field="36" count="0"/>
        </references>
      </pivotArea>
    </format>
    <format dxfId="937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36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35">
      <pivotArea outline="0" collapsedLevelsAreSubtotals="1" fieldPosition="0"/>
    </format>
    <format dxfId="934">
      <pivotArea dataOnly="0" labelOnly="1" fieldPosition="0">
        <references count="1">
          <reference field="36" count="0"/>
        </references>
      </pivotArea>
    </format>
    <format dxfId="933">
      <pivotArea dataOnly="0" labelOnly="1" grandCol="1" outline="0" fieldPosition="0"/>
    </format>
    <format dxfId="932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931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930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929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928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927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926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925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924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923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922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921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920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919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918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917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916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915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914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913">
      <pivotArea type="all" dataOnly="0" outline="0" fieldPosition="0"/>
    </format>
    <format dxfId="912">
      <pivotArea outline="0" collapsedLevelsAreSubtotals="1" fieldPosition="0"/>
    </format>
    <format dxfId="911">
      <pivotArea type="origin" dataOnly="0" labelOnly="1" outline="0" fieldPosition="0"/>
    </format>
    <format dxfId="910">
      <pivotArea field="36" type="button" dataOnly="0" labelOnly="1" outline="0" axis="axisCol" fieldPosition="0"/>
    </format>
    <format dxfId="909">
      <pivotArea type="topRight" dataOnly="0" labelOnly="1" outline="0" fieldPosition="0"/>
    </format>
    <format dxfId="908">
      <pivotArea field="25" type="button" dataOnly="0" labelOnly="1" outline="0" axis="axisRow" fieldPosition="0"/>
    </format>
    <format dxfId="907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906">
      <pivotArea dataOnly="0" labelOnly="1" grandRow="1" outline="0" fieldPosition="0"/>
    </format>
    <format dxfId="905">
      <pivotArea dataOnly="0" labelOnly="1" fieldPosition="0">
        <references count="1">
          <reference field="36" count="0"/>
        </references>
      </pivotArea>
    </format>
    <format dxfId="904">
      <pivotArea dataOnly="0" labelOnly="1" grandCol="1" outline="0" fieldPosition="0"/>
    </format>
    <format dxfId="903">
      <pivotArea type="all" dataOnly="0" outline="0" fieldPosition="0"/>
    </format>
    <format dxfId="902">
      <pivotArea outline="0" collapsedLevelsAreSubtotals="1" fieldPosition="0"/>
    </format>
    <format dxfId="901">
      <pivotArea field="36" type="button" dataOnly="0" labelOnly="1" outline="0" axis="axisCol" fieldPosition="0"/>
    </format>
    <format dxfId="900">
      <pivotArea type="topRight" dataOnly="0" labelOnly="1" outline="0" fieldPosition="0"/>
    </format>
    <format dxfId="899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898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897">
      <pivotArea dataOnly="0" labelOnly="1" fieldPosition="0">
        <references count="1">
          <reference field="36" count="0"/>
        </references>
      </pivotArea>
    </format>
    <format dxfId="896">
      <pivotArea dataOnly="0" labelOnly="1" grandCol="1" outline="0" fieldPosition="0"/>
    </format>
    <format dxfId="895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894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893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892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891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90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89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888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887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886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885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884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883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882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881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880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879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878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877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876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875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874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873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872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871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870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869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868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867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866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865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864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863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862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861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860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859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858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857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856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855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854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853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852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851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850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849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848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847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846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845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844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843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842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841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840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839">
      <pivotArea type="origin" dataOnly="0" labelOnly="1" outline="0" fieldPosition="0"/>
    </format>
    <format dxfId="838">
      <pivotArea field="25" type="button" dataOnly="0" labelOnly="1" outline="0" axis="axisRow" fieldPosition="0"/>
    </format>
    <format dxfId="837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836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835">
      <pivotArea dataOnly="0" labelOnly="1" grandRow="1" outline="0" fieldPosition="0"/>
    </format>
    <format dxfId="834">
      <pivotArea type="origin" dataOnly="0" labelOnly="1" outline="0" fieldPosition="0"/>
    </format>
    <format dxfId="833">
      <pivotArea field="25" type="button" dataOnly="0" labelOnly="1" outline="0" axis="axisRow" fieldPosition="0"/>
    </format>
    <format dxfId="832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831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830">
      <pivotArea dataOnly="0" labelOnly="1" grandRow="1" outline="0" fieldPosition="0"/>
    </format>
    <format dxfId="829">
      <pivotArea type="all" dataOnly="0" outline="0" fieldPosition="0"/>
    </format>
    <format dxfId="828">
      <pivotArea outline="0" collapsedLevelsAreSubtotals="1" fieldPosition="0"/>
    </format>
    <format dxfId="827">
      <pivotArea type="origin" dataOnly="0" labelOnly="1" outline="0" fieldPosition="0"/>
    </format>
    <format dxfId="826">
      <pivotArea field="36" type="button" dataOnly="0" labelOnly="1" outline="0" axis="axisCol" fieldPosition="0"/>
    </format>
    <format dxfId="825">
      <pivotArea type="topRight" dataOnly="0" labelOnly="1" outline="0" fieldPosition="0"/>
    </format>
    <format dxfId="824">
      <pivotArea field="25" type="button" dataOnly="0" labelOnly="1" outline="0" axis="axisRow" fieldPosition="0"/>
    </format>
    <format dxfId="823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822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821">
      <pivotArea dataOnly="0" labelOnly="1" grandRow="1" outline="0" fieldPosition="0"/>
    </format>
    <format dxfId="820">
      <pivotArea dataOnly="0" labelOnly="1" fieldPosition="0">
        <references count="1">
          <reference field="36" count="0"/>
        </references>
      </pivotArea>
    </format>
    <format dxfId="819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18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817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816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815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814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813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812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811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810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809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808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807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80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805">
      <pivotArea dataOnly="0" labelOnly="1" fieldPosition="0">
        <references count="1">
          <reference field="25" count="1">
            <x v="5"/>
          </reference>
        </references>
      </pivotArea>
    </format>
    <format dxfId="80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803">
      <pivotArea dataOnly="0" labelOnly="1" fieldPosition="0">
        <references count="1">
          <reference field="25" count="1">
            <x v="5"/>
          </reference>
        </references>
      </pivotArea>
    </format>
    <format dxfId="80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801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80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799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798">
      <pivotArea type="origin" dataOnly="0" labelOnly="1" outline="0" fieldPosition="0"/>
    </format>
    <format dxfId="797">
      <pivotArea field="25" type="button" dataOnly="0" labelOnly="1" outline="0" axis="axisRow" fieldPosition="0"/>
    </format>
    <format dxfId="796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79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4" cacheId="1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138:U144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327"/>
        <item m="1" x="7187"/>
        <item m="1" x="4888"/>
        <item m="1" x="4887"/>
        <item m="1" x="6564"/>
        <item m="1" x="6565"/>
        <item m="1" x="6782"/>
        <item m="1" x="6611"/>
        <item m="1" x="6827"/>
        <item m="1" x="6248"/>
        <item m="1" x="7108"/>
        <item m="1" x="4891"/>
        <item m="1" x="4892"/>
        <item m="1" x="4893"/>
        <item m="1" x="4890"/>
        <item m="1" x="4889"/>
        <item m="1" x="4899"/>
        <item m="1" x="4896"/>
        <item m="1" x="4895"/>
        <item m="1" x="4894"/>
        <item m="1" x="4897"/>
        <item m="1" x="4906"/>
        <item m="1" x="4914"/>
        <item m="1" x="4904"/>
        <item m="1" x="4916"/>
        <item m="1" x="4898"/>
        <item m="1" x="4912"/>
        <item m="1" x="4907"/>
        <item m="1" x="4911"/>
        <item m="1" x="4908"/>
        <item m="1" x="4919"/>
        <item m="1" x="4920"/>
        <item m="1" x="4909"/>
        <item m="1" x="4910"/>
        <item m="1" x="4918"/>
        <item m="1" x="4905"/>
        <item m="1" x="4902"/>
        <item m="1" x="7645"/>
        <item m="1" x="6559"/>
        <item m="1" x="4917"/>
        <item m="1" x="4913"/>
        <item m="1" x="4901"/>
        <item m="1" x="4900"/>
        <item m="1" x="4903"/>
        <item m="1" x="4915"/>
        <item m="1" x="4921"/>
        <item m="1" x="4021"/>
        <item m="1" x="5461"/>
        <item m="1" x="6561"/>
        <item m="1" x="5844"/>
        <item m="1" x="6734"/>
        <item m="1" x="6733"/>
        <item m="1" x="6735"/>
        <item m="1" x="6736"/>
        <item m="1" x="6737"/>
        <item m="1" x="6738"/>
        <item m="1" x="5652"/>
        <item m="1" x="6826"/>
        <item m="1" x="5752"/>
        <item m="1" x="5026"/>
        <item m="1" x="3372"/>
        <item m="1" x="6780"/>
        <item m="1" x="6889"/>
        <item m="1" x="4707"/>
        <item m="1" x="6525"/>
        <item m="1" x="4923"/>
        <item m="1" x="6888"/>
        <item m="1" x="6596"/>
        <item m="1" x="7454"/>
        <item m="1" x="5765"/>
        <item m="1" x="6714"/>
        <item m="1" x="5178"/>
        <item m="1" x="7303"/>
        <item m="1" x="7084"/>
        <item m="1" x="7085"/>
        <item m="1" x="6542"/>
        <item m="1" x="6544"/>
        <item m="1" x="5937"/>
        <item m="1" x="5808"/>
        <item m="1" x="6541"/>
        <item m="1" x="6554"/>
        <item m="1" x="4770"/>
        <item m="1" x="6560"/>
        <item m="1" x="5764"/>
        <item m="1" x="6537"/>
        <item m="1" x="6538"/>
        <item m="1" x="7764"/>
        <item m="1" x="6539"/>
        <item m="1" x="6540"/>
        <item m="1" x="6543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5"/>
        <item m="1" x="6533"/>
        <item m="1" x="6535"/>
        <item m="1" x="7642"/>
        <item m="1" x="7763"/>
        <item m="1" x="7765"/>
        <item m="1" x="7638"/>
        <item m="1" x="7766"/>
        <item m="1" x="3753"/>
        <item m="1" x="6664"/>
        <item m="1" x="6668"/>
        <item m="1" x="4417"/>
        <item m="1" x="1977"/>
        <item m="1" x="2042"/>
        <item m="1" x="6532"/>
        <item m="1" x="6678"/>
        <item m="1" x="1996"/>
        <item m="1" x="4936"/>
        <item m="1" x="6795"/>
        <item m="1" x="6793"/>
        <item m="1" x="6665"/>
        <item m="1" x="7398"/>
        <item m="1" x="6781"/>
        <item m="1" x="5856"/>
        <item m="1" x="5380"/>
        <item m="1" x="7946"/>
        <item m="1" x="6534"/>
        <item m="1" x="6536"/>
        <item m="1" x="6663"/>
        <item m="1" x="7414"/>
        <item m="1" x="3088"/>
        <item m="1" x="7861"/>
        <item m="1" x="7953"/>
        <item m="1" x="7945"/>
        <item m="1" x="7944"/>
        <item m="1" x="7943"/>
        <item m="1" x="6836"/>
        <item m="1" x="6666"/>
        <item m="1" x="3513"/>
        <item m="1" x="6390"/>
        <item m="1" x="7453"/>
        <item m="1" x="7950"/>
        <item m="1" x="5762"/>
        <item m="1" x="7184"/>
        <item m="1" x="6816"/>
        <item m="1" x="6710"/>
        <item m="1" x="7951"/>
        <item m="1" x="2413"/>
        <item m="1" x="7124"/>
        <item m="1" x="7856"/>
        <item m="1" x="6819"/>
        <item m="1" x="5115"/>
        <item m="1" x="6797"/>
        <item m="1" x="6636"/>
        <item m="1" x="7110"/>
        <item m="1" x="7952"/>
        <item m="1" x="7948"/>
        <item m="1" x="7949"/>
        <item m="1" x="7947"/>
        <item m="1" x="6558"/>
        <item m="1" x="7891"/>
        <item m="1" x="4184"/>
        <item m="1" x="6667"/>
        <item m="1" x="6254"/>
        <item m="1" x="6592"/>
        <item m="1" x="6967"/>
        <item m="1" x="3997"/>
        <item m="1" x="6966"/>
        <item m="1" x="6593"/>
        <item m="1" x="7938"/>
        <item m="1" x="7935"/>
        <item m="1" x="7936"/>
        <item m="1" x="7939"/>
        <item m="1" x="7472"/>
        <item m="1" x="5763"/>
        <item m="1" x="7666"/>
        <item m="1" x="7637"/>
        <item m="1" x="4092"/>
        <item m="1" x="7899"/>
        <item m="1" x="5761"/>
        <item m="1" x="7995"/>
        <item m="1" x="6627"/>
        <item m="1" x="7825"/>
        <item m="1" x="6750"/>
        <item m="1" x="5420"/>
        <item m="1" x="6794"/>
        <item m="1" x="5841"/>
        <item m="1" x="6702"/>
        <item m="1" x="7937"/>
        <item m="1" x="7070"/>
        <item m="1" x="6591"/>
        <item m="1" x="5759"/>
        <item m="1" x="6700"/>
        <item m="1" x="7515"/>
        <item m="1" x="5801"/>
        <item m="1" x="7957"/>
        <item m="1" x="7954"/>
        <item m="1" x="5999"/>
        <item m="1" x="7873"/>
        <item m="1" x="5837"/>
        <item m="1" x="7955"/>
        <item m="1" x="7956"/>
        <item m="1" x="7122"/>
        <item m="1" x="2078"/>
        <item m="1" x="7762"/>
        <item m="1" x="7940"/>
        <item m="1" x="7941"/>
        <item m="1" x="7942"/>
        <item m="1" x="886"/>
        <item m="1" x="888"/>
        <item m="1" x="6228"/>
        <item m="1" x="7427"/>
        <item m="1" x="5240"/>
        <item m="1" x="3363"/>
        <item m="1" x="6928"/>
        <item m="1" x="5090"/>
        <item m="1" x="7478"/>
        <item m="1" x="7968"/>
        <item m="1" x="6523"/>
        <item m="1" x="7959"/>
        <item m="1" x="7960"/>
        <item m="1" x="2092"/>
        <item m="1" x="7958"/>
        <item m="1" x="7618"/>
        <item m="1" x="6639"/>
        <item m="1" x="5660"/>
        <item m="1" x="5758"/>
        <item m="1" x="7652"/>
        <item m="1" x="6638"/>
        <item m="1" x="7817"/>
        <item m="1" x="7752"/>
        <item m="1" x="6683"/>
        <item m="1" x="6685"/>
        <item m="1" x="6691"/>
        <item m="1" x="6701"/>
        <item m="1" x="7674"/>
        <item m="1" x="7029"/>
        <item m="1" x="6792"/>
        <item m="1" x="6722"/>
        <item m="1" x="6728"/>
        <item m="1" x="890"/>
        <item m="1" x="6740"/>
        <item m="1" x="7578"/>
        <item m="1" x="6749"/>
        <item m="1" x="7705"/>
        <item m="1" x="6841"/>
        <item m="1" x="7966"/>
        <item m="1" x="7967"/>
        <item m="1" x="7624"/>
        <item m="1" x="7415"/>
        <item m="1" x="7639"/>
        <item m="1" x="7640"/>
        <item m="1" x="7753"/>
        <item m="1" x="7625"/>
        <item m="1" x="7910"/>
        <item m="1" x="4410"/>
        <item m="1" x="7909"/>
        <item m="1" x="7622"/>
        <item m="1" x="7623"/>
        <item m="1" x="7969"/>
        <item m="1" x="7970"/>
        <item m="1" x="7641"/>
        <item m="1" x="7419"/>
        <item m="1" x="7697"/>
        <item m="1" x="6393"/>
        <item m="1" x="7149"/>
        <item m="1" x="7653"/>
        <item m="1" x="7816"/>
        <item m="1" x="6413"/>
        <item m="1" x="7695"/>
        <item m="1" x="7655"/>
        <item m="1" x="7670"/>
        <item m="1" x="1991"/>
        <item m="1" x="6088"/>
        <item m="1" x="7672"/>
        <item m="1" x="7671"/>
        <item m="1" x="7675"/>
        <item m="1" x="7673"/>
        <item m="1" x="6698"/>
        <item m="1" x="7826"/>
        <item m="1" x="7835"/>
        <item m="1" x="7684"/>
        <item m="1" x="6087"/>
        <item m="1" x="6086"/>
        <item m="1" x="5814"/>
        <item m="1" x="7416"/>
        <item m="1" x="7755"/>
        <item m="1" x="7417"/>
        <item m="1" x="7491"/>
        <item m="1" x="7961"/>
        <item m="1" x="7962"/>
        <item m="1" x="7756"/>
        <item m="1" x="7963"/>
        <item m="1" x="7492"/>
        <item m="1" x="7964"/>
        <item m="1" x="7757"/>
        <item m="1" x="7758"/>
        <item m="1" x="7418"/>
        <item m="1" x="6842"/>
        <item m="1" x="7965"/>
        <item m="1" x="7626"/>
        <item m="1" x="7972"/>
        <item m="1" x="7420"/>
        <item m="1" x="7974"/>
        <item m="1" x="7644"/>
        <item m="1" x="7973"/>
        <item m="1" x="7971"/>
        <item m="1" x="7411"/>
        <item m="1" x="7754"/>
        <item m="1" x="7647"/>
        <item m="1" x="5755"/>
        <item m="1" x="5790"/>
        <item m="1" x="6689"/>
        <item m="1" x="5751"/>
        <item m="1" x="6085"/>
        <item m="1" x="7831"/>
        <item m="1" x="7830"/>
        <item m="1" x="7829"/>
        <item m="1" x="6084"/>
        <item m="1" x="5754"/>
        <item m="1" x="5753"/>
        <item m="1" x="6263"/>
        <item m="1" x="1920"/>
        <item m="1" x="5379"/>
        <item m="1" x="6250"/>
        <item m="1" x="7858"/>
        <item m="1" x="6467"/>
        <item m="1" x="5914"/>
        <item m="1" x="7802"/>
        <item m="1" x="6083"/>
        <item m="1" x="7239"/>
        <item m="1" x="7112"/>
        <item m="1" x="6981"/>
        <item m="1" x="7759"/>
        <item m="1" x="7911"/>
        <item m="1" x="5766"/>
        <item m="1" x="7912"/>
        <item m="1" x="7913"/>
        <item m="1" x="7914"/>
        <item m="1" x="7918"/>
        <item m="1" x="7919"/>
        <item m="1" x="7631"/>
        <item m="1" x="7760"/>
        <item m="1" x="7632"/>
        <item m="1" x="7920"/>
        <item m="1" x="7630"/>
        <item m="1" x="7410"/>
        <item m="1" x="7761"/>
        <item m="1" x="7921"/>
        <item m="1" x="7751"/>
        <item m="1" x="7917"/>
        <item m="1" x="7915"/>
        <item m="1" x="7628"/>
        <item m="1" x="7916"/>
        <item m="1" x="7629"/>
        <item m="1" x="7900"/>
        <item m="1" x="7901"/>
        <item m="1" x="7409"/>
        <item m="1" x="7902"/>
        <item m="1" x="7903"/>
        <item m="1" x="7904"/>
        <item m="1" x="7905"/>
        <item m="1" x="7906"/>
        <item m="1" x="7907"/>
        <item m="1" x="7908"/>
        <item m="1" x="1979"/>
        <item m="1" x="6890"/>
        <item m="1" x="6568"/>
        <item m="1" x="7985"/>
        <item m="1" x="7134"/>
        <item m="1" x="6251"/>
        <item m="1" x="7648"/>
        <item m="1" x="6899"/>
        <item m="1" x="7428"/>
        <item m="1" x="6904"/>
        <item m="1" x="7588"/>
        <item m="1" x="6411"/>
        <item m="1" x="6645"/>
        <item m="1" x="7479"/>
        <item m="1" x="7301"/>
        <item m="1" x="6693"/>
        <item m="1" x="6089"/>
        <item m="1" x="7447"/>
        <item m="1" x="7833"/>
        <item m="1" x="7871"/>
        <item m="1" x="5767"/>
        <item m="1" x="5490"/>
        <item m="1" x="6978"/>
        <item m="1" x="6798"/>
        <item m="1" x="7976"/>
        <item m="1" x="5757"/>
        <item m="1" x="6852"/>
        <item m="1" x="6812"/>
        <item m="1" x="6853"/>
        <item m="1" x="6850"/>
        <item m="1" x="5391"/>
        <item m="1" x="5394"/>
        <item m="1" x="6877"/>
        <item m="1" x="6878"/>
        <item m="1" x="7882"/>
        <item m="1" x="7883"/>
        <item m="1" x="7884"/>
        <item m="1" x="7885"/>
        <item m="1" x="7886"/>
        <item m="1" x="6259"/>
        <item m="1" x="7887"/>
        <item m="1" x="7742"/>
        <item m="1" x="7927"/>
        <item m="1" x="7928"/>
        <item m="1" x="7929"/>
        <item m="1" x="7635"/>
        <item m="1" x="7636"/>
        <item m="1" x="7634"/>
        <item m="1" x="7633"/>
        <item m="1" x="7768"/>
        <item m="1" x="7895"/>
        <item m="1" x="7413"/>
        <item m="1" x="7452"/>
        <item m="1" x="6557"/>
        <item m="1" x="4937"/>
        <item m="1" x="4404"/>
        <item m="1" x="6391"/>
        <item m="1" x="7980"/>
        <item m="1" x="7981"/>
        <item m="1" x="7982"/>
        <item m="1" x="7984"/>
        <item m="1" x="6594"/>
        <item m="1" x="7986"/>
        <item m="1" x="7994"/>
        <item m="1" x="7993"/>
        <item m="1" x="7992"/>
        <item m="1" x="7794"/>
        <item m="1" x="5773"/>
        <item m="1" x="7619"/>
        <item m="1" x="7646"/>
        <item m="1" x="5995"/>
        <item m="1" x="7978"/>
        <item m="1" x="6684"/>
        <item m="1" x="4022"/>
        <item m="1" x="7300"/>
        <item m="1" x="5772"/>
        <item m="1" x="6695"/>
        <item m="1" x="7202"/>
        <item m="1" x="7450"/>
        <item m="1" x="7689"/>
        <item m="1" x="7847"/>
        <item m="1" x="5769"/>
        <item m="1" x="5775"/>
        <item m="1" x="5768"/>
        <item m="1" x="5774"/>
        <item m="1" x="6249"/>
        <item m="1" x="6744"/>
        <item m="1" x="6747"/>
        <item m="1" x="7930"/>
        <item m="1" x="5786"/>
        <item m="1" x="5771"/>
        <item m="1" x="6809"/>
        <item m="1" x="2405"/>
        <item m="1" x="5544"/>
        <item m="1" x="7798"/>
        <item m="1" x="6506"/>
        <item m="1" x="5997"/>
        <item m="1" x="7888"/>
        <item m="1" x="7889"/>
        <item m="1" x="7748"/>
        <item m="1" x="891"/>
        <item m="1" x="6094"/>
        <item m="1" x="7926"/>
        <item m="1" x="6095"/>
        <item m="1" x="7924"/>
        <item m="1" x="7925"/>
        <item m="1" x="6093"/>
        <item m="1" x="6886"/>
        <item m="1" x="7620"/>
        <item m="1" x="7767"/>
        <item m="1" x="7931"/>
        <item m="1" x="7621"/>
        <item m="1" x="7493"/>
        <item m="1" x="7412"/>
        <item m="1" x="7932"/>
        <item m="1" x="7933"/>
        <item m="1" x="7934"/>
        <item m="1" x="7897"/>
        <item m="1" x="7898"/>
        <item m="1" x="7975"/>
        <item m="1" x="7979"/>
        <item m="1" x="7213"/>
        <item m="1" x="7133"/>
        <item m="1" x="7774"/>
        <item m="1" x="7987"/>
        <item m="1" x="6260"/>
        <item m="1" x="7503"/>
        <item m="1" x="5783"/>
        <item m="1" x="7997"/>
        <item m="1" x="7779"/>
        <item m="1" x="6613"/>
        <item m="1" x="7782"/>
        <item m="1" x="6625"/>
        <item m="1" x="6626"/>
        <item m="1" x="5459"/>
        <item m="1" x="5802"/>
        <item m="1" x="5780"/>
        <item m="1" x="6261"/>
        <item m="1" x="6253"/>
        <item m="1" x="5828"/>
        <item m="1" x="6661"/>
        <item m="1" x="7822"/>
        <item m="1" x="4931"/>
        <item m="1" x="6694"/>
        <item m="1" x="7201"/>
        <item m="1" x="7739"/>
        <item m="1" x="7834"/>
        <item m="1" x="6252"/>
        <item m="1" x="5779"/>
        <item m="1" x="5781"/>
        <item m="1" x="7698"/>
        <item m="1" x="7702"/>
        <item m="1" x="5778"/>
        <item m="1" x="7208"/>
        <item m="1" x="5784"/>
        <item m="1" x="5546"/>
        <item m="1" x="6818"/>
        <item m="1" x="6828"/>
        <item m="1" x="7890"/>
        <item m="1" x="7545"/>
        <item m="1" x="7892"/>
        <item m="1" x="7893"/>
        <item m="1" x="7894"/>
        <item m="1" x="7896"/>
        <item m="1" x="7127"/>
        <item m="1" x="7922"/>
        <item m="1" x="7923"/>
        <item m="1" x="7977"/>
        <item m="1" x="7263"/>
        <item m="1" x="7983"/>
        <item m="1" x="6569"/>
        <item m="1" x="6985"/>
        <item m="1" x="7988"/>
        <item m="1" x="7989"/>
        <item m="1" x="7990"/>
        <item m="1" x="7991"/>
        <item m="1" x="7426"/>
        <item m="1" x="7996"/>
        <item m="1" x="3924"/>
        <item m="1" x="5072"/>
        <item m="1" x="7998"/>
        <item m="1" x="6906"/>
        <item m="1" x="6907"/>
        <item m="1" x="7778"/>
        <item m="1" x="6609"/>
        <item m="1" x="7999"/>
        <item m="1" x="7780"/>
        <item m="1" x="7781"/>
        <item m="1" x="7801"/>
        <item m="1" x="7800"/>
        <item m="1" x="7803"/>
        <item m="1" x="7651"/>
        <item m="1" x="6697"/>
        <item m="1" x="6262"/>
        <item m="1" x="5797"/>
        <item m="1" x="7544"/>
        <item m="1" x="7546"/>
        <item m="1" x="7823"/>
        <item m="1" x="5390"/>
        <item m="1" x="7827"/>
        <item m="1" x="6942"/>
        <item m="1" x="6723"/>
        <item m="1" x="7692"/>
        <item m="1" x="7846"/>
        <item m="1" x="7840"/>
        <item m="1" x="5787"/>
        <item m="1" x="7359"/>
        <item m="1" x="7360"/>
        <item m="1" x="7358"/>
        <item m="1" x="7517"/>
        <item m="1" x="6811"/>
        <item m="1" x="7473"/>
        <item m="1" x="7596"/>
        <item m="1" x="6833"/>
        <item m="1" x="6096"/>
        <item m="1" x="7838"/>
        <item m="1" x="6662"/>
        <item m="1" x="7615"/>
        <item m="1" x="7741"/>
        <item m="1" x="6526"/>
        <item m="1" x="7743"/>
        <item m="1" x="7744"/>
        <item m="1" x="7745"/>
        <item m="1" x="7746"/>
        <item m="1" x="7747"/>
        <item m="1" x="7749"/>
        <item m="1" x="7750"/>
        <item m="1" x="4929"/>
        <item m="1" x="4406"/>
        <item m="1" x="4407"/>
        <item m="1" x="6556"/>
        <item m="1" x="4928"/>
        <item m="1" x="7257"/>
        <item m="1" x="7125"/>
        <item m="1" x="7126"/>
        <item m="1" x="7627"/>
        <item m="1" x="7256"/>
        <item m="1" x="7643"/>
        <item m="1" x="4886"/>
        <item m="1" x="4408"/>
        <item m="1" x="5776"/>
        <item m="1" x="7129"/>
        <item m="1" x="7769"/>
        <item m="1" x="7770"/>
        <item m="1" x="6271"/>
        <item m="1" x="7771"/>
        <item m="1" x="7772"/>
        <item m="1" x="7773"/>
        <item m="1" x="6585"/>
        <item m="1" x="5022"/>
        <item m="1" x="5794"/>
        <item m="1" x="6266"/>
        <item m="1" x="7264"/>
        <item m="1" x="7775"/>
        <item m="1" x="7776"/>
        <item m="1" x="6905"/>
        <item m="1" x="7777"/>
        <item m="1" x="2052"/>
        <item m="1" x="7160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5"/>
        <item m="1" x="7796"/>
        <item m="1" x="7797"/>
        <item m="1" x="7799"/>
        <item m="1" x="7804"/>
        <item m="1" x="6634"/>
        <item m="1" x="2469"/>
        <item m="1" x="5795"/>
        <item m="1" x="5792"/>
        <item m="1" x="6635"/>
        <item m="1" x="6097"/>
        <item m="1" x="6092"/>
        <item m="1" x="6090"/>
        <item m="1" x="7805"/>
        <item m="1" x="7806"/>
        <item m="1" x="7807"/>
        <item m="1" x="7808"/>
        <item m="1" x="3365"/>
        <item m="1" x="7809"/>
        <item m="1" x="7810"/>
        <item m="1" x="7811"/>
        <item m="1" x="7812"/>
        <item m="1" x="7813"/>
        <item m="1" x="7814"/>
        <item m="1" x="7815"/>
        <item m="1" x="5858"/>
        <item m="1" x="7818"/>
        <item m="1" x="7819"/>
        <item m="1" x="6652"/>
        <item m="1" x="6654"/>
        <item m="1" x="7820"/>
        <item m="1" x="7821"/>
        <item m="1" x="6669"/>
        <item m="1" x="6670"/>
        <item m="1" x="6671"/>
        <item m="1" x="7824"/>
        <item m="1" x="7661"/>
        <item m="1" x="7662"/>
        <item m="1" x="7663"/>
        <item m="1" x="7664"/>
        <item m="1" x="7665"/>
        <item m="1" x="7185"/>
        <item m="1" x="5471"/>
        <item m="1" x="6708"/>
        <item m="1" x="5554"/>
        <item m="1" x="7828"/>
        <item m="1" x="7446"/>
        <item m="1" x="6975"/>
        <item m="1" x="7832"/>
        <item m="1" x="7836"/>
        <item m="1" x="7837"/>
        <item m="1" x="7839"/>
        <item m="1" x="6255"/>
        <item m="1" x="7458"/>
        <item m="1" x="7841"/>
        <item m="1" x="6257"/>
        <item m="1" x="7690"/>
        <item m="1" x="6258"/>
        <item m="1" x="7842"/>
        <item m="1" x="7843"/>
        <item m="1" x="7844"/>
        <item m="1" x="5089"/>
        <item m="1" x="6256"/>
        <item m="1" x="7845"/>
        <item m="1" x="7693"/>
        <item m="1" x="7848"/>
        <item m="1" x="7849"/>
        <item m="1" x="5423"/>
        <item m="1" x="6919"/>
        <item m="1" x="6091"/>
        <item m="1" x="5770"/>
        <item m="1" x="7461"/>
        <item m="1" x="7850"/>
        <item m="1" x="7851"/>
        <item m="1" x="522"/>
        <item m="1" x="7704"/>
        <item m="1" x="5793"/>
        <item m="1" x="7852"/>
        <item m="1" x="7853"/>
        <item m="1" x="6570"/>
        <item m="1" x="7854"/>
        <item m="1" x="7353"/>
        <item m="1" x="7855"/>
        <item m="1" x="6787"/>
        <item m="1" x="5495"/>
        <item m="1" x="7857"/>
        <item m="1" x="7467"/>
        <item m="1" x="7714"/>
        <item m="1" x="7715"/>
        <item m="1" x="7716"/>
        <item m="1" x="7075"/>
        <item m="1" x="7859"/>
        <item m="1" x="7860"/>
        <item m="1" x="7593"/>
        <item m="1" x="7720"/>
        <item m="1" x="7721"/>
        <item m="1" x="7862"/>
        <item m="1" x="7863"/>
        <item m="1" x="7864"/>
        <item m="1" x="7865"/>
        <item m="1" x="7866"/>
        <item m="1" x="7867"/>
        <item m="1" x="6814"/>
        <item m="1" x="7868"/>
        <item m="1" x="7869"/>
        <item m="1" x="7870"/>
        <item m="1" x="6829"/>
        <item m="1" x="7872"/>
        <item m="1" x="7874"/>
        <item m="1" x="7875"/>
        <item m="1" x="7876"/>
        <item m="1" x="7877"/>
        <item m="1" x="7878"/>
        <item m="1" x="6854"/>
        <item m="1" x="7879"/>
        <item m="1" x="7880"/>
        <item m="1" x="7881"/>
        <item m="1" x="6861"/>
        <item m="1" x="6864"/>
        <item m="1" x="6866"/>
        <item m="1" x="6874"/>
        <item m="1" x="6875"/>
        <item m="1" x="7616"/>
        <item m="1" x="6524"/>
        <item m="1" x="7490"/>
        <item m="1" x="6529"/>
        <item m="1" x="7617"/>
        <item m="1" x="1980"/>
        <item m="1" x="7496"/>
        <item m="1" x="7495"/>
        <item m="1" x="7499"/>
        <item m="1" x="7591"/>
        <item m="1" x="6602"/>
        <item m="1" x="7509"/>
        <item m="1" x="7508"/>
        <item m="1" x="7507"/>
        <item m="1" x="7506"/>
        <item m="1" x="7505"/>
        <item m="1" x="6610"/>
        <item m="1" x="6993"/>
        <item m="1" x="7511"/>
        <item m="1" x="7510"/>
        <item m="1" x="7649"/>
        <item m="1" x="7650"/>
        <item m="1" x="7518"/>
        <item m="1" x="7514"/>
        <item m="1" x="7516"/>
        <item m="1" x="5996"/>
        <item m="1" x="6633"/>
        <item m="1" x="7522"/>
        <item m="1" x="1524"/>
        <item m="1" x="5796"/>
        <item m="1" x="7526"/>
        <item m="1" x="7527"/>
        <item m="1" x="7528"/>
        <item m="1" x="7529"/>
        <item m="1" x="7434"/>
        <item m="1" x="7538"/>
        <item m="1" x="7539"/>
        <item m="1" x="7540"/>
        <item m="1" x="7541"/>
        <item m="1" x="7542"/>
        <item m="1" x="6649"/>
        <item m="1" x="6647"/>
        <item m="1" x="6648"/>
        <item m="1" x="7654"/>
        <item m="1" x="7656"/>
        <item m="1" x="7657"/>
        <item m="1" x="6917"/>
        <item m="1" x="7658"/>
        <item m="1" x="7659"/>
        <item m="1" x="7660"/>
        <item m="1" x="6424"/>
        <item m="1" x="7667"/>
        <item m="1" x="7668"/>
        <item m="1" x="7669"/>
        <item m="1" x="6098"/>
        <item m="1" x="7676"/>
        <item m="1" x="7677"/>
        <item m="1" x="7678"/>
        <item m="1" x="7679"/>
        <item m="1" x="6706"/>
        <item m="1" x="6270"/>
        <item m="1" x="6707"/>
        <item m="1" x="7104"/>
        <item m="1" x="5509"/>
        <item m="1" x="6705"/>
        <item m="1" x="7680"/>
        <item m="1" x="7681"/>
        <item m="1" x="2418"/>
        <item m="1" x="7554"/>
        <item m="1" x="7555"/>
        <item m="1" x="7682"/>
        <item m="1" x="7445"/>
        <item m="1" x="7488"/>
        <item m="1" x="7560"/>
        <item m="1" x="6804"/>
        <item m="1" x="6892"/>
        <item m="1" x="6918"/>
        <item m="1" x="2404"/>
        <item m="1" x="7683"/>
        <item m="1" x="7563"/>
        <item m="1" x="6264"/>
        <item m="1" x="7685"/>
        <item m="1" x="6268"/>
        <item m="1" x="6265"/>
        <item m="1" x="6267"/>
        <item m="1" x="7686"/>
        <item m="1" x="6100"/>
        <item m="1" x="6947"/>
        <item m="1" x="7687"/>
        <item m="1" x="7688"/>
        <item m="1" x="7583"/>
        <item m="1" x="7691"/>
        <item m="1" x="7694"/>
        <item m="1" x="7574"/>
        <item m="1" x="7457"/>
        <item m="1" x="5798"/>
        <item m="1" x="7696"/>
        <item m="1" x="7577"/>
        <item m="1" x="7575"/>
        <item m="1" x="6776"/>
        <item m="1" x="5799"/>
        <item m="1" x="7699"/>
        <item m="1" x="7700"/>
        <item m="1" x="7701"/>
        <item m="1" x="7703"/>
        <item m="1" x="7706"/>
        <item m="1" x="7707"/>
        <item m="1" x="7708"/>
        <item m="1" x="7709"/>
        <item m="1" x="7710"/>
        <item m="1" x="7711"/>
        <item m="1" x="7712"/>
        <item m="1" x="7713"/>
        <item m="1" x="7717"/>
        <item m="1" x="6796"/>
        <item m="1" x="7587"/>
        <item m="1" x="7718"/>
        <item m="1" x="7719"/>
        <item m="1" x="5497"/>
        <item m="1" x="7722"/>
        <item m="1" x="7723"/>
        <item m="1" x="6805"/>
        <item m="1" x="7724"/>
        <item m="1" x="7725"/>
        <item m="1" x="7726"/>
        <item m="1" x="7727"/>
        <item m="1" x="7728"/>
        <item m="1" x="7729"/>
        <item m="1" x="7730"/>
        <item m="1" x="7594"/>
        <item m="1" x="7731"/>
        <item m="1" x="7732"/>
        <item m="1" x="7733"/>
        <item m="1" x="7734"/>
        <item m="1" x="7735"/>
        <item m="1" x="7736"/>
        <item m="1" x="7595"/>
        <item m="1" x="7737"/>
        <item m="1" x="7738"/>
        <item m="1" x="6099"/>
        <item m="1" x="5998"/>
        <item m="1" x="7103"/>
        <item m="1" x="5549"/>
        <item m="1" x="7603"/>
        <item m="1" x="7604"/>
        <item m="1" x="7235"/>
        <item m="1" x="7602"/>
        <item m="1" x="6835"/>
        <item m="1" x="7605"/>
        <item m="1" x="7102"/>
        <item m="1" x="7610"/>
        <item m="1" x="7611"/>
        <item m="1" x="7612"/>
        <item m="1" x="7613"/>
        <item m="1" x="7614"/>
        <item m="1" x="7489"/>
        <item m="1" x="5777"/>
        <item m="1" x="7740"/>
        <item m="1" x="6872"/>
        <item m="1" x="6979"/>
        <item m="1" x="4774"/>
        <item m="1" x="7494"/>
        <item m="1" x="7497"/>
        <item m="1" x="7498"/>
        <item m="1" x="7131"/>
        <item m="1" x="6388"/>
        <item m="1" x="7500"/>
        <item m="1" x="7501"/>
        <item m="1" x="6640"/>
        <item m="1" x="6767"/>
        <item m="1" x="7502"/>
        <item m="1" x="7114"/>
        <item m="1" x="7504"/>
        <item m="1" x="7429"/>
        <item m="1" x="6612"/>
        <item m="1" x="6619"/>
        <item m="1" x="7512"/>
        <item m="1" x="7513"/>
        <item m="1" x="7519"/>
        <item m="1" x="7520"/>
        <item m="1" x="6989"/>
        <item m="1" x="6580"/>
        <item m="1" x="7521"/>
        <item m="1" x="7006"/>
        <item m="1" x="7523"/>
        <item m="1" x="7524"/>
        <item m="1" x="7525"/>
        <item m="1" x="6412"/>
        <item m="1" x="7530"/>
        <item m="1" x="7531"/>
        <item m="1" x="7532"/>
        <item m="1" x="7533"/>
        <item m="1" x="7534"/>
        <item m="1" x="7535"/>
        <item m="1" x="7536"/>
        <item m="1" x="7537"/>
        <item m="1" x="6655"/>
        <item m="1" x="7543"/>
        <item m="1" x="6952"/>
        <item m="1" x="7547"/>
        <item m="1" x="7438"/>
        <item m="1" x="7332"/>
        <item m="1" x="6692"/>
        <item m="1" x="7548"/>
        <item m="1" x="7549"/>
        <item m="1" x="7550"/>
        <item m="1" x="7551"/>
        <item m="1" x="7552"/>
        <item m="1" x="7553"/>
        <item m="1" x="6699"/>
        <item m="1" x="7441"/>
        <item m="1" x="6709"/>
        <item m="1" x="7556"/>
        <item m="1" x="7557"/>
        <item m="1" x="7558"/>
        <item m="1" x="7021"/>
        <item m="1" x="7020"/>
        <item m="1" x="7311"/>
        <item m="1" x="7194"/>
        <item m="1" x="7559"/>
        <item m="1" x="7312"/>
        <item m="1" x="6725"/>
        <item m="1" x="7561"/>
        <item m="1" x="7562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456"/>
        <item m="1" x="5791"/>
        <item m="1" x="5782"/>
        <item m="1" x="7576"/>
        <item m="1" x="7579"/>
        <item m="1" x="6939"/>
        <item m="1" x="6772"/>
        <item m="1" x="6773"/>
        <item m="1" x="6775"/>
        <item m="1" x="6774"/>
        <item m="1" x="6768"/>
        <item m="1" x="6769"/>
        <item m="1" x="6770"/>
        <item m="1" x="6771"/>
        <item m="1" x="7580"/>
        <item m="1" x="7270"/>
        <item m="1" x="7581"/>
        <item m="1" x="7582"/>
        <item m="1" x="7469"/>
        <item m="1" x="7584"/>
        <item m="1" x="7585"/>
        <item m="1" x="7068"/>
        <item m="1" x="7364"/>
        <item m="1" x="7363"/>
        <item m="1" x="6785"/>
        <item m="1" x="7465"/>
        <item m="1" x="7466"/>
        <item m="1" x="7074"/>
        <item m="1" x="7586"/>
        <item m="1" x="7077"/>
        <item m="1" x="5504"/>
        <item m="1" x="7589"/>
        <item m="1" x="7590"/>
        <item m="1" x="7113"/>
        <item m="1" x="7224"/>
        <item m="1" x="5695"/>
        <item m="1" x="7592"/>
        <item m="1" x="6810"/>
        <item m="1" x="7471"/>
        <item m="1" x="7470"/>
        <item m="1" x="7474"/>
        <item m="1" x="6813"/>
        <item m="1" x="7597"/>
        <item m="1" x="7093"/>
        <item m="1" x="6815"/>
        <item m="1" x="7598"/>
        <item m="1" x="7599"/>
        <item m="1" x="6786"/>
        <item m="1" x="7600"/>
        <item m="1" x="7601"/>
        <item m="1" x="7606"/>
        <item m="1" x="7607"/>
        <item m="1" x="7608"/>
        <item m="1" x="7609"/>
        <item m="1" x="7105"/>
        <item m="1" x="6870"/>
        <item m="1" x="6871"/>
        <item m="1" x="7111"/>
        <item m="1" x="7406"/>
        <item m="1" x="7407"/>
        <item m="1" x="7254"/>
        <item m="1" x="7408"/>
        <item m="1" x="6881"/>
        <item m="1" x="6882"/>
        <item m="1" x="6883"/>
        <item m="1" x="7421"/>
        <item m="1" x="7422"/>
        <item m="1" x="7309"/>
        <item m="1" x="4447"/>
        <item m="1" x="6583"/>
        <item m="1" x="7130"/>
        <item m="1" x="6576"/>
        <item m="1" x="5789"/>
        <item m="1" x="6579"/>
        <item m="1" x="7132"/>
        <item m="1" x="4222"/>
        <item m="1" x="6581"/>
        <item m="1" x="6577"/>
        <item m="1" x="6578"/>
        <item m="1" x="6582"/>
        <item m="1" x="6575"/>
        <item m="1" x="7145"/>
        <item m="1" x="7139"/>
        <item m="1" x="7138"/>
        <item m="1" x="7147"/>
        <item m="1" x="7148"/>
        <item m="1" x="6595"/>
        <item m="1" x="6597"/>
        <item m="1" x="6901"/>
        <item m="1" x="6902"/>
        <item m="1" x="7423"/>
        <item m="1" x="6900"/>
        <item m="1" x="7424"/>
        <item m="1" x="7281"/>
        <item m="1" x="6832"/>
        <item m="1" x="7425"/>
        <item m="1" x="5034"/>
        <item m="1" x="6909"/>
        <item m="1" x="6908"/>
        <item m="1" x="7430"/>
        <item m="1" x="6608"/>
        <item m="1" x="5807"/>
        <item m="1" x="6618"/>
        <item m="1" x="7267"/>
        <item m="1" x="7161"/>
        <item m="1" x="7431"/>
        <item m="1" x="6914"/>
        <item m="1" x="6624"/>
        <item m="1" x="7275"/>
        <item m="1" x="7273"/>
        <item m="1" x="7274"/>
        <item m="1" x="7276"/>
        <item m="1" x="7272"/>
        <item m="1" x="7271"/>
        <item m="1" x="7432"/>
        <item m="1" x="6923"/>
        <item m="1" x="5811"/>
        <item m="1" x="7433"/>
        <item m="1" x="6414"/>
        <item m="1" x="7282"/>
        <item m="1" x="7283"/>
        <item m="1" x="7040"/>
        <item m="1" x="7435"/>
        <item m="1" x="7280"/>
        <item m="1" x="6646"/>
        <item m="1" x="7278"/>
        <item m="1" x="7279"/>
        <item m="1" x="7163"/>
        <item m="1" x="7286"/>
        <item m="1" x="7287"/>
        <item m="1" x="7436"/>
        <item m="1" x="7294"/>
        <item m="1" x="7293"/>
        <item m="1" x="7437"/>
        <item m="1" x="7296"/>
        <item m="1" x="6925"/>
        <item m="1" x="7297"/>
        <item m="1" x="7305"/>
        <item m="1" x="7302"/>
        <item m="1" x="7439"/>
        <item m="1" x="6929"/>
        <item m="1" x="7306"/>
        <item m="1" x="7307"/>
        <item m="1" x="7440"/>
        <item m="1" x="7186"/>
        <item m="1" x="7442"/>
        <item m="1" x="6431"/>
        <item m="1" x="7308"/>
        <item m="1" x="7443"/>
        <item m="1" x="7444"/>
        <item m="1" x="7314"/>
        <item m="1" x="7448"/>
        <item m="1" x="7316"/>
        <item m="1" x="7449"/>
        <item m="1" x="7210"/>
        <item m="1" x="5788"/>
        <item m="1" x="7451"/>
        <item m="1" x="7323"/>
        <item m="1" x="7324"/>
        <item m="1" x="7319"/>
        <item m="1" x="7320"/>
        <item m="1" x="7317"/>
        <item m="1" x="7333"/>
        <item m="1" x="7335"/>
        <item m="1" x="7336"/>
        <item m="1" x="7337"/>
        <item m="1" x="7338"/>
        <item m="1" x="7455"/>
        <item m="1" x="7329"/>
        <item m="1" x="6272"/>
        <item m="1" x="7459"/>
        <item m="1" x="7045"/>
        <item m="1" x="7328"/>
        <item m="1" x="7327"/>
        <item m="1" x="7044"/>
        <item m="1" x="7460"/>
        <item m="1" x="5805"/>
        <item m="1" x="6269"/>
        <item m="1" x="6956"/>
        <item m="1" x="7351"/>
        <item m="1" x="5785"/>
        <item m="1" x="5803"/>
        <item m="1" x="6763"/>
        <item m="1" x="5804"/>
        <item m="1" x="6764"/>
        <item m="1" x="7462"/>
        <item m="1" x="7212"/>
        <item m="1" x="7354"/>
        <item m="1" x="7215"/>
        <item m="1" x="7357"/>
        <item m="1" x="7211"/>
        <item m="1" x="6940"/>
        <item m="1" x="7463"/>
        <item m="1" x="7143"/>
        <item m="1" x="7464"/>
        <item m="1" x="4449"/>
        <item m="1" x="7362"/>
        <item m="1" x="7365"/>
        <item m="1" x="7366"/>
        <item m="1" x="7367"/>
        <item m="1" x="6963"/>
        <item m="1" x="7374"/>
        <item m="1" x="7375"/>
        <item m="1" x="7076"/>
        <item m="1" x="7372"/>
        <item m="1" x="7243"/>
        <item m="1" x="5505"/>
        <item m="1" x="7373"/>
        <item m="1" x="7376"/>
        <item m="1" x="7079"/>
        <item m="1" x="7227"/>
        <item m="1" x="5393"/>
        <item m="1" x="5392"/>
        <item m="1" x="7379"/>
        <item m="1" x="7468"/>
        <item m="1" x="7384"/>
        <item m="1" x="7475"/>
        <item m="1" x="7476"/>
        <item m="1" x="7477"/>
        <item m="1" x="7091"/>
        <item m="1" x="7389"/>
        <item m="1" x="7388"/>
        <item m="1" x="7393"/>
        <item m="1" x="6820"/>
        <item m="1" x="7396"/>
        <item m="1" x="6821"/>
        <item m="1" x="7096"/>
        <item m="1" x="5735"/>
        <item m="1" x="5737"/>
        <item m="1" x="6824"/>
        <item m="1" x="6825"/>
        <item m="1" x="6822"/>
        <item m="1" x="6831"/>
        <item m="1" x="6837"/>
        <item m="1" x="6101"/>
        <item m="1" x="7240"/>
        <item m="1" x="7242"/>
        <item m="1" x="7241"/>
        <item m="1" x="7480"/>
        <item m="1" x="7481"/>
        <item m="1" x="7482"/>
        <item m="1" x="7483"/>
        <item m="1" x="7484"/>
        <item m="1" x="7485"/>
        <item m="1" x="6974"/>
        <item m="1" x="7401"/>
        <item m="1" x="7246"/>
        <item m="1" x="7486"/>
        <item m="1" x="7487"/>
        <item m="1" x="5806"/>
        <item m="1" x="5810"/>
        <item m="1" x="7405"/>
        <item m="1" x="7404"/>
        <item m="1" x="7403"/>
        <item m="1" x="6859"/>
        <item m="1" x="5451"/>
        <item m="1" x="6873"/>
        <item m="1" x="5395"/>
        <item m="1" x="7251"/>
        <item m="1" x="7252"/>
        <item m="1" x="7253"/>
        <item m="1" x="7255"/>
        <item m="1" x="6884"/>
        <item m="1" x="6566"/>
        <item m="1" x="7258"/>
        <item m="1" x="7142"/>
        <item m="1" x="7141"/>
        <item m="1" x="7259"/>
        <item m="1" x="6571"/>
        <item m="1" x="7260"/>
        <item m="1" x="7261"/>
        <item m="1" x="7146"/>
        <item m="1" x="7144"/>
        <item m="1" x="6103"/>
        <item m="1" x="7262"/>
        <item m="1" x="6004"/>
        <item m="1" x="6590"/>
        <item m="1" x="6894"/>
        <item m="1" x="7265"/>
        <item m="1" x="7266"/>
        <item m="1" x="7268"/>
        <item m="1" x="7269"/>
        <item m="1" x="6002"/>
        <item m="1" x="6011"/>
        <item m="1" x="7277"/>
        <item m="1" x="7004"/>
        <item m="1" x="6273"/>
        <item m="1" x="7008"/>
        <item m="1" x="7284"/>
        <item m="1" x="7009"/>
        <item m="1" x="7285"/>
        <item m="1" x="7288"/>
        <item m="1" x="7289"/>
        <item m="1" x="7290"/>
        <item m="1" x="7291"/>
        <item m="1" x="7292"/>
        <item m="1" x="7295"/>
        <item m="1" x="6276"/>
        <item m="1" x="6681"/>
        <item m="1" x="6682"/>
        <item m="1" x="6680"/>
        <item m="1" x="7298"/>
        <item m="1" x="7299"/>
        <item m="1" x="7304"/>
        <item m="1" x="6003"/>
        <item m="1" x="7310"/>
        <item m="1" x="6926"/>
        <item m="1" x="7313"/>
        <item m="1" x="7193"/>
        <item m="1" x="7030"/>
        <item m="1" x="7315"/>
        <item m="1" x="7318"/>
        <item m="1" x="7321"/>
        <item m="1" x="7322"/>
        <item m="1" x="7047"/>
        <item m="1" x="7046"/>
        <item m="1" x="7048"/>
        <item m="1" x="7049"/>
        <item m="1" x="7325"/>
        <item m="1" x="7050"/>
        <item m="1" x="7326"/>
        <item m="1" x="7330"/>
        <item m="1" x="6941"/>
        <item m="1" x="7039"/>
        <item m="1" x="7331"/>
        <item m="1" x="7334"/>
        <item m="1" x="5816"/>
        <item m="1" x="7339"/>
        <item m="1" x="7340"/>
        <item m="1" x="7341"/>
        <item m="1" x="7342"/>
        <item m="1" x="7343"/>
        <item m="1" x="7344"/>
        <item m="1" x="5812"/>
        <item m="1" x="5813"/>
        <item m="1" x="7345"/>
        <item m="1" x="7346"/>
        <item m="1" x="7347"/>
        <item m="1" x="7348"/>
        <item m="1" x="7349"/>
        <item m="1" x="7350"/>
        <item m="1" x="5818"/>
        <item m="1" x="6766"/>
        <item m="1" x="6761"/>
        <item m="1" x="6765"/>
        <item m="1" x="6762"/>
        <item m="1" x="7352"/>
        <item m="1" x="7209"/>
        <item m="1" x="7355"/>
        <item m="1" x="7214"/>
        <item m="1" x="7356"/>
        <item m="1" x="6779"/>
        <item m="1" x="7361"/>
        <item m="1" x="7368"/>
        <item m="1" x="7071"/>
        <item m="1" x="7369"/>
        <item m="1" x="7370"/>
        <item m="1" x="7371"/>
        <item m="1" x="5800"/>
        <item m="1" x="7377"/>
        <item m="1" x="7081"/>
        <item m="1" x="6104"/>
        <item m="1" x="6808"/>
        <item m="1" x="5512"/>
        <item m="1" x="5511"/>
        <item m="1" x="4075"/>
        <item m="1" x="7228"/>
        <item m="1" x="7088"/>
        <item m="1" x="7086"/>
        <item m="1" x="7087"/>
        <item m="1" x="7083"/>
        <item m="1" x="7378"/>
        <item m="1" x="6803"/>
        <item m="1" x="7380"/>
        <item m="1" x="7381"/>
        <item m="1" x="7382"/>
        <item m="1" x="7383"/>
        <item m="1" x="5719"/>
        <item m="1" x="7385"/>
        <item m="1" x="7386"/>
        <item m="1" x="7387"/>
        <item m="1" x="6102"/>
        <item m="1" x="7231"/>
        <item m="1" x="5430"/>
        <item m="1" x="7390"/>
        <item m="1" x="7391"/>
        <item m="1" x="7392"/>
        <item m="1" x="7394"/>
        <item m="1" x="7395"/>
        <item m="1" x="6927"/>
        <item m="1" x="7099"/>
        <item m="1" x="6838"/>
        <item m="1" x="6000"/>
        <item m="1" x="7397"/>
        <item m="1" x="6849"/>
        <item m="1" x="6848"/>
        <item m="1" x="7399"/>
        <item m="1" x="7400"/>
        <item m="1" x="7402"/>
        <item m="1" x="6851"/>
        <item m="1" x="6868"/>
        <item m="1" x="6867"/>
        <item m="1" x="7115"/>
        <item m="1" x="7116"/>
        <item m="1" x="7117"/>
        <item m="1" x="7118"/>
        <item m="1" x="7119"/>
        <item m="1" x="7120"/>
        <item m="1" x="7121"/>
        <item m="1" x="7123"/>
        <item m="1" x="6531"/>
        <item m="1" x="6563"/>
        <item m="1" x="7128"/>
        <item m="1" x="6572"/>
        <item m="1" x="7135"/>
        <item m="1" x="7136"/>
        <item m="1" x="7137"/>
        <item m="1" x="7140"/>
        <item m="1" x="6588"/>
        <item m="1" x="6589"/>
        <item m="1" x="6105"/>
        <item m="1" x="6984"/>
        <item m="1" x="7150"/>
        <item m="1" x="5834"/>
        <item m="1" x="6605"/>
        <item m="1" x="7151"/>
        <item m="1" x="7152"/>
        <item m="1" x="7153"/>
        <item m="1" x="7154"/>
        <item m="1" x="7155"/>
        <item m="1" x="7156"/>
        <item m="1" x="6617"/>
        <item m="1" x="7157"/>
        <item m="1" x="7158"/>
        <item m="1" x="7159"/>
        <item m="1" x="6622"/>
        <item m="1" x="6912"/>
        <item m="1" x="6913"/>
        <item m="1" x="7000"/>
        <item m="1" x="7002"/>
        <item m="1" x="6922"/>
        <item m="1" x="7162"/>
        <item m="1" x="7164"/>
        <item m="1" x="7165"/>
        <item m="1" x="7166"/>
        <item m="1" x="6277"/>
        <item m="1" x="6278"/>
        <item m="1" x="7167"/>
        <item m="1" x="6865"/>
        <item m="1" x="7168"/>
        <item m="1" x="7169"/>
        <item m="1" x="7170"/>
        <item m="1" x="7171"/>
        <item m="1" x="7172"/>
        <item m="1" x="7173"/>
        <item m="1" x="7174"/>
        <item m="1" x="5640"/>
        <item m="1" x="7175"/>
        <item m="1" x="7176"/>
        <item m="1" x="7177"/>
        <item m="1" x="7178"/>
        <item m="1" x="7017"/>
        <item m="1" x="6676"/>
        <item m="1" x="6675"/>
        <item m="1" x="6275"/>
        <item m="1" x="5360"/>
        <item m="1" x="5359"/>
        <item m="1" x="4600"/>
        <item m="1" x="7179"/>
        <item m="1" x="7180"/>
        <item m="1" x="6791"/>
        <item m="1" x="7181"/>
        <item m="1" x="6400"/>
        <item m="1" x="6930"/>
        <item m="1" x="6931"/>
        <item m="1" x="6932"/>
        <item m="1" x="6933"/>
        <item m="1" x="7182"/>
        <item m="1" x="7183"/>
        <item m="1" x="7019"/>
        <item m="1" x="6010"/>
        <item m="1" x="7188"/>
        <item m="1" x="7189"/>
        <item m="1" x="7190"/>
        <item m="1" x="7191"/>
        <item m="1" x="7192"/>
        <item m="1" x="7024"/>
        <item m="1" x="7195"/>
        <item m="1" x="7196"/>
        <item m="1" x="7197"/>
        <item m="1" x="7198"/>
        <item m="1" x="7199"/>
        <item m="1" x="6727"/>
        <item m="1" x="4925"/>
        <item m="1" x="7200"/>
        <item m="1" x="6731"/>
        <item m="1" x="6730"/>
        <item m="1" x="7032"/>
        <item m="1" x="7203"/>
        <item m="1" x="7204"/>
        <item m="1" x="7205"/>
        <item m="1" x="7206"/>
        <item m="1" x="7051"/>
        <item m="1" x="7052"/>
        <item m="1" x="6587"/>
        <item m="1" x="7038"/>
        <item m="1" x="7037"/>
        <item m="1" x="6759"/>
        <item m="1" x="7207"/>
        <item m="1" x="5822"/>
        <item m="1" x="7062"/>
        <item m="1" x="5673"/>
        <item m="1" x="5674"/>
        <item m="1" x="6760"/>
        <item m="1" x="5677"/>
        <item m="1" x="3495"/>
        <item m="1" x="6464"/>
        <item m="1" x="5819"/>
        <item m="1" x="6960"/>
        <item m="1" x="5565"/>
        <item m="1" x="6961"/>
        <item m="1" x="6962"/>
        <item m="1" x="7069"/>
        <item m="1" x="7216"/>
        <item m="1" x="7217"/>
        <item m="1" x="6788"/>
        <item m="1" x="7218"/>
        <item m="1" x="7219"/>
        <item m="1" x="7220"/>
        <item m="1" x="7221"/>
        <item m="1" x="7222"/>
        <item m="1" x="7223"/>
        <item m="1" x="6806"/>
        <item m="1" x="7225"/>
        <item m="1" x="7226"/>
        <item m="1" x="7082"/>
        <item m="1" x="6274"/>
        <item m="1" x="7229"/>
        <item m="1" x="7230"/>
        <item m="1" x="6971"/>
        <item m="1" x="6487"/>
        <item m="1" x="7092"/>
        <item m="1" x="7232"/>
        <item m="1" x="5547"/>
        <item m="1" x="6972"/>
        <item m="1" x="7233"/>
        <item m="1" x="7234"/>
        <item m="1" x="7095"/>
        <item m="1" x="6106"/>
        <item m="1" x="7236"/>
        <item m="1" x="7237"/>
        <item m="1" x="7238"/>
        <item m="1" x="7100"/>
        <item m="1" x="7101"/>
        <item m="1" x="6830"/>
        <item m="1" x="6834"/>
        <item m="1" x="6839"/>
        <item m="1" x="6847"/>
        <item m="1" x="6846"/>
        <item m="1" x="6845"/>
        <item m="1" x="6509"/>
        <item m="1" x="7244"/>
        <item m="1" x="7245"/>
        <item m="1" x="7247"/>
        <item m="1" x="6001"/>
        <item m="1" x="7248"/>
        <item m="1" x="7249"/>
        <item m="1" x="7250"/>
        <item m="1" x="5820"/>
        <item m="1" x="5821"/>
        <item m="1" x="6863"/>
        <item m="1" x="6869"/>
        <item m="1" x="6977"/>
        <item m="1" x="6980"/>
        <item m="1" x="6982"/>
        <item m="1" x="6983"/>
        <item m="1" x="6584"/>
        <item m="1" x="6574"/>
        <item m="1" x="6986"/>
        <item m="1" x="6895"/>
        <item m="1" x="6896"/>
        <item m="1" x="6987"/>
        <item m="1" x="6988"/>
        <item m="1" x="6910"/>
        <item m="1" x="6990"/>
        <item m="1" x="6991"/>
        <item m="1" x="6992"/>
        <item m="1" x="6282"/>
        <item m="1" x="6911"/>
        <item m="1" x="6994"/>
        <item m="1" x="6995"/>
        <item m="1" x="6996"/>
        <item m="1" x="6997"/>
        <item m="1" x="6998"/>
        <item m="1" x="6999"/>
        <item m="1" x="7001"/>
        <item m="1" x="6012"/>
        <item m="1" x="7003"/>
        <item m="1" x="7005"/>
        <item m="1" x="7007"/>
        <item m="1" x="6005"/>
        <item m="1" x="6107"/>
        <item m="1" x="6396"/>
        <item m="1" x="7010"/>
        <item m="1" x="6279"/>
        <item m="1" x="6280"/>
        <item m="1" x="6281"/>
        <item m="1" x="7011"/>
        <item m="1" x="7012"/>
        <item m="1" x="7013"/>
        <item m="1" x="7014"/>
        <item m="1" x="7015"/>
        <item m="1" x="7016"/>
        <item m="1" x="6650"/>
        <item m="1" x="6656"/>
        <item m="1" x="6657"/>
        <item m="1" x="6658"/>
        <item m="1" x="6659"/>
        <item m="1" x="6660"/>
        <item m="1" x="6672"/>
        <item m="1" x="6673"/>
        <item m="1" x="6674"/>
        <item m="1" x="7018"/>
        <item m="1" x="6013"/>
        <item m="1" x="6916"/>
        <item m="1" x="6015"/>
        <item m="1" x="6017"/>
        <item m="1" x="5130"/>
        <item m="1" x="3540"/>
        <item m="1" x="7022"/>
        <item m="1" x="7023"/>
        <item m="1" x="6712"/>
        <item m="1" x="6713"/>
        <item m="1" x="5376"/>
        <item m="1" x="7025"/>
        <item m="1" x="7026"/>
        <item m="1" x="7027"/>
        <item m="1" x="7028"/>
        <item m="1" x="7031"/>
        <item m="1" x="6944"/>
        <item m="1" x="6729"/>
        <item m="1" x="7033"/>
        <item m="1" x="7034"/>
        <item m="1" x="7035"/>
        <item m="1" x="7036"/>
        <item m="1" x="6945"/>
        <item m="1" x="7041"/>
        <item m="1" x="7042"/>
        <item m="1" x="7043"/>
        <item m="1" x="6455"/>
        <item m="1" x="6456"/>
        <item m="1" x="7053"/>
        <item m="1" x="7054"/>
        <item m="1" x="7055"/>
        <item m="1" x="7056"/>
        <item m="1" x="7057"/>
        <item m="1" x="6285"/>
        <item m="1" x="5823"/>
        <item m="1" x="7058"/>
        <item m="1" x="7059"/>
        <item m="1" x="7060"/>
        <item m="1" x="6014"/>
        <item m="1" x="7061"/>
        <item m="1" x="5852"/>
        <item m="1" x="5396"/>
        <item m="1" x="5826"/>
        <item m="1" x="6756"/>
        <item m="1" x="6757"/>
        <item m="1" x="6758"/>
        <item m="1" x="7063"/>
        <item m="1" x="7064"/>
        <item m="1" x="5502"/>
        <item m="1" x="7065"/>
        <item m="1" x="7066"/>
        <item m="1" x="7067"/>
        <item m="1" x="6964"/>
        <item m="1" x="6965"/>
        <item m="1" x="6789"/>
        <item m="1" x="7072"/>
        <item m="1" x="7073"/>
        <item m="1" x="5809"/>
        <item m="1" x="6968"/>
        <item m="1" x="7078"/>
        <item m="1" x="5827"/>
        <item m="1" x="7080"/>
        <item m="1" x="7089"/>
        <item m="1" x="7090"/>
        <item m="1" x="5718"/>
        <item m="1" x="6488"/>
        <item m="1" x="6973"/>
        <item m="1" x="7094"/>
        <item m="1" x="7097"/>
        <item m="1" x="7098"/>
        <item m="1" x="4396"/>
        <item m="1" x="7106"/>
        <item m="1" x="7107"/>
        <item m="1" x="6858"/>
        <item m="1" x="6862"/>
        <item m="1" x="7109"/>
        <item m="1" x="6879"/>
        <item m="1" x="6880"/>
        <item m="1" x="6528"/>
        <item m="1" x="6885"/>
        <item m="1" x="6887"/>
        <item m="1" x="4394"/>
        <item m="1" x="4395"/>
        <item m="1" x="6573"/>
        <item m="1" x="5829"/>
        <item m="1" x="6392"/>
        <item m="1" x="6891"/>
        <item m="1" x="6389"/>
        <item m="1" x="6893"/>
        <item m="1" x="4415"/>
        <item m="1" x="6897"/>
        <item m="1" x="6898"/>
        <item m="1" x="6903"/>
        <item m="1" x="4089"/>
        <item m="1" x="6397"/>
        <item m="1" x="6607"/>
        <item m="1" x="5486"/>
        <item m="1" x="6621"/>
        <item m="1" x="6623"/>
        <item m="1" x="6915"/>
        <item m="1" x="5131"/>
        <item m="1" x="6016"/>
        <item m="1" x="6006"/>
        <item m="1" x="5027"/>
        <item m="1" x="6403"/>
        <item m="1" x="6404"/>
        <item m="1" x="6920"/>
        <item m="1" x="6921"/>
        <item m="1" x="6644"/>
        <item m="1" x="6284"/>
        <item m="1" x="6641"/>
        <item m="1" x="6642"/>
        <item m="1" x="6643"/>
        <item m="1" x="6111"/>
        <item m="1" x="6410"/>
        <item m="1" x="6009"/>
        <item m="1" x="6419"/>
        <item m="1" x="6420"/>
        <item m="1" x="6421"/>
        <item m="1" x="6289"/>
        <item m="1" x="6924"/>
        <item m="1" x="6651"/>
        <item m="1" x="6288"/>
        <item m="1" x="6423"/>
        <item m="1" x="6688"/>
        <item m="1" x="6687"/>
        <item m="1" x="6934"/>
        <item m="1" x="6935"/>
        <item m="1" x="6936"/>
        <item m="1" x="6937"/>
        <item m="1" x="6938"/>
        <item m="1" x="6007"/>
        <item m="1" x="6008"/>
        <item m="1" x="6696"/>
        <item m="1" x="6440"/>
        <item m="1" x="6711"/>
        <item m="1" x="6519"/>
        <item m="1" x="5817"/>
        <item m="1" x="6715"/>
        <item m="1" x="4926"/>
        <item m="1" x="6726"/>
        <item m="1" x="6943"/>
        <item m="1" x="6283"/>
        <item m="1" x="6449"/>
        <item m="1" x="6946"/>
        <item m="1" x="6448"/>
        <item m="1" x="6447"/>
        <item m="1" x="6108"/>
        <item m="1" x="6948"/>
        <item m="1" x="6949"/>
        <item m="1" x="6950"/>
        <item m="1" x="6951"/>
        <item m="1" x="6953"/>
        <item m="1" x="6954"/>
        <item m="1" x="6955"/>
        <item m="1" x="6957"/>
        <item m="1" x="6745"/>
        <item m="1" x="6958"/>
        <item m="1" x="6755"/>
        <item m="1" x="6753"/>
        <item m="1" x="6754"/>
        <item m="1" x="6959"/>
        <item m="1" x="4230"/>
        <item m="1" x="5847"/>
        <item m="1" x="6784"/>
        <item m="1" x="6790"/>
        <item m="1" x="6286"/>
        <item m="1" x="6472"/>
        <item m="1" x="6473"/>
        <item m="1" x="6474"/>
        <item m="1" x="6969"/>
        <item m="1" x="5515"/>
        <item m="1" x="5387"/>
        <item m="1" x="6802"/>
        <item m="1" x="6970"/>
        <item m="1" x="6485"/>
        <item m="1" x="6287"/>
        <item m="1" x="6294"/>
        <item m="1" x="5429"/>
        <item m="1" x="6491"/>
        <item m="1" x="6492"/>
        <item m="1" x="6504"/>
        <item m="1" x="6505"/>
        <item m="1" x="6499"/>
        <item m="1" x="6500"/>
        <item m="1" x="6501"/>
        <item m="1" x="6823"/>
        <item m="1" x="6510"/>
        <item m="1" x="6511"/>
        <item m="1" x="6518"/>
        <item m="1" x="6520"/>
        <item m="1" x="6109"/>
        <item m="1" x="6110"/>
        <item m="1" x="6855"/>
        <item m="1" x="6976"/>
        <item m="1" x="6379"/>
        <item m="1" x="6380"/>
        <item m="1" x="5840"/>
        <item m="1" x="6527"/>
        <item m="1" x="6381"/>
        <item m="1" x="6385"/>
        <item m="1" x="6384"/>
        <item m="1" x="6530"/>
        <item m="1" x="1970"/>
        <item m="1" x="1993"/>
        <item m="1" x="6562"/>
        <item m="1" x="6567"/>
        <item m="1" x="5353"/>
        <item m="1" x="6586"/>
        <item m="1" x="6387"/>
        <item m="1" x="5831"/>
        <item m="1" x="6598"/>
        <item m="1" x="6599"/>
        <item m="1" x="6600"/>
        <item m="1" x="6601"/>
        <item m="1" x="5489"/>
        <item m="1" x="6603"/>
        <item m="1" x="6604"/>
        <item m="1" x="6606"/>
        <item m="1" x="6398"/>
        <item m="1" x="6399"/>
        <item m="1" x="5650"/>
        <item m="1" x="6401"/>
        <item m="1" x="6614"/>
        <item m="1" x="6615"/>
        <item m="1" x="6616"/>
        <item m="1" x="6620"/>
        <item m="1" x="6628"/>
        <item m="1" x="6629"/>
        <item m="1" x="6630"/>
        <item m="1" x="6631"/>
        <item m="1" x="6632"/>
        <item m="1" x="5832"/>
        <item m="1" x="5824"/>
        <item m="1" x="6406"/>
        <item m="1" x="6407"/>
        <item m="1" x="6637"/>
        <item m="1" x="3224"/>
        <item m="1" x="6418"/>
        <item m="1" x="6416"/>
        <item m="1" x="6417"/>
        <item m="1" x="6653"/>
        <item m="1" x="6677"/>
        <item m="1" x="6679"/>
        <item m="1" x="6122"/>
        <item m="1" x="6686"/>
        <item m="1" x="6690"/>
        <item m="1" x="6703"/>
        <item m="1" x="6704"/>
        <item m="1" x="6432"/>
        <item m="1" x="6437"/>
        <item m="1" x="6436"/>
        <item m="1" x="6433"/>
        <item m="1" x="6434"/>
        <item m="1" x="6435"/>
        <item m="1" x="4947"/>
        <item m="1" x="5830"/>
        <item m="1" x="6716"/>
        <item m="1" x="6717"/>
        <item m="1" x="6718"/>
        <item m="1" x="6719"/>
        <item m="1" x="6720"/>
        <item m="1" x="6721"/>
        <item m="1" x="6724"/>
        <item m="1" x="3977"/>
        <item m="1" x="6292"/>
        <item m="1" x="6293"/>
        <item m="1" x="6298"/>
        <item m="1" x="6299"/>
        <item m="1" x="6732"/>
        <item m="1" x="6112"/>
        <item m="1" x="5838"/>
        <item m="1" x="5825"/>
        <item m="1" x="6739"/>
        <item m="1" x="6444"/>
        <item m="1" x="6741"/>
        <item m="1" x="6446"/>
        <item m="1" x="6742"/>
        <item m="1" x="6743"/>
        <item m="1" x="6452"/>
        <item m="1" x="6450"/>
        <item m="1" x="6451"/>
        <item m="1" x="6453"/>
        <item m="1" x="6746"/>
        <item m="1" x="6459"/>
        <item m="1" x="6748"/>
        <item m="1" x="5836"/>
        <item m="1" x="6751"/>
        <item m="1" x="6752"/>
        <item m="1" x="6777"/>
        <item m="1" x="6778"/>
        <item m="1" x="6783"/>
        <item m="1" x="6466"/>
        <item m="1" x="5384"/>
        <item m="1" x="6470"/>
        <item m="1" x="6471"/>
        <item m="1" x="6799"/>
        <item m="1" x="6514"/>
        <item m="1" x="6300"/>
        <item m="1" x="6800"/>
        <item m="1" x="6801"/>
        <item m="1" x="6483"/>
        <item m="1" x="6484"/>
        <item m="1" x="6807"/>
        <item m="1" x="6486"/>
        <item m="1" x="6113"/>
        <item m="1" x="6490"/>
        <item m="1" x="6489"/>
        <item m="1" x="6817"/>
        <item m="1" x="6495"/>
        <item m="1" x="6496"/>
        <item m="1" x="6497"/>
        <item m="1" x="6498"/>
        <item m="1" x="6840"/>
        <item m="1" x="6843"/>
        <item m="1" x="6844"/>
        <item m="1" x="6517"/>
        <item m="1" x="6512"/>
        <item m="1" x="6513"/>
        <item m="1" x="6515"/>
        <item m="1" x="6516"/>
        <item m="1" x="5835"/>
        <item m="1" x="6856"/>
        <item m="1" x="6857"/>
        <item m="1" x="6860"/>
        <item m="1" x="6876"/>
        <item m="1" x="5853"/>
        <item m="1" x="6382"/>
        <item m="1" x="5849"/>
        <item m="1" x="5839"/>
        <item m="1" x="6383"/>
        <item m="1" x="6386"/>
        <item m="1" x="5756"/>
        <item m="1" x="6118"/>
        <item m="1" x="5861"/>
        <item m="1" x="6394"/>
        <item m="1" x="6395"/>
        <item m="1" x="5369"/>
        <item m="1" x="6019"/>
        <item m="1" x="6020"/>
        <item m="1" x="5859"/>
        <item m="1" x="5845"/>
        <item m="1" x="6313"/>
        <item m="1" x="6303"/>
        <item m="1" x="5516"/>
        <item m="1" x="5848"/>
        <item m="1" x="6320"/>
        <item m="1" x="5854"/>
        <item m="1" x="6302"/>
        <item m="1" x="6301"/>
        <item m="1" x="6314"/>
        <item m="1" x="6311"/>
        <item m="1" x="6308"/>
        <item m="1" x="6402"/>
        <item m="1" x="6405"/>
        <item m="1" x="6408"/>
        <item m="1" x="6409"/>
        <item m="1" x="5487"/>
        <item m="1" x="6415"/>
        <item m="1" x="6422"/>
        <item m="1" x="6119"/>
        <item m="1" x="6120"/>
        <item m="1" x="6114"/>
        <item m="1" x="6116"/>
        <item m="1" x="6117"/>
        <item m="1" x="5846"/>
        <item m="1" x="6425"/>
        <item m="1" x="6426"/>
        <item m="1" x="6427"/>
        <item m="1" x="6428"/>
        <item m="1" x="6429"/>
        <item m="1" x="5833"/>
        <item m="1" x="6430"/>
        <item m="1" x="6316"/>
        <item m="1" x="6018"/>
        <item m="1" x="6438"/>
        <item m="1" x="6439"/>
        <item m="1" x="6441"/>
        <item m="1" x="6323"/>
        <item m="1" x="6442"/>
        <item m="1" x="5862"/>
        <item m="1" x="5851"/>
        <item m="1" x="6295"/>
        <item m="1" x="6315"/>
        <item m="1" x="6306"/>
        <item m="1" x="6297"/>
        <item m="1" x="6443"/>
        <item m="1" x="5842"/>
        <item m="1" x="5843"/>
        <item m="1" x="6445"/>
        <item m="1" x="6454"/>
        <item m="1" x="6310"/>
        <item m="1" x="6457"/>
        <item m="1" x="5860"/>
        <item m="1" x="6309"/>
        <item m="1" x="6458"/>
        <item m="1" x="6460"/>
        <item m="1" x="5884"/>
        <item m="1" x="5669"/>
        <item m="1" x="6307"/>
        <item m="1" x="6305"/>
        <item m="1" x="5675"/>
        <item m="1" x="5676"/>
        <item m="1" x="6461"/>
        <item m="1" x="5855"/>
        <item m="1" x="6462"/>
        <item m="1" x="6463"/>
        <item m="1" x="6465"/>
        <item m="1" x="6312"/>
        <item m="1" x="6468"/>
        <item m="1" x="6469"/>
        <item m="1" x="6475"/>
        <item m="1" x="6476"/>
        <item m="1" x="6477"/>
        <item m="1" x="6478"/>
        <item m="1" x="6479"/>
        <item m="1" x="6480"/>
        <item m="1" x="6290"/>
        <item m="1" x="6291"/>
        <item m="1" x="6481"/>
        <item m="1" x="6482"/>
        <item m="1" x="6124"/>
        <item m="1" x="6317"/>
        <item m="1" x="2567"/>
        <item m="1" x="6321"/>
        <item m="1" x="6322"/>
        <item m="1" x="6493"/>
        <item m="1" x="6494"/>
        <item m="1" x="6502"/>
        <item m="1" x="6503"/>
        <item m="1" x="5857"/>
        <item m="1" x="5863"/>
        <item m="1" x="6296"/>
        <item m="1" x="6507"/>
        <item m="1" x="6508"/>
        <item m="1" x="6304"/>
        <item m="1" x="6115"/>
        <item m="1" x="6521"/>
        <item m="1" x="6522"/>
        <item m="1" x="5850"/>
        <item m="1" x="2408"/>
        <item m="1" x="6121"/>
        <item m="1" x="5815"/>
        <item m="1" x="4939"/>
        <item m="1" x="5368"/>
        <item m="1" x="6318"/>
        <item m="1" x="6319"/>
        <item m="1" x="5366"/>
        <item m="1" x="5865"/>
        <item m="1" x="6128"/>
        <item m="1" x="6147"/>
        <item m="1" x="6148"/>
        <item m="1" x="5545"/>
        <item m="1" x="6324"/>
        <item m="1" x="6325"/>
        <item m="1" x="5886"/>
        <item m="1" x="6326"/>
        <item m="1" x="5887"/>
        <item m="1" x="6132"/>
        <item m="1" x="6133"/>
        <item m="1" x="5705"/>
        <item m="1" x="6327"/>
        <item m="1" x="6328"/>
        <item m="1" x="6329"/>
        <item m="1" x="6330"/>
        <item m="1" x="6134"/>
        <item m="1" x="6135"/>
        <item m="1" x="6136"/>
        <item m="1" x="6331"/>
        <item m="1" x="5866"/>
        <item m="1" x="6123"/>
        <item m="1" x="6332"/>
        <item m="1" x="6137"/>
        <item m="1" x="6138"/>
        <item m="1" x="6139"/>
        <item m="1" x="5867"/>
        <item m="1" x="6125"/>
        <item m="1" x="6140"/>
        <item m="1" x="6142"/>
        <item m="1" x="6333"/>
        <item m="1" x="5868"/>
        <item m="1" x="6161"/>
        <item m="1" x="6334"/>
        <item m="1" x="6023"/>
        <item m="1" x="5869"/>
        <item m="1" x="6126"/>
        <item m="1" x="5870"/>
        <item m="1" x="6127"/>
        <item m="1" x="6021"/>
        <item m="1" x="6145"/>
        <item m="1" x="6146"/>
        <item m="1" x="6129"/>
        <item m="1" x="6130"/>
        <item m="1" x="5871"/>
        <item m="1" x="5872"/>
        <item m="1" x="6024"/>
        <item m="1" x="6335"/>
        <item m="1" x="6131"/>
        <item m="1" x="6336"/>
        <item m="1" x="6149"/>
        <item m="1" x="5873"/>
        <item m="1" x="6337"/>
        <item m="1" x="6338"/>
        <item m="1" x="5874"/>
        <item m="1" x="6339"/>
        <item m="1" x="6026"/>
        <item m="1" x="5875"/>
        <item m="1" x="6154"/>
        <item m="1" x="5510"/>
        <item m="1" x="587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155"/>
        <item m="1" x="6349"/>
        <item m="1" x="6350"/>
        <item m="1" x="6156"/>
        <item m="1" x="6351"/>
        <item m="1" x="6352"/>
        <item m="1" x="6353"/>
        <item m="1" x="6157"/>
        <item m="1" x="5864"/>
        <item m="1" x="5880"/>
        <item m="1" x="6354"/>
        <item m="1" x="6355"/>
        <item m="1" x="6356"/>
        <item m="1" x="6357"/>
        <item m="1" x="6358"/>
        <item m="1" x="6044"/>
        <item m="1" x="6027"/>
        <item m="1" x="6141"/>
        <item m="1" x="6359"/>
        <item m="1" x="6360"/>
        <item m="1" x="6361"/>
        <item m="1" x="5883"/>
        <item m="1" x="6362"/>
        <item m="1" x="6158"/>
        <item m="1" x="5904"/>
        <item m="1" x="5488"/>
        <item m="1" x="6143"/>
        <item m="1" x="6363"/>
        <item m="1" x="6364"/>
        <item m="1" x="6165"/>
        <item m="1" x="6144"/>
        <item m="1" x="6365"/>
        <item m="1" x="6366"/>
        <item m="1" x="6367"/>
        <item m="1" x="6159"/>
        <item m="1" x="6160"/>
        <item m="1" x="5654"/>
        <item m="1" x="5891"/>
        <item m="1" x="5892"/>
        <item m="1" x="6029"/>
        <item m="1" x="6368"/>
        <item m="1" x="6369"/>
        <item m="1" x="6370"/>
        <item m="1" x="5482"/>
        <item m="1" x="5483"/>
        <item m="1" x="6030"/>
        <item m="1" x="6150"/>
        <item m="1" x="6371"/>
        <item m="1" x="6162"/>
        <item m="1" x="6151"/>
        <item m="1" x="5407"/>
        <item m="1" x="6152"/>
        <item m="1" x="6153"/>
        <item m="1" x="6163"/>
        <item m="1" x="6164"/>
        <item m="1" x="5450"/>
        <item m="1" x="6372"/>
        <item m="1" x="6166"/>
        <item m="1" x="6025"/>
        <item m="1" x="6373"/>
        <item m="1" x="5442"/>
        <item m="1" x="6374"/>
        <item m="1" x="6375"/>
        <item m="1" x="6376"/>
        <item m="1" x="1981"/>
        <item m="1" x="1990"/>
        <item m="1" x="6167"/>
        <item m="1" x="5876"/>
        <item m="1" x="5877"/>
        <item m="1" x="6377"/>
        <item m="1" x="5878"/>
        <item m="1" x="6168"/>
        <item m="1" x="6378"/>
        <item m="1" x="5760"/>
        <item m="1" x="5749"/>
        <item m="1" x="6169"/>
        <item m="1" x="6170"/>
        <item m="1" x="6028"/>
        <item m="1" x="5893"/>
        <item m="1" x="6171"/>
        <item m="1" x="6172"/>
        <item m="1" x="6173"/>
        <item m="1" x="6174"/>
        <item m="1" x="5895"/>
        <item m="1" x="6175"/>
        <item m="1" x="5720"/>
        <item m="1" x="6176"/>
        <item m="1" x="5896"/>
        <item m="1" x="6177"/>
        <item m="1" x="6178"/>
        <item m="1" x="6179"/>
        <item m="1" x="6033"/>
        <item m="1" x="6034"/>
        <item m="1" x="6035"/>
        <item m="1" x="5898"/>
        <item m="1" x="6180"/>
        <item m="1" x="6181"/>
        <item m="1" x="5881"/>
        <item m="1" x="6182"/>
        <item m="1" x="6041"/>
        <item m="1" x="6042"/>
        <item m="1" x="5655"/>
        <item m="1" x="5882"/>
        <item m="1" x="6183"/>
        <item m="1" x="6031"/>
        <item m="1" x="5670"/>
        <item m="1" x="6184"/>
        <item m="1" x="6185"/>
        <item m="1" x="6186"/>
        <item m="1" x="6043"/>
        <item m="1" x="5899"/>
        <item m="1" x="6187"/>
        <item m="1" x="6188"/>
        <item m="1" x="6189"/>
        <item m="1" x="6190"/>
        <item m="1" x="6191"/>
        <item m="1" x="6192"/>
        <item m="1" x="5484"/>
        <item m="1" x="6193"/>
        <item m="1" x="6194"/>
        <item m="1" x="6195"/>
        <item m="1" x="6196"/>
        <item m="1" x="5671"/>
        <item m="1" x="6197"/>
        <item m="1" x="6198"/>
        <item m="1" x="6199"/>
        <item m="1" x="5885"/>
        <item m="1" x="6200"/>
        <item m="1" x="6201"/>
        <item m="1" x="4111"/>
        <item m="1" x="6045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046"/>
        <item m="1" x="6211"/>
        <item m="1" x="6212"/>
        <item m="1" x="6047"/>
        <item m="1" x="5905"/>
        <item m="1" x="5646"/>
        <item m="1" x="6048"/>
        <item m="1" x="6049"/>
        <item m="1" x="6213"/>
        <item m="1" x="5901"/>
        <item m="1" x="6214"/>
        <item m="1" x="6215"/>
        <item m="1" x="6050"/>
        <item m="1" x="6216"/>
        <item m="1" x="6032"/>
        <item m="1" x="6217"/>
        <item m="1" x="6218"/>
        <item m="1" x="6219"/>
        <item m="1" x="6220"/>
        <item m="1" x="6221"/>
        <item m="1" x="5909"/>
        <item m="1" x="5888"/>
        <item m="1" x="6222"/>
        <item m="1" x="6223"/>
        <item m="1" x="5889"/>
        <item m="1" x="6224"/>
        <item m="1" x="6225"/>
        <item m="1" x="5907"/>
        <item m="1" x="5331"/>
        <item m="1" x="6226"/>
        <item m="1" x="6227"/>
        <item m="1" x="6229"/>
        <item m="1" x="5924"/>
        <item m="1" x="5957"/>
        <item m="1" x="5890"/>
        <item m="1" x="6230"/>
        <item m="1" x="6231"/>
        <item m="1" x="6232"/>
        <item m="1" x="6233"/>
        <item m="1" x="6234"/>
        <item m="1" x="6235"/>
        <item m="1" x="6236"/>
        <item m="1" x="6237"/>
        <item m="1" x="6051"/>
        <item m="1" x="6238"/>
        <item m="1" x="6239"/>
        <item m="1" x="6240"/>
        <item m="1" x="6241"/>
        <item m="1" x="6242"/>
        <item m="1" x="6243"/>
        <item m="1" x="6244"/>
        <item m="1" x="6245"/>
        <item m="1" x="6052"/>
        <item m="1" x="6246"/>
        <item m="1" x="5029"/>
        <item m="1" x="5338"/>
        <item m="1" x="6247"/>
        <item m="1" x="6036"/>
        <item m="1" x="6053"/>
        <item m="1" x="5736"/>
        <item m="1" x="5448"/>
        <item m="1" x="6022"/>
        <item m="1" x="5419"/>
        <item m="1" x="5462"/>
        <item m="1" x="6037"/>
        <item m="1" x="5915"/>
        <item m="1" x="6038"/>
        <item m="1" x="5894"/>
        <item m="1" x="5476"/>
        <item m="1" x="6039"/>
        <item m="1" x="5902"/>
        <item m="1" x="5540"/>
        <item m="1" x="6040"/>
        <item m="1" x="5132"/>
        <item m="1" x="5922"/>
        <item m="1" x="5897"/>
        <item m="1" x="5663"/>
        <item m="1" x="5339"/>
        <item m="1" x="5664"/>
        <item m="1" x="5571"/>
        <item m="1" x="5572"/>
        <item m="1" x="5923"/>
        <item m="1" x="5900"/>
        <item m="1" x="6054"/>
        <item m="1" x="6055"/>
        <item m="1" x="6056"/>
        <item m="1" x="5903"/>
        <item m="1" x="5925"/>
        <item m="1" x="5926"/>
        <item m="1" x="5649"/>
        <item m="1" x="5927"/>
        <item m="1" x="5641"/>
        <item m="1" x="5575"/>
        <item m="1" x="6057"/>
        <item m="1" x="6058"/>
        <item m="1" x="6059"/>
        <item m="1" x="5928"/>
        <item m="1" x="6060"/>
        <item m="1" x="5726"/>
        <item m="1" x="5906"/>
        <item m="1" x="6061"/>
        <item m="1" x="6062"/>
        <item m="1" x="6063"/>
        <item m="1" x="5918"/>
        <item m="1" x="5908"/>
        <item m="1" x="5552"/>
        <item m="1" x="5672"/>
        <item m="1" x="5595"/>
        <item m="1" x="5910"/>
        <item m="1" x="5911"/>
        <item m="1" x="6064"/>
        <item m="1" x="5912"/>
        <item m="1" x="5576"/>
        <item m="1" x="5577"/>
        <item m="1" x="5578"/>
        <item m="1" x="4930"/>
        <item m="1" x="5913"/>
        <item m="1" x="6065"/>
        <item m="1" x="6066"/>
        <item m="1" x="5513"/>
        <item m="1" x="5716"/>
        <item m="1" x="6067"/>
        <item m="1" x="6068"/>
        <item m="1" x="5598"/>
        <item m="1" x="5748"/>
        <item m="1" x="6069"/>
        <item m="1" x="5929"/>
        <item m="1" x="6070"/>
        <item m="1" x="6071"/>
        <item m="1" x="5706"/>
        <item m="1" x="5930"/>
        <item m="1" x="4817"/>
        <item m="1" x="5916"/>
        <item m="1" x="4932"/>
        <item m="1" x="5917"/>
        <item m="1" x="5460"/>
        <item m="1" x="6072"/>
        <item m="1" x="6073"/>
        <item m="1" x="6074"/>
        <item m="1" x="5931"/>
        <item m="1" x="6075"/>
        <item m="1" x="6076"/>
        <item m="1" x="6077"/>
        <item m="1" x="6078"/>
        <item m="1" x="6079"/>
        <item m="1" x="5919"/>
        <item m="1" x="5920"/>
        <item m="1" x="5921"/>
        <item m="1" x="6080"/>
        <item m="1" x="5932"/>
        <item m="1" x="5933"/>
        <item m="1" x="5730"/>
        <item m="1" x="5934"/>
        <item m="1" x="6081"/>
        <item m="1" x="5591"/>
        <item m="1" x="6082"/>
        <item m="1" x="5742"/>
        <item m="1" x="5743"/>
        <item m="1" x="5744"/>
        <item m="1" x="4885"/>
        <item m="1" x="5548"/>
        <item m="1" x="5422"/>
        <item m="1" x="5935"/>
        <item m="1" x="5936"/>
        <item m="1" x="5667"/>
        <item m="1" x="5938"/>
        <item m="1" x="5656"/>
        <item m="1" x="5274"/>
        <item m="1" x="5133"/>
        <item m="1" x="5662"/>
        <item m="1" x="5939"/>
        <item m="1" x="5940"/>
        <item m="1" x="5941"/>
        <item m="1" x="5690"/>
        <item m="1" x="5691"/>
        <item m="1" x="5678"/>
        <item m="1" x="5597"/>
        <item m="1" x="5942"/>
        <item m="1" x="5707"/>
        <item m="1" x="5444"/>
        <item m="1" x="5134"/>
        <item m="1" x="5943"/>
        <item m="1" x="5944"/>
        <item m="1" x="5945"/>
        <item m="1" x="5946"/>
        <item m="1" x="5573"/>
        <item m="1" x="5062"/>
        <item m="1" x="5947"/>
        <item m="1" x="5948"/>
        <item m="1" x="5949"/>
        <item m="1" x="5950"/>
        <item m="1" x="5951"/>
        <item m="1" x="5952"/>
        <item m="1" x="5953"/>
        <item m="1" x="5574"/>
        <item m="1" x="5954"/>
        <item m="1" x="5955"/>
        <item m="1" x="5956"/>
        <item m="1" x="5958"/>
        <item m="1" x="5668"/>
        <item m="1" x="5959"/>
        <item m="1" x="5480"/>
        <item m="1" x="5617"/>
        <item m="1" x="5618"/>
        <item m="1" x="5960"/>
        <item m="1" x="5731"/>
        <item m="1" x="5732"/>
        <item m="1" x="5961"/>
        <item m="1" x="5266"/>
        <item m="1" x="5962"/>
        <item m="1" x="5963"/>
        <item m="1" x="5964"/>
        <item m="1" x="5965"/>
        <item m="1" x="5966"/>
        <item m="1" x="5750"/>
        <item m="1" x="5584"/>
        <item m="1" x="5967"/>
        <item m="1" x="5702"/>
        <item m="1" x="5968"/>
        <item m="1" x="5530"/>
        <item m="1" x="5969"/>
        <item m="1" x="4728"/>
        <item m="1" x="5970"/>
        <item m="1" x="5377"/>
        <item m="1" x="5971"/>
        <item m="1" x="5745"/>
        <item m="1" x="5746"/>
        <item m="1" x="5747"/>
        <item m="1" x="5642"/>
        <item m="1" x="5703"/>
        <item m="1" x="5679"/>
        <item m="1" x="5972"/>
        <item m="1" x="5973"/>
        <item m="1" x="5974"/>
        <item m="1" x="5975"/>
        <item m="1" x="5028"/>
        <item m="1" x="5030"/>
        <item m="1" x="5976"/>
        <item m="1" x="5977"/>
        <item m="1" x="5978"/>
        <item m="1" x="5979"/>
        <item m="1" x="5980"/>
        <item m="1" x="5981"/>
        <item m="1" x="5982"/>
        <item m="1" x="5477"/>
        <item m="1" x="5478"/>
        <item m="1" x="5983"/>
        <item m="1" x="5984"/>
        <item m="1" x="5683"/>
        <item m="1" x="5645"/>
        <item m="1" x="5985"/>
        <item m="1" x="5986"/>
        <item m="1" x="5644"/>
        <item m="1" x="5987"/>
        <item m="1" x="5988"/>
        <item m="1" x="5989"/>
        <item m="1" x="5990"/>
        <item m="1" x="5991"/>
        <item m="1" x="5992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85"/>
        <item m="1" x="5579"/>
        <item m="1" x="5993"/>
        <item m="1" x="5994"/>
        <item m="1" x="5587"/>
        <item m="1" x="5588"/>
        <item m="1" x="5600"/>
        <item m="1" x="5740"/>
        <item m="1" x="5553"/>
        <item m="1" x="5555"/>
        <item m="1" x="5457"/>
        <item m="1" x="5556"/>
        <item m="1" x="5557"/>
        <item m="1" x="5558"/>
        <item m="1" x="5559"/>
        <item m="1" x="5560"/>
        <item m="1" x="5468"/>
        <item m="1" x="5561"/>
        <item m="1" x="5562"/>
        <item m="1" x="5563"/>
        <item m="1" x="5564"/>
        <item m="1" x="5566"/>
        <item m="1" x="5567"/>
        <item m="1" x="5568"/>
        <item m="1" x="5569"/>
        <item m="1" x="5570"/>
        <item m="1" x="5031"/>
        <item m="1" x="5136"/>
        <item m="1" x="5474"/>
        <item m="1" x="5581"/>
        <item m="1" x="5580"/>
        <item m="1" x="5583"/>
        <item m="1" x="5582"/>
        <item m="1" x="4941"/>
        <item m="1" x="5585"/>
        <item m="1" x="5586"/>
        <item m="1" x="5479"/>
        <item m="1" x="5340"/>
        <item m="1" x="5589"/>
        <item m="1" x="5590"/>
        <item m="1" x="5592"/>
        <item m="1" x="5594"/>
        <item m="1" x="5593"/>
        <item m="1" x="5596"/>
        <item m="1" x="5604"/>
        <item m="1" x="5599"/>
        <item m="1" x="5601"/>
        <item m="1" x="5602"/>
        <item m="1" x="5603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6"/>
        <item m="1" x="5615"/>
        <item m="1" x="5643"/>
        <item m="1" x="5035"/>
        <item m="1" x="5647"/>
        <item m="1" x="5492"/>
        <item m="1" x="5648"/>
        <item m="1" x="5651"/>
        <item m="1" x="5653"/>
        <item m="1" x="5657"/>
        <item m="1" x="5498"/>
        <item m="1" x="5661"/>
        <item m="1" x="5275"/>
        <item m="1" x="5658"/>
        <item m="1" x="5665"/>
        <item m="1" x="5135"/>
        <item m="1" x="5666"/>
        <item m="1" x="5282"/>
        <item m="1" x="5682"/>
        <item m="1" x="5680"/>
        <item m="1" x="5681"/>
        <item m="1" x="5684"/>
        <item m="1" x="5686"/>
        <item m="1" x="5687"/>
        <item m="1" x="5688"/>
        <item m="1" x="5507"/>
        <item m="1" x="5508"/>
        <item m="1" x="5506"/>
        <item m="1" x="5689"/>
        <item m="1" x="5514"/>
        <item m="1" x="5693"/>
        <item m="1" x="5692"/>
        <item m="1" x="5694"/>
        <item m="1" x="5696"/>
        <item m="1" x="5697"/>
        <item m="1" x="5698"/>
        <item m="1" x="5699"/>
        <item m="1" x="5700"/>
        <item m="1" x="5701"/>
        <item m="1" x="5519"/>
        <item m="1" x="5520"/>
        <item m="1" x="5521"/>
        <item m="1" x="5522"/>
        <item m="1" x="5704"/>
        <item m="1" x="5532"/>
        <item m="1" x="5533"/>
        <item m="1" x="2110"/>
        <item m="1" x="5711"/>
        <item m="1" x="5710"/>
        <item m="1" x="5708"/>
        <item m="1" x="5709"/>
        <item m="1" x="5712"/>
        <item m="1" x="5714"/>
        <item m="1" x="5715"/>
        <item m="1" x="5713"/>
        <item m="1" x="5717"/>
        <item m="1" x="5542"/>
        <item m="1" x="5543"/>
        <item m="1" x="5721"/>
        <item m="1" x="5416"/>
        <item m="1" x="5722"/>
        <item m="1" x="5723"/>
        <item m="1" x="5725"/>
        <item m="1" x="5724"/>
        <item m="1" x="5137"/>
        <item m="1" x="5727"/>
        <item m="1" x="5728"/>
        <item m="1" x="5138"/>
        <item m="1" x="5305"/>
        <item m="1" x="5733"/>
        <item m="1" x="5729"/>
        <item m="1" x="5734"/>
        <item m="1" x="5741"/>
        <item m="1" x="5738"/>
        <item m="1" x="5739"/>
        <item m="1" x="5309"/>
        <item m="1" x="5445"/>
        <item m="1" x="5449"/>
        <item m="1" x="5659"/>
        <item m="1" x="5446"/>
        <item m="1" x="5447"/>
        <item m="1" x="5452"/>
        <item m="1" x="5453"/>
        <item m="1" x="5454"/>
        <item m="1" x="5455"/>
        <item m="1" x="5456"/>
        <item m="1" x="4442"/>
        <item m="1" x="5458"/>
        <item m="1" x="5324"/>
        <item m="1" x="5325"/>
        <item m="1" x="5463"/>
        <item m="1" x="5464"/>
        <item m="1" x="5465"/>
        <item m="1" x="5348"/>
        <item m="1" x="5466"/>
        <item m="1" x="5467"/>
        <item m="1" x="5469"/>
        <item m="1" x="5470"/>
        <item m="1" x="3762"/>
        <item m="1" x="5472"/>
        <item m="1" x="4268"/>
        <item m="1" x="4269"/>
        <item m="1" x="5372"/>
        <item m="1" x="5473"/>
        <item m="1" x="5345"/>
        <item m="1" x="5344"/>
        <item m="1" x="5475"/>
        <item m="1" x="5481"/>
        <item m="1" x="4935"/>
        <item m="1" x="5358"/>
        <item m="1" x="3387"/>
        <item m="1" x="5354"/>
        <item m="1" x="5361"/>
        <item m="1" x="5485"/>
        <item m="1" x="5246"/>
        <item m="1" x="5491"/>
        <item m="1" x="5493"/>
        <item m="1" x="5494"/>
        <item m="1" x="4938"/>
        <item m="1" x="4927"/>
        <item m="1" x="5496"/>
        <item m="1" x="3381"/>
        <item m="1" x="4711"/>
        <item m="1" x="4814"/>
        <item m="1" x="4815"/>
        <item m="1" x="5373"/>
        <item m="1" x="5499"/>
        <item m="1" x="5500"/>
        <item m="1" x="5501"/>
        <item m="1" x="5276"/>
        <item m="1" x="5036"/>
        <item m="1" x="5271"/>
        <item m="1" x="5272"/>
        <item m="1" x="5273"/>
        <item m="1" x="5139"/>
        <item m="1" x="5033"/>
        <item m="1" x="5503"/>
        <item m="1" x="5381"/>
        <item m="1" x="3871"/>
        <item m="1" x="4933"/>
        <item m="1" x="5517"/>
        <item m="1" x="4924"/>
        <item m="1" x="5518"/>
        <item m="1" x="5523"/>
        <item m="1" x="5524"/>
        <item m="1" x="5525"/>
        <item m="1" x="5526"/>
        <item m="1" x="5527"/>
        <item m="1" x="5438"/>
        <item m="1" x="5528"/>
        <item m="1" x="5529"/>
        <item m="1" x="5531"/>
        <item m="1" x="5042"/>
        <item m="1" x="5032"/>
        <item m="1" x="5534"/>
        <item m="1" x="5294"/>
        <item m="1" x="5535"/>
        <item m="1" x="4813"/>
        <item m="1" x="5536"/>
        <item m="1" x="5292"/>
        <item m="1" x="5537"/>
        <item m="1" x="5538"/>
        <item m="1" x="5293"/>
        <item m="1" x="5539"/>
        <item m="1" x="5295"/>
        <item m="1" x="5541"/>
        <item m="1" x="4819"/>
        <item m="1" x="5327"/>
        <item m="1" x="5410"/>
        <item m="1" x="5411"/>
        <item m="1" x="4922"/>
        <item m="1" x="5417"/>
        <item m="1" x="5418"/>
        <item m="1" x="5421"/>
        <item m="1" x="4820"/>
        <item m="1" x="5304"/>
        <item m="1" x="5435"/>
        <item m="1" x="5436"/>
        <item m="1" x="5434"/>
        <item m="1" x="5433"/>
        <item m="1" x="5550"/>
        <item m="1" x="5551"/>
        <item m="1" x="5439"/>
        <item m="1" x="5443"/>
        <item m="1" x="5310"/>
        <item m="1" x="2107"/>
        <item m="1" x="5144"/>
        <item m="1" x="5311"/>
        <item m="1" x="5312"/>
        <item m="1" x="5313"/>
        <item m="1" x="5314"/>
        <item m="1" x="3563"/>
        <item m="1" x="5315"/>
        <item m="1" x="5316"/>
        <item m="1" x="5317"/>
        <item m="1" x="5318"/>
        <item m="1" x="5319"/>
        <item m="1" x="5320"/>
        <item m="1" x="4988"/>
        <item m="1" x="5140"/>
        <item m="1" x="5218"/>
        <item m="1" x="5321"/>
        <item m="1" x="5142"/>
        <item m="1" x="5322"/>
        <item m="1" x="5323"/>
        <item m="1" x="5326"/>
        <item m="1" x="5328"/>
        <item m="1" x="5329"/>
        <item m="1" x="5250"/>
        <item m="1" x="5330"/>
        <item m="1" x="5249"/>
        <item m="1" x="3436"/>
        <item m="1" x="5255"/>
        <item m="1" x="5332"/>
        <item m="1" x="5333"/>
        <item m="1" x="5334"/>
        <item m="1" x="5335"/>
        <item m="1" x="5336"/>
        <item m="1" x="5337"/>
        <item m="1" x="4270"/>
        <item m="1" x="3504"/>
        <item m="1" x="5341"/>
        <item m="1" x="5342"/>
        <item m="1" x="5343"/>
        <item m="1" x="5346"/>
        <item m="1" x="5347"/>
        <item m="1" x="5349"/>
        <item m="1" x="5350"/>
        <item m="1" x="5351"/>
        <item m="1" x="5352"/>
        <item m="1" x="5355"/>
        <item m="1" x="5356"/>
        <item m="1" x="5357"/>
        <item m="1" x="3425"/>
        <item m="1" x="5362"/>
        <item m="1" x="5145"/>
        <item m="1" x="5146"/>
        <item m="1" x="5147"/>
        <item m="1" x="5148"/>
        <item m="1" x="5149"/>
        <item m="1" x="5363"/>
        <item m="1" x="5364"/>
        <item m="1" x="5365"/>
        <item m="1" x="5141"/>
        <item m="1" x="5367"/>
        <item m="1" x="5267"/>
        <item m="1" x="5370"/>
        <item m="1" x="5371"/>
        <item m="1" x="3355"/>
        <item m="1" x="5277"/>
        <item m="1" x="5280"/>
        <item m="1" x="5374"/>
        <item m="1" x="5281"/>
        <item m="1" x="5378"/>
        <item m="1" x="2106"/>
        <item m="1" x="5375"/>
        <item m="1" x="5283"/>
        <item m="1" x="5105"/>
        <item m="1" x="5382"/>
        <item m="1" x="5383"/>
        <item m="1" x="5385"/>
        <item m="1" x="5386"/>
        <item m="1" x="5287"/>
        <item m="1" x="5388"/>
        <item m="1" x="5389"/>
        <item m="1" x="5296"/>
        <item m="1" x="5397"/>
        <item m="1" x="5398"/>
        <item m="1" x="5040"/>
        <item m="1" x="4742"/>
        <item m="1" x="5399"/>
        <item m="1" x="5400"/>
        <item m="1" x="4951"/>
        <item m="1" x="5401"/>
        <item m="1" x="5402"/>
        <item m="1" x="5403"/>
        <item m="1" x="4934"/>
        <item m="1" x="5404"/>
        <item m="1" x="5405"/>
        <item m="1" x="5406"/>
        <item m="1" x="5408"/>
        <item m="1" x="5409"/>
        <item m="1" x="5412"/>
        <item m="1" x="5413"/>
        <item m="1" x="5414"/>
        <item m="1" x="5415"/>
        <item m="1" x="5424"/>
        <item m="1" x="5425"/>
        <item m="1" x="5426"/>
        <item m="1" x="5427"/>
        <item m="1" x="5428"/>
        <item m="1" x="5302"/>
        <item m="1" x="5431"/>
        <item m="1" x="5432"/>
        <item m="1" x="5437"/>
        <item m="1" x="5440"/>
        <item m="1" x="5441"/>
        <item m="1" x="4816"/>
        <item m="1" x="4144"/>
        <item m="1" x="3489"/>
        <item m="1" x="3541"/>
        <item m="1" x="3915"/>
        <item m="1" x="4566"/>
        <item m="1" x="5046"/>
        <item m="1" x="5239"/>
        <item m="1" x="5151"/>
        <item m="1" x="5154"/>
        <item m="1" x="5155"/>
        <item m="1" x="5156"/>
        <item m="1" x="5241"/>
        <item m="1" x="5242"/>
        <item m="1" x="5243"/>
        <item m="1" x="5244"/>
        <item m="1" x="5245"/>
        <item m="1" x="5247"/>
        <item m="1" x="5248"/>
        <item m="1" x="5251"/>
        <item m="1" x="5252"/>
        <item m="1" x="5253"/>
        <item m="1" x="5254"/>
        <item m="1" x="5256"/>
        <item m="1" x="5257"/>
        <item m="1" x="5258"/>
        <item m="1" x="4949"/>
        <item m="1" x="5259"/>
        <item m="1" x="5260"/>
        <item m="1" x="5261"/>
        <item m="1" x="4478"/>
        <item m="1" x="4370"/>
        <item m="1" x="4347"/>
        <item m="1" x="3479"/>
        <item m="1" x="3480"/>
        <item m="1" x="5262"/>
        <item m="1" x="5263"/>
        <item m="1" x="5163"/>
        <item m="1" x="5164"/>
        <item m="1" x="5165"/>
        <item m="1" x="5166"/>
        <item m="1" x="5167"/>
        <item m="1" x="5168"/>
        <item m="1" x="5159"/>
        <item m="1" x="5160"/>
        <item m="1" x="5161"/>
        <item m="1" x="5162"/>
        <item m="1" x="5150"/>
        <item m="1" x="5264"/>
        <item m="1" x="5265"/>
        <item m="1" x="5143"/>
        <item m="1" x="5268"/>
        <item m="1" x="5269"/>
        <item m="1" x="4709"/>
        <item m="1" x="4710"/>
        <item m="1" x="4714"/>
        <item m="1" x="5158"/>
        <item m="1" x="4715"/>
        <item m="1" x="5270"/>
        <item m="1" x="5278"/>
        <item m="1" x="5279"/>
        <item m="1" x="5284"/>
        <item m="1" x="5285"/>
        <item m="1" x="5286"/>
        <item m="1" x="4062"/>
        <item m="1" x="4454"/>
        <item m="1" x="4455"/>
        <item m="1" x="4456"/>
        <item m="1" x="4457"/>
        <item m="1" x="4458"/>
        <item m="1" x="4450"/>
        <item m="1" x="4255"/>
        <item m="1" x="4492"/>
        <item m="1" x="4943"/>
        <item m="1" x="5288"/>
        <item m="1" x="5152"/>
        <item m="1" x="5289"/>
        <item m="1" x="5290"/>
        <item m="1" x="5291"/>
        <item m="1" x="5220"/>
        <item m="1" x="5219"/>
        <item m="1" x="5297"/>
        <item m="1" x="5298"/>
        <item m="1" x="5299"/>
        <item m="1" x="5153"/>
        <item m="1" x="4522"/>
        <item m="1" x="5300"/>
        <item m="1" x="5301"/>
        <item m="1" x="4157"/>
        <item m="1" x="5044"/>
        <item m="1" x="5157"/>
        <item m="1" x="4663"/>
        <item m="1" x="5303"/>
        <item m="1" x="4545"/>
        <item m="1" x="4664"/>
        <item m="1" x="4805"/>
        <item m="1" x="4665"/>
        <item m="1" x="5306"/>
        <item m="1" x="5307"/>
        <item m="1" x="4758"/>
        <item m="1" x="4759"/>
        <item m="1" x="5308"/>
        <item m="1" x="4970"/>
        <item m="1" x="4687"/>
        <item m="1" x="3500"/>
        <item m="1" x="4808"/>
        <item m="1" x="4624"/>
        <item m="1" x="3367"/>
        <item m="1" x="4561"/>
        <item m="1" x="5128"/>
        <item m="1" x="5129"/>
        <item m="1" x="2403"/>
        <item m="1" x="4725"/>
        <item m="1" x="3446"/>
        <item m="1" x="3485"/>
        <item m="1" x="4940"/>
        <item m="1" x="4795"/>
        <item m="1" x="4818"/>
        <item m="1" x="3362"/>
        <item m="1" x="4950"/>
        <item m="1" x="5169"/>
        <item m="1" x="5170"/>
        <item m="1" x="5171"/>
        <item m="1" x="5172"/>
        <item m="1" x="5173"/>
        <item m="1" x="5174"/>
        <item m="1" x="3887"/>
        <item m="1" x="4944"/>
        <item m="1" x="5175"/>
        <item m="1" x="5176"/>
        <item m="1" x="5177"/>
        <item m="1" x="1989"/>
        <item m="1" x="5179"/>
        <item m="1" x="5038"/>
        <item m="1" x="5180"/>
        <item m="1" x="5181"/>
        <item m="1" x="5182"/>
        <item m="1" x="4654"/>
        <item m="1" x="3505"/>
        <item m="1" x="4459"/>
        <item m="1" x="5183"/>
        <item m="1" x="4322"/>
        <item m="1" x="4084"/>
        <item m="1" x="4376"/>
        <item m="1" x="4085"/>
        <item m="1" x="5184"/>
        <item m="1" x="5185"/>
        <item m="1" x="5186"/>
        <item m="1" x="5048"/>
        <item m="1" x="4821"/>
        <item m="1" x="5187"/>
        <item m="1" x="4712"/>
        <item m="1" x="4713"/>
        <item m="1" x="5188"/>
        <item m="1" x="5189"/>
        <item m="1" x="5190"/>
        <item m="1" x="5191"/>
        <item m="1" x="5192"/>
        <item m="1" x="5193"/>
        <item m="1" x="5194"/>
        <item m="1" x="5043"/>
        <item m="1" x="5195"/>
        <item m="1" x="4945"/>
        <item m="1" x="5196"/>
        <item m="1" x="5197"/>
        <item m="1" x="5198"/>
        <item m="1" x="5039"/>
        <item m="1" x="5045"/>
        <item m="1" x="5199"/>
        <item m="1" x="5200"/>
        <item m="1" x="4946"/>
        <item m="1" x="5120"/>
        <item m="1" x="5047"/>
        <item m="1" x="5201"/>
        <item m="1" x="5202"/>
        <item m="1" x="4948"/>
        <item m="1" x="3518"/>
        <item m="1" x="5037"/>
        <item m="1" x="5203"/>
        <item m="1" x="4220"/>
        <item m="1" x="4425"/>
        <item m="1" x="5204"/>
        <item m="1" x="5205"/>
        <item m="1" x="5206"/>
        <item m="1" x="4822"/>
        <item m="1" x="4565"/>
        <item m="1" x="5207"/>
        <item m="1" x="5208"/>
        <item m="1" x="5209"/>
        <item m="1" x="5210"/>
        <item m="1" x="4114"/>
        <item m="1" x="5211"/>
        <item m="1" x="4653"/>
        <item m="1" x="4487"/>
        <item m="1" x="4037"/>
        <item m="1" x="5212"/>
        <item m="1" x="5213"/>
        <item m="1" x="4469"/>
        <item m="1" x="5041"/>
        <item m="1" x="4470"/>
        <item m="1" x="4471"/>
        <item m="1" x="4472"/>
        <item m="1" x="4349"/>
        <item m="1" x="5214"/>
        <item m="1" x="5215"/>
        <item m="1" x="4773"/>
        <item m="1" x="5216"/>
        <item m="1" x="5217"/>
        <item m="1" x="5221"/>
        <item m="1" x="5222"/>
        <item m="1" x="5223"/>
        <item m="1" x="5224"/>
        <item m="1" x="5225"/>
        <item m="1" x="4488"/>
        <item m="1" x="4942"/>
        <item m="1" x="4833"/>
        <item m="1" x="4110"/>
        <item m="1" x="5226"/>
        <item m="1" x="4524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221"/>
        <item m="1" x="5049"/>
        <item m="1" x="5050"/>
        <item m="1" x="5227"/>
        <item m="1" x="5228"/>
        <item m="1" x="5229"/>
        <item m="1" x="5230"/>
        <item m="1" x="5231"/>
        <item m="1" x="4532"/>
        <item m="1" x="4533"/>
        <item m="1" x="5232"/>
        <item m="1" x="5233"/>
        <item m="1" x="5234"/>
        <item m="1" x="4652"/>
        <item m="1" x="4145"/>
        <item m="1" x="4146"/>
        <item m="1" x="3423"/>
        <item m="1" x="4491"/>
        <item m="1" x="4108"/>
        <item m="1" x="4109"/>
        <item m="1" x="4422"/>
        <item m="1" x="4716"/>
        <item m="1" x="5073"/>
        <item m="1" x="5235"/>
        <item m="1" x="5236"/>
        <item m="1" x="5237"/>
        <item m="1" x="5238"/>
        <item m="1" x="4383"/>
        <item m="1" x="4985"/>
        <item m="1" x="4227"/>
        <item m="1" x="4762"/>
        <item m="1" x="4809"/>
        <item m="1" x="4811"/>
        <item m="1" x="4810"/>
        <item m="1" x="4812"/>
        <item m="1" x="985"/>
        <item m="1" x="4630"/>
        <item m="1" x="4210"/>
        <item m="1" x="5051"/>
        <item m="1" x="4952"/>
        <item m="1" x="4954"/>
        <item m="1" x="4423"/>
        <item m="1" x="4424"/>
        <item m="1" x="4797"/>
        <item m="1" x="4523"/>
        <item m="1" x="3999"/>
        <item m="1" x="4000"/>
        <item m="1" x="4956"/>
        <item m="1" x="5052"/>
        <item m="1" x="4628"/>
        <item m="1" x="5053"/>
        <item m="1" x="5054"/>
        <item m="1" x="4823"/>
        <item m="1" x="5055"/>
        <item m="1" x="5056"/>
        <item m="1" x="5057"/>
        <item m="1" x="5058"/>
        <item m="1" x="5059"/>
        <item m="1" x="5060"/>
        <item m="1" x="5061"/>
        <item m="1" x="435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4953"/>
        <item m="1" x="5074"/>
        <item m="1" x="5075"/>
        <item m="1" x="5076"/>
        <item m="1" x="5077"/>
        <item m="1" x="5078"/>
        <item m="1" x="5079"/>
        <item m="1" x="4231"/>
        <item m="1" x="4962"/>
        <item m="1" x="4965"/>
        <item m="1" x="4473"/>
        <item m="1" x="4971"/>
        <item m="1" x="4973"/>
        <item m="1" x="4974"/>
        <item m="1" x="4972"/>
        <item m="1" x="4486"/>
        <item m="1" x="4083"/>
        <item m="1" x="5080"/>
        <item m="1" x="5081"/>
        <item m="1" x="5082"/>
        <item m="1" x="5083"/>
        <item m="1" x="5084"/>
        <item m="1" x="5085"/>
        <item m="1" x="4332"/>
        <item m="1" x="5086"/>
        <item m="1" x="4536"/>
        <item m="1" x="4651"/>
        <item m="1" x="4649"/>
        <item m="1" x="4655"/>
        <item m="1" x="4650"/>
        <item m="1" x="4673"/>
        <item m="1" x="5087"/>
        <item m="1" x="5088"/>
        <item m="1" x="4435"/>
        <item m="1" x="5091"/>
        <item m="1" x="5092"/>
        <item m="1" x="5093"/>
        <item m="1" x="5094"/>
        <item m="1" x="3916"/>
        <item m="1" x="4987"/>
        <item m="1" x="5095"/>
        <item m="1" x="5096"/>
        <item m="1" x="5097"/>
        <item m="1" x="5098"/>
        <item m="1" x="4990"/>
        <item m="1" x="5099"/>
        <item m="1" x="5100"/>
        <item m="1" x="5101"/>
        <item m="1" x="4421"/>
        <item m="1" x="4995"/>
        <item m="1" x="5102"/>
        <item m="1" x="4826"/>
        <item m="1" x="3391"/>
        <item m="1" x="5103"/>
        <item m="1" x="5104"/>
        <item m="1" x="5106"/>
        <item m="1" x="5107"/>
        <item m="1" x="5108"/>
        <item m="1" x="4996"/>
        <item m="1" x="5109"/>
        <item m="1" x="4829"/>
        <item m="1" x="4830"/>
        <item m="1" x="5110"/>
        <item m="1" x="5111"/>
        <item m="1" x="5112"/>
        <item m="1" x="5113"/>
        <item m="1" x="5114"/>
        <item m="1" x="4831"/>
        <item m="1" x="3538"/>
        <item m="1" x="5004"/>
        <item m="1" x="5116"/>
        <item m="1" x="5117"/>
        <item m="1" x="5118"/>
        <item m="1" x="5119"/>
        <item m="1" x="5121"/>
        <item m="1" x="4226"/>
        <item m="1" x="5122"/>
        <item m="1" x="5123"/>
        <item m="1" x="4803"/>
        <item m="1" x="4729"/>
        <item m="1" x="4434"/>
        <item m="1" x="4209"/>
        <item m="1" x="5124"/>
        <item m="1" x="5125"/>
        <item m="1" x="4362"/>
        <item m="1" x="5126"/>
        <item m="1" x="3982"/>
        <item m="1" x="4474"/>
        <item m="1" x="4079"/>
        <item m="1" x="4485"/>
        <item m="1" x="4757"/>
        <item m="1" x="4825"/>
        <item m="1" x="3403"/>
        <item m="1" x="4077"/>
        <item m="1" x="4078"/>
        <item m="1" x="5127"/>
        <item m="1" x="4832"/>
        <item m="1" x="4224"/>
        <item m="1" x="4225"/>
        <item m="1" x="4432"/>
        <item m="1" x="3970"/>
        <item m="1" x="4433"/>
        <item m="1" x="4955"/>
        <item m="1" x="4835"/>
        <item m="1" x="4010"/>
        <item m="1" x="4838"/>
        <item m="1" x="4957"/>
        <item m="1" x="4411"/>
        <item m="1" x="4412"/>
        <item m="1" x="4413"/>
        <item m="1" x="4958"/>
        <item m="1" x="4959"/>
        <item m="1" x="4960"/>
        <item m="1" x="3971"/>
        <item m="1" x="3972"/>
        <item m="1" x="3973"/>
        <item m="1" x="3503"/>
        <item m="1" x="4961"/>
        <item m="1" x="4963"/>
        <item m="1" x="2670"/>
        <item m="1" x="4964"/>
        <item m="1" x="4966"/>
        <item m="1" x="4967"/>
        <item m="1" x="4968"/>
        <item m="1" x="4851"/>
        <item m="1" x="4969"/>
        <item m="1" x="4975"/>
        <item m="1" x="4494"/>
        <item m="1" x="4976"/>
        <item m="1" x="4977"/>
        <item m="1" x="4978"/>
        <item m="1" x="4979"/>
        <item m="1" x="4980"/>
        <item m="1" x="4981"/>
        <item m="1" x="3410"/>
        <item m="1" x="4824"/>
        <item m="1" x="4982"/>
        <item m="1" x="4983"/>
        <item m="1" x="4537"/>
        <item m="1" x="4344"/>
        <item m="1" x="4666"/>
        <item m="1" x="4182"/>
        <item m="1" x="4183"/>
        <item m="1" x="4984"/>
        <item m="1" x="4986"/>
        <item m="1" x="4147"/>
        <item m="1" x="4989"/>
        <item m="1" x="4991"/>
        <item m="1" x="3947"/>
        <item m="1" x="3398"/>
        <item m="1" x="4992"/>
        <item m="1" x="4788"/>
        <item m="1" x="3581"/>
        <item m="1" x="4827"/>
        <item m="1" x="4993"/>
        <item m="1" x="4994"/>
        <item m="1" x="4329"/>
        <item m="1" x="3411"/>
        <item m="1" x="4828"/>
        <item m="1" x="3415"/>
        <item m="1" x="3421"/>
        <item m="1" x="4148"/>
        <item m="1" x="4997"/>
        <item m="1" x="4998"/>
        <item m="1" x="4283"/>
        <item m="1" x="4999"/>
        <item m="1" x="4680"/>
        <item m="1" x="5000"/>
        <item m="1" x="5001"/>
        <item m="1" x="5002"/>
        <item m="1" x="5003"/>
        <item m="1" x="5005"/>
        <item m="1" x="4511"/>
        <item m="1" x="4264"/>
        <item m="1" x="4266"/>
        <item m="1" x="4265"/>
        <item m="1" x="4267"/>
        <item m="1" x="5006"/>
        <item m="1" x="4807"/>
        <item m="1" x="4223"/>
        <item m="1" x="4430"/>
        <item m="1" x="4431"/>
        <item m="1" x="4515"/>
        <item m="1" x="4516"/>
        <item m="1" x="4839"/>
        <item m="1" x="4840"/>
        <item m="1" x="4841"/>
        <item m="1" x="5007"/>
        <item m="1" x="4453"/>
        <item m="1" x="5008"/>
        <item m="1" x="5009"/>
        <item m="1" x="5010"/>
        <item m="1" x="5011"/>
        <item m="1" x="5012"/>
        <item m="1" x="5013"/>
        <item m="1" x="4667"/>
        <item m="1" x="5014"/>
        <item m="1" x="4865"/>
        <item m="1" x="4804"/>
        <item m="1" x="4751"/>
        <item m="1" x="5015"/>
        <item m="1" x="5016"/>
        <item m="1" x="5017"/>
        <item m="1" x="4674"/>
        <item m="1" x="4151"/>
        <item m="1" x="5018"/>
        <item m="1" x="3382"/>
        <item m="1" x="3413"/>
        <item m="1" x="5019"/>
        <item m="1" x="3412"/>
        <item m="1" x="3418"/>
        <item m="1" x="3419"/>
        <item m="1" x="3449"/>
        <item m="1" x="5020"/>
        <item m="1" x="5021"/>
        <item m="1" x="2009"/>
        <item m="1" x="3437"/>
        <item m="1" x="3478"/>
        <item m="1" x="4864"/>
        <item m="1" x="5023"/>
        <item m="1" x="5024"/>
        <item m="1" x="4868"/>
        <item m="1" x="5025"/>
        <item m="1" x="3702"/>
        <item m="1" x="4834"/>
        <item m="1" x="4427"/>
        <item m="1" x="4428"/>
        <item m="1" x="4796"/>
        <item m="1" x="4701"/>
        <item m="1" x="4387"/>
        <item m="1" x="4836"/>
        <item m="1" x="4837"/>
        <item m="1" x="4520"/>
        <item m="1" x="4518"/>
        <item m="1" x="4519"/>
        <item m="1" x="4842"/>
        <item m="1" x="4772"/>
        <item m="1" x="3809"/>
        <item m="1" x="4843"/>
        <item m="1" x="4321"/>
        <item m="1" x="4374"/>
        <item m="1" x="4048"/>
        <item m="1" x="3862"/>
        <item m="1" x="4844"/>
        <item m="1" x="4845"/>
        <item m="1" x="4462"/>
        <item m="1" x="4846"/>
        <item m="1" x="4847"/>
        <item m="1" x="4049"/>
        <item m="1" x="4848"/>
        <item m="1" x="4849"/>
        <item m="1" x="4595"/>
        <item m="1" x="4850"/>
        <item m="1" x="4467"/>
        <item m="1" x="4468"/>
        <item m="1" x="4463"/>
        <item m="1" x="4464"/>
        <item m="1" x="4465"/>
        <item m="1" x="4466"/>
        <item m="1" x="3867"/>
        <item m="1" x="4477"/>
        <item m="1" x="4493"/>
        <item m="1" x="4490"/>
        <item m="1" x="4852"/>
        <item m="1" x="4489"/>
        <item m="1" x="4694"/>
        <item m="1" x="4330"/>
        <item m="1" x="4331"/>
        <item m="1" x="4853"/>
        <item m="1" x="4854"/>
        <item m="1" x="1523"/>
        <item m="1" x="4343"/>
        <item m="1" x="4345"/>
        <item m="1" x="4346"/>
        <item m="1" x="4669"/>
        <item m="1" x="4546"/>
        <item m="1" x="4534"/>
        <item m="1" x="4535"/>
        <item m="1" x="4670"/>
        <item m="1" x="4671"/>
        <item m="1" x="4668"/>
        <item m="1" x="4855"/>
        <item m="1" x="4753"/>
        <item m="1" x="4752"/>
        <item m="1" x="4678"/>
        <item m="1" x="4743"/>
        <item m="1" x="4856"/>
        <item m="1" x="3383"/>
        <item m="1" x="3386"/>
        <item m="1" x="3389"/>
        <item m="1" x="3424"/>
        <item m="1" x="3497"/>
        <item m="1" x="4857"/>
        <item m="1" x="4858"/>
        <item m="1" x="4859"/>
        <item m="1" x="4860"/>
        <item m="1" x="3593"/>
        <item m="1" x="4737"/>
        <item m="1" x="4622"/>
        <item m="1" x="3465"/>
        <item m="1" x="3404"/>
        <item m="1" x="4861"/>
        <item m="1" x="4862"/>
        <item m="1" x="4734"/>
        <item m="1" x="4863"/>
        <item m="1" x="3471"/>
        <item m="1" x="3491"/>
        <item m="1" x="3498"/>
        <item m="1" x="4866"/>
        <item m="1" x="4867"/>
        <item m="1" x="1102"/>
        <item m="1" x="4695"/>
        <item m="1" x="4781"/>
        <item m="1" x="4784"/>
        <item m="1" x="4782"/>
        <item m="1" x="4780"/>
        <item m="1" x="4779"/>
        <item m="1" x="4307"/>
        <item m="1" x="4869"/>
        <item m="1" x="3854"/>
        <item m="1" x="4118"/>
        <item m="1" x="4771"/>
        <item m="1" x="4271"/>
        <item m="1" x="4426"/>
        <item m="1" x="4429"/>
        <item m="1" x="4521"/>
        <item m="1" x="4596"/>
        <item m="1" x="4597"/>
        <item m="1" x="4870"/>
        <item m="1" x="4373"/>
        <item m="1" x="4371"/>
        <item m="1" x="4375"/>
        <item m="1" x="4372"/>
        <item m="1" x="4461"/>
        <item m="1" x="4746"/>
        <item m="1" x="4747"/>
        <item m="1" x="3368"/>
        <item m="1" x="2416"/>
        <item m="1" x="4871"/>
        <item m="1" x="4689"/>
        <item m="1" x="4765"/>
        <item m="1" x="4696"/>
        <item m="1" x="4619"/>
        <item m="1" x="4592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708"/>
        <item m="1" x="4881"/>
        <item m="1" x="4882"/>
        <item m="1" x="4783"/>
        <item m="1" x="4883"/>
        <item m="1" x="4884"/>
        <item m="1" x="4279"/>
        <item m="1" x="4763"/>
        <item m="1" x="4764"/>
        <item m="1" x="4569"/>
        <item m="1" x="4766"/>
        <item m="1" x="4767"/>
        <item m="1" x="2460"/>
        <item m="1" x="3779"/>
        <item m="1" x="3396"/>
        <item m="1" x="4573"/>
        <item m="1" x="3796"/>
        <item m="1" x="4768"/>
        <item m="1" x="4769"/>
        <item m="1" x="4775"/>
        <item m="1" x="4776"/>
        <item m="1" x="4777"/>
        <item m="1" x="4778"/>
        <item m="1" x="4785"/>
        <item m="1" x="4786"/>
        <item m="1" x="3810"/>
        <item m="1" x="3808"/>
        <item m="1" x="3969"/>
        <item m="1" x="3811"/>
        <item m="1" x="3996"/>
        <item m="1" x="4333"/>
        <item m="1" x="4368"/>
        <item m="1" x="3499"/>
        <item m="1" x="4348"/>
        <item m="1" x="4598"/>
        <item m="1" x="4787"/>
        <item m="1" x="4386"/>
        <item m="1" x="4606"/>
        <item x="65"/>
        <item m="1" x="4607"/>
        <item m="1" x="4200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23"/>
        <item m="1" x="4405"/>
        <item m="1" x="4397"/>
        <item m="1" x="4409"/>
        <item m="1" x="4789"/>
        <item m="1" x="4790"/>
        <item m="1" x="4791"/>
        <item m="1" x="4201"/>
        <item m="1" x="4792"/>
        <item m="1" x="4793"/>
        <item m="1" x="4794"/>
        <item m="1" x="4204"/>
        <item m="1" x="4416"/>
        <item m="1" x="4723"/>
        <item m="1" x="4722"/>
        <item m="1" x="4445"/>
        <item m="1" x="4631"/>
        <item m="1" x="3864"/>
        <item m="1" x="4798"/>
        <item m="1" x="4799"/>
        <item m="1" x="4053"/>
        <item m="1" x="4059"/>
        <item m="1" x="4460"/>
        <item m="1" x="4452"/>
        <item m="1" x="2041"/>
        <item m="1" x="4483"/>
        <item m="1" x="4484"/>
        <item m="1" x="3334"/>
        <item m="1" x="4497"/>
        <item m="1" x="3493"/>
        <item m="1" x="3494"/>
        <item m="1" x="4800"/>
        <item m="1" x="4082"/>
        <item m="1" x="4801"/>
        <item m="1" x="4503"/>
        <item m="1" x="2907"/>
        <item m="1" x="4502"/>
        <item m="1" x="4738"/>
        <item m="1" x="4802"/>
        <item m="1" x="4646"/>
        <item m="1" x="4510"/>
        <item m="1" x="3765"/>
        <item m="1" x="4514"/>
        <item m="1" x="4513"/>
        <item m="1" x="4525"/>
        <item m="1" x="4538"/>
        <item m="1" x="4544"/>
        <item m="1" x="4745"/>
        <item m="1" x="4657"/>
        <item m="1" x="4547"/>
        <item m="1" x="4656"/>
        <item m="1" x="3908"/>
        <item m="1" x="4552"/>
        <item m="1" x="4748"/>
        <item m="1" x="4749"/>
        <item m="1" x="4750"/>
        <item m="1" x="4754"/>
        <item m="1" x="4760"/>
        <item m="1" x="4560"/>
        <item m="1" x="3974"/>
        <item m="1" x="4138"/>
        <item m="1" x="4564"/>
        <item m="1" x="4139"/>
        <item m="1" x="4806"/>
        <item m="1" x="3606"/>
        <item m="1" x="4153"/>
        <item m="1" x="4149"/>
        <item m="1" x="4150"/>
        <item m="1" x="4276"/>
        <item m="1" x="4277"/>
        <item m="1" x="4278"/>
        <item m="1" x="4287"/>
        <item m="1" x="4288"/>
        <item m="1" x="4578"/>
        <item m="1" x="4577"/>
        <item m="1" x="4690"/>
        <item m="1" x="4572"/>
        <item m="1" x="3438"/>
        <item m="1" x="4293"/>
        <item m="1" x="4294"/>
        <item m="1" x="4295"/>
        <item m="1" x="4291"/>
        <item m="1" x="4582"/>
        <item m="1" x="3950"/>
        <item m="1" x="4403"/>
        <item m="1" x="4691"/>
        <item m="1" x="4292"/>
        <item m="1" x="4296"/>
        <item m="1" x="4692"/>
        <item m="1" x="3406"/>
        <item m="1" x="3407"/>
        <item m="1" x="3376"/>
        <item m="1" x="3783"/>
        <item m="1" x="4693"/>
        <item m="1" x="3784"/>
        <item m="1" x="2817"/>
        <item m="1" x="4697"/>
        <item m="1" x="4698"/>
        <item m="1" x="4699"/>
        <item m="1" x="4700"/>
        <item m="1" x="2406"/>
        <item m="1" x="2410"/>
        <item m="1" x="3728"/>
        <item m="1" x="3826"/>
        <item m="1" x="4315"/>
        <item m="1" x="3813"/>
        <item m="1" x="3976"/>
        <item m="1" x="4187"/>
        <item m="1" x="4188"/>
        <item m="1" x="4327"/>
        <item m="1" x="4328"/>
        <item m="1" x="4594"/>
        <item m="1" x="3988"/>
        <item m="1" x="4341"/>
        <item m="1" x="4342"/>
        <item m="1" x="4365"/>
        <item m="1" x="4366"/>
        <item m="1" x="4367"/>
        <item m="1" x="4364"/>
        <item m="1" x="4599"/>
        <item m="1" x="4602"/>
        <item m="1" x="4603"/>
        <item m="1" x="4003"/>
        <item m="1" x="4004"/>
        <item m="1" x="4601"/>
        <item m="1" x="4604"/>
        <item m="1" x="4605"/>
        <item m="1" x="4018"/>
        <item m="1" x="3470"/>
        <item m="1" x="4702"/>
        <item m="1" x="4703"/>
        <item m="1" x="4704"/>
        <item m="1" x="4705"/>
        <item m="1" x="4706"/>
        <item m="1" x="4199"/>
        <item m="1" x="4040"/>
        <item m="1" x="4627"/>
        <item m="1" x="4626"/>
        <item m="1" x="3392"/>
        <item m="1" x="3393"/>
        <item m="1" x="3394"/>
        <item m="1" x="2979"/>
        <item m="1" x="4717"/>
        <item m="1" x="4718"/>
        <item m="1" x="4436"/>
        <item m="1" x="4719"/>
        <item m="1" x="4720"/>
        <item m="1" x="4026"/>
        <item m="1" x="4437"/>
        <item m="1" x="4721"/>
        <item m="1" x="4438"/>
        <item m="1" x="4439"/>
        <item m="1" x="4212"/>
        <item m="1" x="4440"/>
        <item m="1" x="4724"/>
        <item m="1" x="4726"/>
        <item m="1" x="4727"/>
        <item m="1" x="4211"/>
        <item m="1" x="3858"/>
        <item m="1" x="4446"/>
        <item m="1" x="3460"/>
        <item m="1" x="3466"/>
        <item m="1" x="4052"/>
        <item m="1" x="3546"/>
        <item m="1" x="3537"/>
        <item m="1" x="4730"/>
        <item m="1" x="4731"/>
        <item m="1" x="3761"/>
        <item m="1" x="4732"/>
        <item m="1" x="4080"/>
        <item m="1" x="4081"/>
        <item m="1" x="3888"/>
        <item m="1" x="4642"/>
        <item m="1" x="4733"/>
        <item m="1" x="1721"/>
        <item m="1" x="4643"/>
        <item m="1" x="3409"/>
        <item m="1" x="3464"/>
        <item m="1" x="4634"/>
        <item m="1" x="4635"/>
        <item m="1" x="4636"/>
        <item m="1" x="4509"/>
        <item m="1" x="4735"/>
        <item m="1" x="4736"/>
        <item m="1" x="4639"/>
        <item m="1" x="4739"/>
        <item m="1" x="4740"/>
        <item m="1" x="4741"/>
        <item m="1" x="4744"/>
        <item m="1" x="3458"/>
        <item m="1" x="4647"/>
        <item m="1" x="4530"/>
        <item m="1" x="4648"/>
        <item m="1" x="4672"/>
        <item m="1" x="4659"/>
        <item m="1" x="4548"/>
        <item m="1" x="4660"/>
        <item m="1" x="4661"/>
        <item m="1" x="4662"/>
        <item m="1" x="4543"/>
        <item m="1" x="4679"/>
        <item m="1" x="3727"/>
        <item m="1" x="4755"/>
        <item m="1" x="4756"/>
        <item m="1" x="4761"/>
        <item m="1" x="4272"/>
        <item m="1" x="4273"/>
        <item m="1" x="4274"/>
        <item m="1" x="4275"/>
        <item m="1" x="4567"/>
        <item m="1" x="4568"/>
        <item m="1" x="4570"/>
        <item m="1" x="4286"/>
        <item m="1" x="4571"/>
        <item m="1" x="4574"/>
        <item m="1" x="4575"/>
        <item m="1" x="4576"/>
        <item m="1" x="4579"/>
        <item m="1" x="4580"/>
        <item m="1" x="4581"/>
        <item m="1" x="3384"/>
        <item m="1" x="4290"/>
        <item m="1" x="4583"/>
        <item m="1" x="4584"/>
        <item m="1" x="4585"/>
        <item m="1" x="4586"/>
        <item m="1" x="3782"/>
        <item m="1" x="4587"/>
        <item m="1" x="4588"/>
        <item m="1" x="4589"/>
        <item m="1" x="4590"/>
        <item m="1" x="4591"/>
        <item m="1" x="3806"/>
        <item m="1" x="3812"/>
        <item m="1" x="3571"/>
        <item m="1" x="3984"/>
        <item m="1" x="4593"/>
        <item m="1" x="4324"/>
        <item m="1" x="4325"/>
        <item m="1" x="4326"/>
        <item m="1" x="4323"/>
        <item m="1" x="3827"/>
        <item m="1" x="4340"/>
        <item m="1" x="3985"/>
        <item m="1" x="4351"/>
        <item m="1" x="3824"/>
        <item m="1" x="3825"/>
        <item m="1" x="3992"/>
        <item m="1" x="4334"/>
        <item m="1" x="4335"/>
        <item m="1" x="4336"/>
        <item m="1" x="4337"/>
        <item m="1" x="4338"/>
        <item m="1" x="4339"/>
        <item m="1" x="3993"/>
        <item m="1" x="4363"/>
        <item m="1" x="4369"/>
        <item m="1" x="2411"/>
        <item m="1" x="4378"/>
        <item m="1" x="4011"/>
        <item m="1" x="4620"/>
        <item m="1" x="4388"/>
        <item m="1" x="4621"/>
        <item m="1" x="4390"/>
        <item m="1" x="3582"/>
        <item m="1" x="4193"/>
        <item m="1" x="3849"/>
        <item m="1" x="4398"/>
        <item m="1" x="4399"/>
        <item m="1" x="4400"/>
        <item m="1" x="4401"/>
        <item m="1" x="4402"/>
        <item m="1" x="4414"/>
        <item m="1" x="4625"/>
        <item m="1" x="4629"/>
        <item m="1" x="4419"/>
        <item m="1" x="4420"/>
        <item m="1" x="4038"/>
        <item m="1" x="4213"/>
        <item m="1" x="4206"/>
        <item m="1" x="4217"/>
        <item m="1" x="4218"/>
        <item m="1" x="4441"/>
        <item m="1" x="4207"/>
        <item m="1" x="3863"/>
        <item m="1" x="3453"/>
        <item m="1" x="3451"/>
        <item m="1" x="3459"/>
        <item m="1" x="3455"/>
        <item m="1" x="3378"/>
        <item m="1" x="3865"/>
        <item m="1" x="3759"/>
        <item m="1" x="3760"/>
        <item m="1" x="3866"/>
        <item m="1" x="3758"/>
        <item m="1" x="4632"/>
        <item m="1" x="4451"/>
        <item m="1" x="4480"/>
        <item m="1" x="4481"/>
        <item m="1" x="4482"/>
        <item m="1" x="3872"/>
        <item m="1" x="4495"/>
        <item m="1" x="4496"/>
        <item m="1" x="4633"/>
        <item m="1" x="4637"/>
        <item m="1" x="4638"/>
        <item m="1" x="4640"/>
        <item m="1" x="3405"/>
        <item m="1" x="3420"/>
        <item m="1" x="4641"/>
        <item m="1" x="2948"/>
        <item m="1" x="3416"/>
        <item m="1" x="4644"/>
        <item m="1" x="4504"/>
        <item m="1" x="4645"/>
        <item m="1" x="4249"/>
        <item m="1" x="4517"/>
        <item m="1" x="4526"/>
        <item m="1" x="4112"/>
        <item m="1" x="4527"/>
        <item m="1" x="4120"/>
        <item m="1" x="4121"/>
        <item m="1" x="4119"/>
        <item m="1" x="4124"/>
        <item m="1" x="4529"/>
        <item m="1" x="4125"/>
        <item m="1" x="3902"/>
        <item m="1" x="4531"/>
        <item m="1" x="4658"/>
        <item m="1" x="4675"/>
        <item m="1" x="4676"/>
        <item m="1" x="4677"/>
        <item m="1" x="4553"/>
        <item m="1" x="4681"/>
        <item m="1" x="4682"/>
        <item m="1" x="4683"/>
        <item m="1" x="3050"/>
        <item m="1" x="4684"/>
        <item m="1" x="4685"/>
        <item m="1" x="4686"/>
        <item m="1" x="4563"/>
        <item m="1" x="4562"/>
        <item m="1" x="4688"/>
        <item m="1" x="4154"/>
        <item m="1" x="910"/>
        <item m="1" x="3919"/>
        <item m="1" x="3920"/>
        <item m="1" x="3921"/>
        <item m="1" x="3922"/>
        <item m="1" x="3923"/>
        <item m="1" x="3931"/>
        <item m="1" x="3930"/>
        <item m="1" x="3926"/>
        <item m="1" x="3927"/>
        <item m="1" x="3928"/>
        <item m="1" x="3929"/>
        <item m="1" x="4159"/>
        <item m="1" x="4280"/>
        <item m="1" x="2793"/>
        <item m="1" x="4281"/>
        <item m="1" x="4282"/>
        <item m="1" x="3925"/>
        <item m="1" x="3173"/>
        <item m="1" x="3935"/>
        <item m="1" x="3768"/>
        <item m="1" x="3936"/>
        <item m="1" x="3932"/>
        <item m="1" x="3933"/>
        <item m="1" x="3934"/>
        <item m="1" x="3770"/>
        <item m="1" x="3939"/>
        <item m="1" x="3938"/>
        <item m="1" x="3937"/>
        <item m="1" x="4284"/>
        <item m="1" x="3373"/>
        <item m="1" x="4285"/>
        <item m="1" x="4289"/>
        <item m="1" x="4158"/>
        <item m="1" x="3561"/>
        <item m="1" x="4297"/>
        <item m="1" x="4298"/>
        <item m="1" x="4299"/>
        <item m="1" x="4300"/>
        <item m="1" x="4301"/>
        <item m="1" x="3946"/>
        <item m="1" x="2409"/>
        <item m="1" x="4302"/>
        <item m="1" x="4303"/>
        <item m="1" x="4167"/>
        <item m="1" x="3462"/>
        <item m="1" x="4169"/>
        <item m="1" x="4170"/>
        <item m="1" x="4171"/>
        <item m="1" x="4168"/>
        <item m="1" x="4304"/>
        <item m="1" x="4305"/>
        <item m="1" x="4306"/>
        <item m="1" x="4308"/>
        <item m="1" x="4309"/>
        <item m="1" x="4310"/>
        <item m="1" x="4311"/>
        <item m="1" x="4312"/>
        <item m="1" x="3807"/>
        <item m="1" x="4313"/>
        <item m="1" x="4314"/>
        <item m="1" x="3729"/>
        <item m="1" x="3730"/>
        <item m="1" x="4316"/>
        <item m="1" x="4317"/>
        <item m="1" x="4318"/>
        <item m="1" x="4319"/>
        <item m="1" x="4320"/>
        <item m="1" x="4350"/>
        <item m="1" x="3990"/>
        <item m="1" x="4377"/>
        <item m="1" x="4379"/>
        <item m="1" x="4380"/>
        <item m="1" x="4381"/>
        <item m="1" x="4001"/>
        <item m="1" x="4002"/>
        <item m="1" x="4007"/>
        <item m="1" x="4382"/>
        <item m="1" x="4384"/>
        <item m="1" x="4385"/>
        <item m="1" x="4389"/>
        <item m="1" x="4391"/>
        <item m="1" x="4392"/>
        <item m="1" x="4393"/>
        <item m="1" x="4023"/>
        <item m="1" x="3427"/>
        <item m="1" x="4418"/>
        <item m="1" x="4443"/>
        <item m="1" x="4214"/>
        <item m="1" x="4215"/>
        <item m="1" x="4444"/>
        <item m="1" x="4216"/>
        <item m="1" x="4448"/>
        <item m="1" x="3454"/>
        <item m="1" x="3450"/>
        <item m="1" x="3452"/>
        <item m="1" x="3467"/>
        <item m="1" x="3757"/>
        <item m="1" x="4475"/>
        <item m="1" x="4476"/>
        <item m="1" x="4066"/>
        <item m="1" x="4232"/>
        <item m="1" x="4067"/>
        <item m="1" x="4479"/>
        <item m="1" x="3873"/>
        <item m="1" x="4233"/>
        <item m="1" x="4498"/>
        <item m="1" x="4499"/>
        <item m="1" x="4500"/>
        <item m="1" x="4501"/>
        <item m="1" x="4069"/>
        <item m="1" x="1892"/>
        <item m="1" x="3764"/>
        <item m="1" x="4505"/>
        <item m="1" x="4506"/>
        <item m="1" x="4507"/>
        <item m="1" x="4508"/>
        <item m="1" x="4242"/>
        <item m="1" x="4512"/>
        <item m="1" x="4528"/>
        <item m="1" x="4115"/>
        <item m="1" x="4539"/>
        <item m="1" x="4540"/>
        <item m="1" x="4541"/>
        <item m="1" x="4542"/>
        <item m="1" x="4549"/>
        <item m="1" x="4550"/>
        <item m="1" x="4551"/>
        <item m="1" x="4554"/>
        <item m="1" x="4555"/>
        <item m="1" x="4556"/>
        <item m="1" x="4557"/>
        <item m="1" x="4558"/>
        <item m="1" x="4559"/>
        <item m="1" x="4117"/>
        <item m="1" x="3917"/>
        <item m="1" x="3918"/>
        <item m="1" x="3769"/>
        <item m="1" x="4160"/>
        <item m="1" x="4161"/>
        <item m="1" x="4162"/>
        <item m="1" x="4163"/>
        <item m="1" x="3530"/>
        <item m="1" x="3440"/>
        <item m="1" x="4164"/>
        <item m="1" x="3531"/>
        <item m="1" x="3532"/>
        <item m="1" x="4165"/>
        <item m="1" x="3948"/>
        <item m="1" x="3949"/>
        <item m="1" x="3951"/>
        <item m="1" x="3818"/>
        <item m="1" x="4166"/>
        <item m="1" x="3954"/>
        <item m="1" x="3955"/>
        <item m="1" x="4172"/>
        <item m="1" x="4173"/>
        <item m="1" x="3943"/>
        <item m="1" x="3942"/>
        <item m="1" x="4174"/>
        <item m="1" x="3632"/>
        <item m="1" x="4175"/>
        <item m="1" x="3781"/>
        <item m="1" x="3780"/>
        <item m="1" x="4176"/>
        <item m="1" x="4177"/>
        <item m="1" x="4178"/>
        <item m="1" x="4179"/>
        <item m="1" x="4180"/>
        <item m="1" x="4181"/>
        <item m="1" x="3962"/>
        <item m="1" x="3572"/>
        <item m="1" x="2809"/>
        <item m="1" x="4185"/>
        <item m="1" x="4186"/>
        <item m="1" x="3823"/>
        <item m="1" x="3817"/>
        <item m="1" x="3986"/>
        <item m="1" x="3987"/>
        <item m="1" x="3886"/>
        <item m="1" x="3981"/>
        <item m="1" x="3994"/>
        <item m="1" x="3995"/>
        <item m="1" x="3989"/>
        <item m="1" x="2711"/>
        <item m="1" x="4189"/>
        <item m="1" x="4190"/>
        <item m="1" x="4191"/>
        <item m="1" x="4192"/>
        <item m="1" x="4020"/>
        <item m="1" x="4194"/>
        <item m="1" x="4228"/>
        <item m="1" x="4229"/>
        <item m="1" x="3475"/>
        <item m="1" x="3476"/>
        <item m="1" x="4195"/>
        <item m="1" x="4196"/>
        <item m="1" x="4197"/>
        <item m="1" x="4198"/>
        <item m="1" x="2046"/>
        <item m="1" x="3589"/>
        <item m="1" x="3428"/>
        <item m="1" x="3751"/>
        <item m="1" x="4202"/>
        <item m="1" x="4203"/>
        <item m="1" x="3752"/>
        <item m="1" x="4030"/>
        <item m="1" x="3754"/>
        <item m="1" x="3349"/>
        <item m="1" x="4205"/>
        <item m="1" x="4208"/>
        <item m="1" x="3166"/>
        <item m="1" x="4044"/>
        <item m="1" x="4219"/>
        <item m="1" x="3490"/>
        <item m="1" x="4240"/>
        <item m="1" x="3855"/>
        <item m="1" x="4250"/>
        <item m="1" x="3377"/>
        <item m="1" x="4054"/>
        <item m="1" x="4055"/>
        <item m="1" x="4056"/>
        <item m="1" x="3868"/>
        <item m="1" x="3481"/>
        <item m="1" x="4234"/>
        <item m="1" x="4072"/>
        <item m="1" x="4235"/>
        <item m="1" x="4071"/>
        <item m="1" x="4070"/>
        <item m="1" x="4236"/>
        <item m="1" x="4237"/>
        <item m="1" x="4238"/>
        <item m="1" x="4239"/>
        <item m="1" x="2467"/>
        <item m="1" x="3417"/>
        <item m="1" x="4241"/>
        <item m="1" x="2415"/>
        <item m="1" x="4243"/>
        <item m="1" x="4244"/>
        <item m="1" x="2913"/>
        <item m="1" x="4245"/>
        <item m="1" x="4246"/>
        <item m="1" x="2713"/>
        <item m="1" x="4091"/>
        <item m="1" x="4247"/>
        <item m="1" x="4248"/>
        <item m="1" x="4254"/>
        <item m="1" x="4093"/>
        <item m="1" x="4102"/>
        <item m="1" x="4103"/>
        <item m="1" x="4104"/>
        <item m="1" x="4106"/>
        <item m="1" x="4107"/>
        <item m="1" x="4259"/>
        <item m="1" x="4251"/>
        <item m="1" x="4129"/>
        <item m="1" x="4128"/>
        <item m="1" x="4252"/>
        <item m="1" x="4253"/>
        <item m="1" x="3329"/>
        <item m="1" x="4256"/>
        <item m="1" x="4257"/>
        <item m="1" x="4258"/>
        <item m="1" x="4141"/>
        <item m="1" x="3870"/>
        <item m="1" x="3335"/>
        <item m="1" x="4260"/>
        <item m="1" x="4261"/>
        <item m="1" x="4262"/>
        <item m="1" x="4263"/>
        <item m="1" x="4156"/>
        <item m="1" x="3533"/>
        <item m="1" x="3534"/>
        <item m="1" x="3940"/>
        <item m="1" x="3196"/>
        <item m="1" x="2407"/>
        <item m="1" x="3941"/>
        <item m="1" x="3944"/>
        <item m="1" x="898"/>
        <item m="1" x="3945"/>
        <item m="1" x="3539"/>
        <item m="1" x="3952"/>
        <item m="1" x="3793"/>
        <item m="1" x="3794"/>
        <item m="1" x="3795"/>
        <item m="1" x="3953"/>
        <item m="1" x="3956"/>
        <item m="1" x="3957"/>
        <item m="1" x="3958"/>
        <item m="1" x="3959"/>
        <item m="1" x="3960"/>
        <item m="1" x="3961"/>
        <item m="1" x="3963"/>
        <item m="1" x="3964"/>
        <item m="1" x="3965"/>
        <item m="1" x="3966"/>
        <item m="1" x="3967"/>
        <item m="1" x="3968"/>
        <item m="1" x="3975"/>
        <item m="1" x="3814"/>
        <item m="1" x="3978"/>
        <item m="1" x="3979"/>
        <item m="1" x="3980"/>
        <item m="1" x="2117"/>
        <item m="1" x="3820"/>
        <item m="1" x="3821"/>
        <item m="1" x="3822"/>
        <item m="1" x="3815"/>
        <item m="1" x="3983"/>
        <item m="1" x="4027"/>
        <item m="1" x="4013"/>
        <item m="1" x="3991"/>
        <item m="1" x="3323"/>
        <item m="1" x="3998"/>
        <item m="1" x="4005"/>
        <item m="1" x="4006"/>
        <item m="1" x="4008"/>
        <item m="1" x="4009"/>
        <item m="1" x="4012"/>
        <item m="1" x="4014"/>
        <item m="1" x="4015"/>
        <item m="1" x="4016"/>
        <item m="1" x="4017"/>
        <item m="1" x="4019"/>
        <item m="1" x="3848"/>
        <item m="1" x="3850"/>
        <item m="1" x="4024"/>
        <item m="1" x="4025"/>
        <item m="1" x="3000"/>
        <item m="1" x="4028"/>
        <item m="1" x="4029"/>
        <item m="1" x="3657"/>
        <item m="1" x="4031"/>
        <item m="1" x="4032"/>
        <item m="1" x="4033"/>
        <item m="1" x="4034"/>
        <item m="1" x="4035"/>
        <item m="1" x="4036"/>
        <item m="1" x="3380"/>
        <item m="1" x="3395"/>
        <item m="1" x="3526"/>
        <item m="1" x="3515"/>
        <item m="1" x="3512"/>
        <item m="1" x="4039"/>
        <item m="1" x="4041"/>
        <item m="1" x="4042"/>
        <item m="1" x="4043"/>
        <item m="1" x="4045"/>
        <item m="1" x="4046"/>
        <item m="1" x="4047"/>
        <item m="1" x="3853"/>
        <item m="1" x="3444"/>
        <item m="1" x="3859"/>
        <item m="1" x="4050"/>
        <item m="1" x="4051"/>
        <item m="1" x="4057"/>
        <item m="1" x="4058"/>
        <item m="1" x="4060"/>
        <item m="1" x="4061"/>
        <item m="1" x="4063"/>
        <item m="1" x="4064"/>
        <item m="1" x="3869"/>
        <item m="1" x="4065"/>
        <item m="1" x="4068"/>
        <item m="1" x="4073"/>
        <item m="1" x="4074"/>
        <item m="1" x="4076"/>
        <item m="1" x="3803"/>
        <item m="1" x="4086"/>
        <item m="1" x="4087"/>
        <item m="1" x="4088"/>
        <item m="1" x="4090"/>
        <item m="1" x="3683"/>
        <item m="1" x="4094"/>
        <item m="1" x="4095"/>
        <item m="1" x="4096"/>
        <item m="1" x="904"/>
        <item m="1" x="4097"/>
        <item m="1" x="4098"/>
        <item m="1" x="4099"/>
        <item m="1" x="4105"/>
        <item m="1" x="3473"/>
        <item m="1" x="4100"/>
        <item m="1" x="4101"/>
        <item m="1" x="4113"/>
        <item m="1" x="4122"/>
        <item m="1" x="4123"/>
        <item m="1" x="4116"/>
        <item m="1" x="4126"/>
        <item m="1" x="4127"/>
        <item m="1" x="4130"/>
        <item m="1" x="4131"/>
        <item m="1" x="4132"/>
        <item m="1" x="4133"/>
        <item m="1" x="4134"/>
        <item m="1" x="4135"/>
        <item m="1" x="4136"/>
        <item m="1" x="4137"/>
        <item m="1" x="3317"/>
        <item m="1" x="3318"/>
        <item m="1" x="3319"/>
        <item m="1" x="3321"/>
        <item m="1" x="4142"/>
        <item m="1" x="4143"/>
        <item m="1" x="4140"/>
        <item m="1" x="4152"/>
        <item m="1" x="4155"/>
        <item m="1" x="2808"/>
        <item m="1" x="3771"/>
        <item m="1" x="2112"/>
        <item m="1" x="3772"/>
        <item m="1" x="3773"/>
        <item m="1" x="3774"/>
        <item m="1" x="3775"/>
        <item m="1" x="2712"/>
        <item m="1" x="3776"/>
        <item m="1" x="3777"/>
        <item m="1" x="3778"/>
        <item m="1" x="1941"/>
        <item m="1" x="3785"/>
        <item m="1" x="3786"/>
        <item m="1" x="3566"/>
        <item m="1" x="3787"/>
        <item m="1" x="3788"/>
        <item m="1" x="3789"/>
        <item m="1" x="3790"/>
        <item m="1" x="3791"/>
        <item m="1" x="3287"/>
        <item m="1" x="3792"/>
        <item m="1" x="3797"/>
        <item m="1" x="3798"/>
        <item m="1" x="3725"/>
        <item m="1" x="3799"/>
        <item m="1" x="3800"/>
        <item m="1" x="3801"/>
        <item m="1" x="3802"/>
        <item m="1" x="3804"/>
        <item m="1" x="3805"/>
        <item m="1" x="3288"/>
        <item m="1" x="3624"/>
        <item m="1" x="2810"/>
        <item m="1" x="3502"/>
        <item m="1" x="3390"/>
        <item m="1" x="3576"/>
        <item m="1" x="3816"/>
        <item m="1" x="3048"/>
        <item m="1" x="3049"/>
        <item m="1" x="3739"/>
        <item m="1" x="3819"/>
        <item m="1" x="3828"/>
        <item m="1" x="3472"/>
        <item m="1" x="3829"/>
        <item m="1" x="3763"/>
        <item m="1" x="3830"/>
        <item m="1" x="3831"/>
        <item m="1" x="3832"/>
        <item m="1" x="3833"/>
        <item m="1" x="3834"/>
        <item m="1" x="3835"/>
        <item m="1" x="3836"/>
        <item m="1" x="3401"/>
        <item m="1" x="3741"/>
        <item m="1" x="3742"/>
        <item m="1" x="3743"/>
        <item m="1" x="3744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2417"/>
        <item m="1" x="2412"/>
        <item m="1" x="1995"/>
        <item m="1" x="2414"/>
        <item m="1" x="3851"/>
        <item m="1" x="3852"/>
        <item m="1" x="3245"/>
        <item m="1" x="3660"/>
        <item m="1" x="3661"/>
        <item m="1" x="3448"/>
        <item m="1" x="3508"/>
        <item m="1" x="3658"/>
        <item m="1" x="3856"/>
        <item m="1" x="3857"/>
        <item m="1" x="3860"/>
        <item m="1" x="3861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341"/>
        <item m="1" x="3595"/>
        <item m="1" x="3684"/>
        <item m="1" x="3885"/>
        <item m="1" x="3889"/>
        <item m="1" x="3890"/>
        <item m="1" x="3461"/>
        <item m="1" x="2520"/>
        <item m="1" x="3891"/>
        <item m="1" x="3892"/>
        <item m="1" x="3893"/>
        <item m="1" x="3894"/>
        <item m="1" x="3693"/>
        <item m="1" x="3726"/>
        <item m="1" x="3895"/>
        <item m="1" x="3896"/>
        <item m="1" x="3897"/>
        <item m="1" x="3898"/>
        <item m="1" x="3899"/>
        <item m="1" x="3900"/>
        <item m="1" x="3901"/>
        <item m="1" x="3903"/>
        <item m="1" x="3904"/>
        <item m="1" x="3905"/>
        <item m="1" x="3906"/>
        <item m="1" x="3907"/>
        <item m="1" x="3482"/>
        <item m="1" x="3483"/>
        <item m="1" x="3731"/>
        <item m="1" x="3909"/>
        <item m="1" x="3910"/>
        <item m="1" x="3911"/>
        <item m="1" x="3912"/>
        <item m="1" x="3320"/>
        <item m="1" x="3913"/>
        <item m="1" x="3914"/>
        <item m="1" x="3322"/>
        <item m="1" x="3447"/>
        <item m="1" x="3397"/>
        <item m="1" x="3718"/>
        <item m="1" x="3719"/>
        <item m="1" x="3720"/>
        <item m="1" x="3507"/>
        <item m="1" x="3506"/>
        <item m="1" x="3721"/>
        <item m="1" x="3722"/>
        <item m="1" x="2466"/>
        <item m="1" x="1942"/>
        <item m="1" x="3723"/>
        <item m="1" x="3724"/>
        <item m="1" x="3617"/>
        <item m="1" x="3620"/>
        <item m="1" x="3732"/>
        <item m="1" x="3733"/>
        <item m="1" x="3584"/>
        <item m="1" x="3734"/>
        <item m="1" x="3735"/>
        <item m="1" x="3736"/>
        <item m="1" x="2724"/>
        <item m="1" x="3550"/>
        <item m="1" x="3519"/>
        <item m="1" x="3737"/>
        <item m="1" x="3738"/>
        <item m="1" x="3594"/>
        <item m="1" x="3627"/>
        <item m="1" x="3147"/>
        <item m="1" x="3636"/>
        <item m="1" x="3635"/>
        <item m="1" x="3633"/>
        <item m="1" x="3469"/>
        <item m="1" x="3740"/>
        <item m="1" x="3673"/>
        <item m="1" x="3641"/>
        <item m="1" x="3642"/>
        <item m="1" x="3643"/>
        <item m="1" x="3638"/>
        <item m="1" x="3652"/>
        <item m="1" x="3653"/>
        <item m="1" x="3745"/>
        <item m="1" x="3746"/>
        <item m="1" x="3747"/>
        <item m="1" x="3654"/>
        <item m="1" x="3655"/>
        <item m="1" x="3656"/>
        <item m="1" x="3748"/>
        <item m="1" x="3583"/>
        <item m="1" x="3668"/>
        <item m="1" x="3749"/>
        <item m="1" x="3750"/>
        <item m="1" x="3370"/>
        <item m="1" x="3369"/>
        <item m="1" x="2999"/>
        <item m="1" x="3659"/>
        <item m="1" x="3667"/>
        <item m="1" x="3551"/>
        <item m="1" x="3666"/>
        <item m="1" x="3549"/>
        <item m="1" x="3510"/>
        <item m="1" x="3662"/>
        <item m="1" x="3663"/>
        <item m="1" x="3552"/>
        <item m="1" x="3755"/>
        <item m="1" x="3756"/>
        <item m="1" x="3674"/>
        <item m="1" x="3548"/>
        <item m="1" x="3337"/>
        <item m="1" x="3679"/>
        <item m="1" x="3682"/>
        <item m="1" x="3685"/>
        <item m="1" x="3689"/>
        <item m="1" x="3692"/>
        <item m="1" x="3696"/>
        <item m="1" x="3694"/>
        <item m="1" x="3695"/>
        <item m="1" x="3703"/>
        <item m="1" x="3706"/>
        <item m="1" x="3707"/>
        <item m="1" x="3766"/>
        <item m="1" x="3709"/>
        <item m="1" x="3713"/>
        <item m="1" x="3714"/>
        <item m="1" x="3715"/>
        <item m="1" x="3710"/>
        <item m="1" x="3711"/>
        <item m="1" x="3311"/>
        <item m="1" x="3712"/>
        <item m="1" x="3767"/>
        <item m="1" x="3316"/>
        <item m="1" x="3716"/>
        <item m="1" x="3488"/>
        <item m="1" x="3333"/>
        <item m="1" x="3717"/>
        <item m="1" x="3607"/>
        <item m="1" x="3608"/>
        <item m="1" x="3528"/>
        <item m="1" x="3609"/>
        <item m="1" x="2896"/>
        <item m="1" x="3610"/>
        <item m="1" x="3611"/>
        <item m="1" x="3107"/>
        <item m="1" x="3612"/>
        <item m="1" x="3613"/>
        <item m="1" x="3342"/>
        <item m="1" x="3343"/>
        <item m="1" x="3614"/>
        <item m="1" x="3615"/>
        <item m="1" x="3616"/>
        <item m="1" x="3618"/>
        <item m="1" x="3399"/>
        <item m="1" x="3619"/>
        <item m="1" x="3621"/>
        <item m="1" x="2715"/>
        <item m="1" x="2903"/>
        <item m="1" x="3261"/>
        <item m="1" x="3622"/>
        <item m="1" x="3623"/>
        <item m="1" x="3625"/>
        <item m="1" x="2441"/>
        <item m="1" x="3626"/>
        <item m="1" x="3628"/>
        <item m="1" x="3629"/>
        <item m="1" x="3630"/>
        <item m="1" x="3631"/>
        <item m="1" x="3247"/>
        <item m="1" x="3051"/>
        <item m="1" x="3294"/>
        <item m="1" x="3307"/>
        <item m="1" x="3634"/>
        <item m="1" x="3577"/>
        <item m="1" x="3637"/>
        <item m="1" x="3639"/>
        <item m="1" x="3640"/>
        <item m="1" x="3644"/>
        <item m="1" x="3645"/>
        <item m="1" x="3646"/>
        <item m="1" x="3647"/>
        <item m="1" x="3648"/>
        <item m="1" x="3649"/>
        <item m="1" x="3650"/>
        <item m="1" x="3651"/>
        <item m="1" x="2923"/>
        <item m="1" x="3308"/>
        <item m="1" x="2714"/>
        <item m="1" x="2435"/>
        <item m="1" x="3260"/>
        <item m="1" x="3592"/>
        <item m="1" x="3434"/>
        <item m="1" x="3435"/>
        <item m="1" x="3433"/>
        <item m="1" x="3492"/>
        <item m="1" x="3664"/>
        <item m="1" x="3665"/>
        <item m="1" x="3511"/>
        <item m="1" x="3509"/>
        <item m="1" x="3547"/>
        <item m="1" x="3246"/>
        <item m="1" x="2918"/>
        <item m="1" x="3468"/>
        <item m="1" x="3669"/>
        <item m="1" x="3670"/>
        <item m="1" x="3671"/>
        <item m="1" x="3672"/>
        <item m="1" x="3675"/>
        <item m="1" x="2425"/>
        <item m="1" x="3676"/>
        <item m="1" x="3286"/>
        <item m="1" x="3677"/>
        <item m="1" x="3678"/>
        <item m="1" x="2813"/>
        <item m="1" x="2812"/>
        <item m="1" x="3305"/>
        <item m="1" x="3680"/>
        <item m="1" x="3596"/>
        <item m="1" x="3681"/>
        <item m="1" x="3211"/>
        <item m="1" x="3686"/>
        <item m="1" x="3687"/>
        <item m="1" x="1901"/>
        <item m="1" x="3358"/>
        <item m="1" x="3426"/>
        <item m="1" x="3432"/>
        <item m="1" x="3688"/>
        <item m="1" x="3038"/>
        <item m="1" x="3690"/>
        <item m="1" x="3691"/>
        <item m="1" x="3697"/>
        <item m="1" x="3698"/>
        <item m="1" x="3699"/>
        <item m="1" x="3700"/>
        <item m="1" x="3701"/>
        <item m="1" x="3604"/>
        <item m="1" x="2722"/>
        <item m="1" x="3704"/>
        <item m="1" x="3705"/>
        <item m="1" x="3708"/>
        <item m="1" x="2419"/>
        <item m="1" x="2420"/>
        <item m="1" x="3516"/>
        <item m="1" x="3496"/>
        <item m="1" x="3517"/>
        <item m="1" x="3603"/>
        <item m="1" x="3605"/>
        <item m="1" x="3554"/>
        <item m="1" x="3442"/>
        <item m="1" x="3375"/>
        <item m="1" x="3529"/>
        <item m="1" x="3555"/>
        <item m="1" x="3556"/>
        <item m="1" x="3557"/>
        <item m="1" x="3116"/>
        <item m="1" x="1976"/>
        <item m="1" x="2969"/>
        <item m="1" x="3558"/>
        <item m="1" x="3364"/>
        <item m="1" x="3559"/>
        <item m="1" x="3359"/>
        <item m="1" x="3560"/>
        <item m="1" x="3562"/>
        <item m="1" x="3344"/>
        <item m="1" x="3564"/>
        <item m="1" x="2947"/>
        <item m="1" x="3565"/>
        <item m="1" x="3567"/>
        <item m="1" x="3568"/>
        <item m="1" x="3569"/>
        <item m="1" x="3525"/>
        <item m="1" x="3388"/>
        <item m="1" x="3501"/>
        <item m="1" x="3262"/>
        <item m="1" x="3570"/>
        <item m="1" x="3188"/>
        <item m="1" x="3573"/>
        <item m="1" x="3574"/>
        <item m="1" x="3575"/>
        <item m="1" x="3044"/>
        <item m="1" x="3052"/>
        <item m="1" x="3267"/>
        <item m="1" x="3268"/>
        <item m="1" x="2816"/>
        <item m="1" x="3578"/>
        <item m="1" x="3579"/>
        <item m="1" x="3580"/>
        <item m="1" x="3253"/>
        <item m="1" x="3254"/>
        <item m="1" x="3255"/>
        <item m="1" x="1425"/>
        <item m="1" x="3445"/>
        <item m="1" x="3164"/>
        <item m="1" x="3585"/>
        <item m="1" x="3586"/>
        <item m="1" x="2429"/>
        <item m="1" x="3587"/>
        <item m="1" x="3588"/>
        <item m="1" x="3590"/>
        <item m="1" x="3591"/>
        <item m="1" x="3422"/>
        <item m="1" x="3244"/>
        <item m="1" x="3366"/>
        <item m="1" x="3347"/>
        <item m="1" x="3346"/>
        <item m="1" x="3242"/>
        <item m="1" x="3457"/>
        <item m="1" x="1914"/>
        <item m="1" x="3456"/>
        <item m="1" x="3280"/>
        <item m="1" x="3281"/>
        <item m="1" x="3282"/>
        <item m="1" x="3414"/>
        <item m="1" x="3277"/>
        <item m="1" x="2423"/>
        <item m="1" x="3463"/>
        <item m="1" x="3597"/>
        <item m="1" x="3598"/>
        <item m="1" x="3301"/>
        <item m="1" x="3599"/>
        <item m="1" x="3600"/>
        <item m="1" x="3601"/>
        <item m="1" x="3248"/>
        <item m="1" x="3431"/>
        <item m="1" x="3297"/>
        <item m="1" x="3218"/>
        <item m="1" x="3303"/>
        <item m="1" x="3338"/>
        <item m="1" x="3302"/>
        <item m="1" x="3327"/>
        <item m="1" x="3328"/>
        <item m="1" x="3325"/>
        <item m="1" x="3313"/>
        <item m="1" x="3312"/>
        <item m="1" x="3602"/>
        <item m="1" x="3474"/>
        <item m="1" x="3309"/>
        <item m="1" x="2438"/>
        <item m="1" x="3315"/>
        <item m="1" x="3477"/>
        <item m="1" x="3241"/>
        <item m="1" x="3202"/>
        <item m="1" x="3203"/>
        <item m="1" x="3066"/>
        <item m="1" x="3243"/>
        <item m="1" x="2976"/>
        <item m="1" x="2977"/>
        <item m="1" x="3249"/>
        <item m="1" x="3250"/>
        <item m="1" x="3251"/>
        <item m="1" x="3252"/>
        <item m="1" x="3256"/>
        <item m="1" x="3257"/>
        <item m="1" x="3258"/>
        <item m="1" x="3259"/>
        <item m="1" x="3263"/>
        <item m="1" x="2723"/>
        <item m="1" x="3264"/>
        <item m="1" x="3265"/>
        <item m="1" x="3266"/>
        <item m="1" x="3269"/>
        <item m="1" x="3270"/>
        <item m="1" x="3271"/>
        <item m="1" x="3272"/>
        <item m="1" x="3273"/>
        <item m="1" x="3142"/>
        <item m="1" x="3274"/>
        <item m="1" x="3275"/>
        <item m="1" x="3276"/>
        <item m="1" x="2436"/>
        <item m="1" x="3023"/>
        <item m="1" x="2422"/>
        <item m="1" x="3278"/>
        <item m="1" x="3279"/>
        <item m="1" x="2915"/>
        <item m="1" x="2916"/>
        <item m="1" x="2917"/>
        <item m="1" x="3283"/>
        <item m="1" x="3284"/>
        <item m="1" x="3285"/>
        <item m="1" x="2029"/>
        <item m="1" x="2720"/>
        <item m="1" x="3289"/>
        <item m="1" x="3290"/>
        <item m="1" x="3291"/>
        <item m="1" x="3292"/>
        <item m="1" x="3293"/>
        <item m="1" x="3045"/>
        <item m="1" x="3295"/>
        <item m="1" x="3296"/>
        <item m="1" x="3298"/>
        <item m="1" x="3299"/>
        <item m="1" x="3300"/>
        <item m="1" x="3304"/>
        <item m="1" x="3306"/>
        <item m="1" x="3310"/>
        <item m="1" x="2721"/>
        <item m="1" x="3155"/>
        <item m="1" x="3314"/>
        <item m="1" x="2012"/>
        <item m="1" x="911"/>
        <item m="1" x="3324"/>
        <item m="1" x="3326"/>
        <item m="1" x="2814"/>
        <item m="1" x="2815"/>
        <item m="1" x="3330"/>
        <item m="1" x="3331"/>
        <item m="1" x="3332"/>
        <item m="1" x="2953"/>
        <item m="1" x="3336"/>
        <item m="1" x="3339"/>
        <item m="1" x="3340"/>
        <item m="1" x="2718"/>
        <item m="1" x="3345"/>
        <item m="1" x="2941"/>
        <item m="1" x="3348"/>
        <item m="1" x="3350"/>
        <item m="1" x="3351"/>
        <item m="1" x="3352"/>
        <item m="1" x="3353"/>
        <item m="1" x="3354"/>
        <item m="1" x="3356"/>
        <item m="1" x="3357"/>
        <item m="1" x="2942"/>
        <item m="1" x="3360"/>
        <item m="1" x="3361"/>
        <item m="1" x="3371"/>
        <item m="1" x="3374"/>
        <item m="1" x="3379"/>
        <item m="1" x="3385"/>
        <item m="1" x="3400"/>
        <item m="1" x="3402"/>
        <item m="1" x="3408"/>
        <item m="1" x="3429"/>
        <item m="1" x="3430"/>
        <item m="1" x="3439"/>
        <item m="1" x="3441"/>
        <item m="1" x="3443"/>
        <item m="1" x="3484"/>
        <item m="1" x="3486"/>
        <item m="1" x="3487"/>
        <item m="1" x="3104"/>
        <item m="1" x="3106"/>
        <item m="1" x="3514"/>
        <item m="1" x="3520"/>
        <item m="1" x="3521"/>
        <item m="1" x="3232"/>
        <item m="1" x="3190"/>
        <item m="1" x="3522"/>
        <item m="1" x="3523"/>
        <item m="1" x="3524"/>
        <item m="1" x="3527"/>
        <item m="1" x="3535"/>
        <item m="1" x="3536"/>
        <item m="1" x="3542"/>
        <item m="1" x="3543"/>
        <item m="1" x="3544"/>
        <item m="1" x="3545"/>
        <item m="1" x="2710"/>
        <item m="1" x="3117"/>
        <item m="1" x="3553"/>
        <item m="1" x="2725"/>
        <item m="1" x="3200"/>
        <item m="1" x="2982"/>
        <item m="1" x="3201"/>
        <item m="1" x="2818"/>
        <item m="1" x="2985"/>
        <item m="1" x="2986"/>
        <item m="1" x="3204"/>
        <item m="1" x="3205"/>
        <item m="1" x="3129"/>
        <item m="1" x="3206"/>
        <item m="1" x="3120"/>
        <item m="1" x="3121"/>
        <item m="1" x="3122"/>
        <item m="1" x="3123"/>
        <item m="1" x="3124"/>
        <item m="1" x="3125"/>
        <item m="1" x="3126"/>
        <item m="1" x="3207"/>
        <item m="1" x="3131"/>
        <item m="1" x="3208"/>
        <item m="1" x="3002"/>
        <item m="1" x="2901"/>
        <item m="1" x="2717"/>
        <item m="1" x="2716"/>
        <item m="1" x="2904"/>
        <item m="1" x="2421"/>
        <item m="1" x="3134"/>
        <item m="1" x="3209"/>
        <item m="1" x="2518"/>
        <item m="1" x="3210"/>
        <item m="1" x="3136"/>
        <item m="1" x="2933"/>
        <item m="1" x="3138"/>
        <item m="1" x="3139"/>
        <item m="1" x="3012"/>
        <item m="1" x="2908"/>
        <item m="1" x="2719"/>
        <item m="1" x="3212"/>
        <item m="1" x="3016"/>
        <item m="1" x="1904"/>
        <item m="1" x="2820"/>
        <item m="1" x="3021"/>
        <item m="1" x="2909"/>
        <item m="1" x="2811"/>
        <item m="1" x="3029"/>
        <item m="1" x="3213"/>
        <item m="1" x="2038"/>
        <item m="1" x="3214"/>
        <item m="1" x="1893"/>
        <item m="1" x="3215"/>
        <item m="1" x="3216"/>
        <item m="1" x="3031"/>
        <item m="1" x="3032"/>
        <item m="1" x="3033"/>
        <item m="1" x="1974"/>
        <item m="1" x="2424"/>
        <item m="1" x="3037"/>
        <item m="1" x="1898"/>
        <item m="1" x="3043"/>
        <item m="1" x="3217"/>
        <item m="1" x="3054"/>
        <item m="1" x="3156"/>
        <item m="1" x="3157"/>
        <item m="1" x="3058"/>
        <item m="1" x="3219"/>
        <item m="1" x="3152"/>
        <item m="1" x="3153"/>
        <item m="1" x="3063"/>
        <item m="1" x="2426"/>
        <item m="1" x="3220"/>
        <item m="1" x="3068"/>
        <item m="1" x="3159"/>
        <item m="1" x="2927"/>
        <item m="1" x="2938"/>
        <item m="1" x="2939"/>
        <item m="1" x="3221"/>
        <item m="1" x="2105"/>
        <item m="1" x="3222"/>
        <item m="1" x="1903"/>
        <item m="1" x="3223"/>
        <item m="1" x="2955"/>
        <item m="1" x="2013"/>
        <item m="1" x="2427"/>
        <item m="1" x="3225"/>
        <item m="1" x="2428"/>
        <item m="1" x="1932"/>
        <item m="1" x="1928"/>
        <item m="1" x="2924"/>
        <item m="1" x="2430"/>
        <item m="1" x="3226"/>
        <item m="1" x="3227"/>
        <item m="1" x="2431"/>
        <item m="1" x="2432"/>
        <item m="1" x="2433"/>
        <item m="1" x="3228"/>
        <item m="1" x="1987"/>
        <item m="1" x="3229"/>
        <item m="1" x="1972"/>
        <item m="1" x="3185"/>
        <item m="1" x="3230"/>
        <item m="1" x="3231"/>
        <item m="1" x="2434"/>
        <item m="1" x="2437"/>
        <item m="1" x="2733"/>
        <item m="1" x="3233"/>
        <item m="1" x="2120"/>
        <item m="1" x="3234"/>
        <item m="1" x="3235"/>
        <item m="1" x="3236"/>
        <item m="1" x="3237"/>
        <item m="1" x="2079"/>
        <item m="1" x="3238"/>
        <item m="1" x="2440"/>
        <item m="1" x="3239"/>
        <item m="1" x="3240"/>
        <item m="1" x="2967"/>
        <item m="1" x="2968"/>
        <item m="1" x="2970"/>
        <item m="1" x="3118"/>
        <item m="1" x="2971"/>
        <item m="1" x="2980"/>
        <item m="1" x="2459"/>
        <item m="1" x="2981"/>
        <item m="1" x="2988"/>
        <item m="1" x="2819"/>
        <item m="1" x="2973"/>
        <item m="1" x="2974"/>
        <item m="1" x="2726"/>
        <item m="1" x="2975"/>
        <item m="1" x="1927"/>
        <item m="1" x="2978"/>
        <item m="1" x="2442"/>
        <item m="1" x="3119"/>
        <item m="1" x="3073"/>
        <item m="1" x="3127"/>
        <item m="1" x="3128"/>
        <item m="1" x="2994"/>
        <item m="1" x="2992"/>
        <item m="1" x="2993"/>
        <item m="1" x="2452"/>
        <item m="1" x="3130"/>
        <item m="1" x="2990"/>
        <item m="1" x="3132"/>
        <item m="1" x="2997"/>
        <item m="1" x="2998"/>
        <item m="1" x="3133"/>
        <item m="1" x="2902"/>
        <item m="1" x="3001"/>
        <item m="1" x="2728"/>
        <item m="1" x="3135"/>
        <item m="1" x="3006"/>
        <item m="1" x="3007"/>
        <item m="1" x="3137"/>
        <item m="1" x="3009"/>
        <item m="1" x="3010"/>
        <item m="1" x="3011"/>
        <item m="1" x="3140"/>
        <item m="1" x="3141"/>
        <item m="1" x="3017"/>
        <item m="1" x="2729"/>
        <item m="1" x="3020"/>
        <item m="1" x="2821"/>
        <item m="1" x="3022"/>
        <item m="1" x="2911"/>
        <item m="1" x="3143"/>
        <item m="1" x="3046"/>
        <item m="1" x="3047"/>
        <item m="1" x="2920"/>
        <item m="1" x="3144"/>
        <item m="1" x="1926"/>
        <item m="1" x="3145"/>
        <item m="1" x="3146"/>
        <item m="1" x="2449"/>
        <item m="1" x="3041"/>
        <item m="1" x="3042"/>
        <item m="1" x="2730"/>
        <item m="1" x="3030"/>
        <item m="1" x="2457"/>
        <item m="1" x="3148"/>
        <item m="1" x="3039"/>
        <item m="1" x="3149"/>
        <item m="1" x="2450"/>
        <item m="1" x="3150"/>
        <item m="1" x="3055"/>
        <item m="1" x="3151"/>
        <item m="1" x="3056"/>
        <item m="1" x="3064"/>
        <item m="1" x="3154"/>
        <item m="1" x="3057"/>
        <item m="1" x="3158"/>
        <item m="1" x="3069"/>
        <item m="1" x="3160"/>
        <item m="1" x="3161"/>
        <item m="1" x="3162"/>
        <item m="1" x="2474"/>
        <item m="1" x="3163"/>
        <item m="1" x="2936"/>
        <item m="1" x="1874"/>
        <item m="1" x="2932"/>
        <item m="1" x="2822"/>
        <item m="1" x="3165"/>
        <item m="1" x="2439"/>
        <item m="1" x="2937"/>
        <item m="1" x="2454"/>
        <item m="1" x="2940"/>
        <item m="1" x="3077"/>
        <item m="1" x="3078"/>
        <item m="1" x="2453"/>
        <item m="1" x="2731"/>
        <item m="1" x="3167"/>
        <item m="1" x="3085"/>
        <item m="1" x="3084"/>
        <item m="1" x="2115"/>
        <item m="1" x="3168"/>
        <item m="1" x="2113"/>
        <item m="1" x="2944"/>
        <item m="1" x="3169"/>
        <item m="1" x="3170"/>
        <item m="1" x="1899"/>
        <item m="1" x="1896"/>
        <item m="1" x="1897"/>
        <item m="1" x="2455"/>
        <item m="1" x="3171"/>
        <item m="1" x="3172"/>
        <item m="1" x="3094"/>
        <item m="1" x="3174"/>
        <item m="1" x="3175"/>
        <item m="1" x="2462"/>
        <item m="1" x="1949"/>
        <item m="1" x="3176"/>
        <item m="1" x="3177"/>
        <item m="1" x="1943"/>
        <item m="1" x="2824"/>
        <item m="1" x="2825"/>
        <item m="1" x="2956"/>
        <item m="1" x="2463"/>
        <item m="1" x="1964"/>
        <item m="1" x="1966"/>
        <item m="1" x="2823"/>
        <item m="1" x="2461"/>
        <item m="1" x="2465"/>
        <item m="1" x="3178"/>
        <item m="1" x="2464"/>
        <item m="1" x="3095"/>
        <item m="1" x="3179"/>
        <item m="1" x="3180"/>
        <item m="1" x="3181"/>
        <item m="1" x="3182"/>
        <item m="1" x="1988"/>
        <item m="1" x="1998"/>
        <item m="1" x="3183"/>
        <item m="1" x="3184"/>
        <item m="1" x="3103"/>
        <item m="1" x="2026"/>
        <item m="1" x="3186"/>
        <item m="1" x="3105"/>
        <item m="1" x="3187"/>
        <item m="1" x="3189"/>
        <item m="1" x="3191"/>
        <item m="1" x="3192"/>
        <item m="1" x="2472"/>
        <item m="1" x="3193"/>
        <item m="1" x="3194"/>
        <item m="1" x="3195"/>
        <item m="1" x="2962"/>
        <item m="1" x="2119"/>
        <item m="1" x="3110"/>
        <item m="1" x="3113"/>
        <item m="1" x="3112"/>
        <item m="1" x="3197"/>
        <item m="1" x="3114"/>
        <item m="1" x="3115"/>
        <item m="1" x="2826"/>
        <item m="1" x="2475"/>
        <item m="1" x="3198"/>
        <item m="1" x="3199"/>
        <item m="1" x="2972"/>
        <item m="1" x="2727"/>
        <item m="1" x="2983"/>
        <item m="1" x="2984"/>
        <item m="1" x="2987"/>
        <item m="1" x="2989"/>
        <item m="1" x="2991"/>
        <item m="1" x="2481"/>
        <item m="1" x="2995"/>
        <item m="1" x="2900"/>
        <item m="1" x="2996"/>
        <item m="1" x="2443"/>
        <item m="1" x="2828"/>
        <item m="1" x="2444"/>
        <item m="1" x="3003"/>
        <item m="1" x="3004"/>
        <item m="1" x="3005"/>
        <item m="1" x="3008"/>
        <item m="1" x="3013"/>
        <item m="1" x="3014"/>
        <item m="1" x="3015"/>
        <item m="1" x="3018"/>
        <item m="1" x="3019"/>
        <item m="1" x="3024"/>
        <item m="1" x="2912"/>
        <item m="1" x="3025"/>
        <item m="1" x="3026"/>
        <item m="1" x="3027"/>
        <item m="1" x="3028"/>
        <item m="1" x="2921"/>
        <item m="1" x="3034"/>
        <item m="1" x="3035"/>
        <item m="1" x="3036"/>
        <item m="1" x="2447"/>
        <item m="1" x="2448"/>
        <item m="1" x="2445"/>
        <item m="1" x="1919"/>
        <item m="1" x="2446"/>
        <item m="1" x="3040"/>
        <item m="1" x="3053"/>
        <item m="1" x="2759"/>
        <item m="1" x="3059"/>
        <item m="1" x="3060"/>
        <item m="1" x="3061"/>
        <item m="1" x="3062"/>
        <item m="1" x="3065"/>
        <item m="1" x="2451"/>
        <item m="1" x="3067"/>
        <item m="1" x="2965"/>
        <item m="1" x="3070"/>
        <item m="1" x="3071"/>
        <item m="1" x="3072"/>
        <item m="1" x="2763"/>
        <item m="1" x="2929"/>
        <item m="1" x="2928"/>
        <item m="1" x="2930"/>
        <item m="1" x="2931"/>
        <item m="1" x="2934"/>
        <item m="1" x="3074"/>
        <item m="1" x="3075"/>
        <item m="1" x="3076"/>
        <item m="1" x="2732"/>
        <item m="1" x="3079"/>
        <item m="1" x="3080"/>
        <item m="1" x="3081"/>
        <item m="1" x="3082"/>
        <item m="1" x="2116"/>
        <item m="1" x="3083"/>
        <item m="1" x="2943"/>
        <item m="1" x="2114"/>
        <item m="1" x="2458"/>
        <item m="1" x="3086"/>
        <item m="1" x="3087"/>
        <item m="1" x="3089"/>
        <item m="1" x="2456"/>
        <item m="1" x="2957"/>
        <item m="1" x="3090"/>
        <item m="1" x="3091"/>
        <item m="1" x="3092"/>
        <item m="1" x="3093"/>
        <item m="1" x="2860"/>
        <item m="1" x="1937"/>
        <item m="1" x="2952"/>
        <item m="1" x="3096"/>
        <item m="1" x="3097"/>
        <item m="1" x="3098"/>
        <item m="1" x="3099"/>
        <item m="1" x="3100"/>
        <item m="1" x="2949"/>
        <item m="1" x="2010"/>
        <item m="1" x="2569"/>
        <item m="1" x="2141"/>
        <item m="1" x="3101"/>
        <item m="1" x="3102"/>
        <item m="1" x="2468"/>
        <item m="1" x="2470"/>
        <item m="1" x="2862"/>
        <item m="1" x="2062"/>
        <item m="1" x="2061"/>
        <item m="1" x="2576"/>
        <item m="1" x="3108"/>
        <item m="1" x="3109"/>
        <item m="1" x="2473"/>
        <item m="1" x="2121"/>
        <item m="1" x="2071"/>
        <item m="1" x="2150"/>
        <item m="1" x="3111"/>
        <item m="1" x="2149"/>
        <item m="1" x="2866"/>
        <item m="1" x="2580"/>
        <item m="1" x="2745"/>
        <item m="1" x="2746"/>
        <item m="1" x="2827"/>
        <item m="1" x="2894"/>
        <item m="1" x="2895"/>
        <item m="1" x="2897"/>
        <item m="1" x="2898"/>
        <item m="1" x="2899"/>
        <item m="1" x="2905"/>
        <item m="1" x="2906"/>
        <item m="1" x="2487"/>
        <item m="1" x="2756"/>
        <item m="1" x="2831"/>
        <item m="1" x="2910"/>
        <item m="1" x="2914"/>
        <item m="1" x="2832"/>
        <item m="1" x="2919"/>
        <item m="1" x="2834"/>
        <item m="1" x="2835"/>
        <item m="1" x="2566"/>
        <item m="1" x="2839"/>
        <item m="1" x="2922"/>
        <item m="1" x="2842"/>
        <item m="1" x="2760"/>
        <item m="1" x="2849"/>
        <item m="1" x="2529"/>
        <item m="1" x="2531"/>
        <item m="1" x="2847"/>
        <item m="1" x="2543"/>
        <item m="1" x="2544"/>
        <item m="1" x="2545"/>
        <item m="1" x="2550"/>
        <item m="1" x="2541"/>
        <item m="1" x="2925"/>
        <item m="1" x="2926"/>
        <item m="1" x="2762"/>
        <item m="1" x="2850"/>
        <item m="1" x="2935"/>
        <item m="1" x="2131"/>
        <item m="1" x="2124"/>
        <item m="1" x="2557"/>
        <item m="1" x="2556"/>
        <item m="1" x="2558"/>
        <item m="1" x="2945"/>
        <item m="1" x="2946"/>
        <item m="1" x="2859"/>
        <item m="1" x="1910"/>
        <item m="1" x="1956"/>
        <item m="1" x="2857"/>
        <item m="1" x="2950"/>
        <item m="1" x="2951"/>
        <item m="1" x="2118"/>
        <item m="1" x="2954"/>
        <item m="1" x="1986"/>
        <item m="1" x="1984"/>
        <item m="1" x="1985"/>
        <item m="1" x="2137"/>
        <item m="1" x="1962"/>
        <item m="1" x="1965"/>
        <item m="1" x="2958"/>
        <item m="1" x="2050"/>
        <item m="1" x="2959"/>
        <item m="1" x="2571"/>
        <item m="1" x="2059"/>
        <item m="1" x="2867"/>
        <item m="1" x="2960"/>
        <item m="1" x="2961"/>
        <item m="1" x="2963"/>
        <item m="1" x="2964"/>
        <item m="1" x="2089"/>
        <item m="1" x="2966"/>
        <item m="1" x="2583"/>
        <item m="1" x="2402"/>
        <item m="1" x="2060"/>
        <item m="1" x="2734"/>
        <item m="1" x="2744"/>
        <item m="1" x="2479"/>
        <item m="1" x="2480"/>
        <item m="1" x="2829"/>
        <item m="1" x="2830"/>
        <item m="1" x="2749"/>
        <item m="1" x="2497"/>
        <item m="1" x="2498"/>
        <item m="1" x="2743"/>
        <item m="1" x="2752"/>
        <item m="1" x="2505"/>
        <item m="1" x="2506"/>
        <item m="1" x="2504"/>
        <item m="1" x="2833"/>
        <item m="1" x="2836"/>
        <item m="1" x="2837"/>
        <item m="1" x="2761"/>
        <item m="1" x="2560"/>
        <item m="1" x="2516"/>
        <item m="1" x="2515"/>
        <item m="1" x="2517"/>
        <item m="1" x="2838"/>
        <item m="1" x="2758"/>
        <item m="1" x="2535"/>
        <item m="1" x="2536"/>
        <item m="1" x="2840"/>
        <item m="1" x="2841"/>
        <item m="1" x="2843"/>
        <item m="1" x="2844"/>
        <item m="1" x="2845"/>
        <item m="1" x="2678"/>
        <item m="1" x="2846"/>
        <item m="1" x="2848"/>
        <item m="1" x="2551"/>
        <item m="1" x="2522"/>
        <item m="1" x="2851"/>
        <item m="1" x="2852"/>
        <item m="1" x="2853"/>
        <item m="1" x="2854"/>
        <item m="1" x="923"/>
        <item m="1" x="2855"/>
        <item m="1" x="2856"/>
        <item m="1" x="2858"/>
        <item m="1" x="2861"/>
        <item m="1" x="2766"/>
        <item m="1" x="2570"/>
        <item m="1" x="1743"/>
        <item m="1" x="2573"/>
        <item m="1" x="2863"/>
        <item m="1" x="2864"/>
        <item m="1" x="2865"/>
        <item m="1" x="2868"/>
        <item m="1" x="2767"/>
        <item m="1" x="2869"/>
        <item m="1" x="2584"/>
        <item m="1" x="2737"/>
        <item m="1" x="2738"/>
        <item m="1" x="2477"/>
        <item m="1" x="2739"/>
        <item m="1" x="2740"/>
        <item m="1" x="2741"/>
        <item m="1" x="1975"/>
        <item m="1" x="2742"/>
        <item m="1" x="2495"/>
        <item m="1" x="2870"/>
        <item m="1" x="2488"/>
        <item m="1" x="2871"/>
        <item m="1" x="2872"/>
        <item m="1" x="2482"/>
        <item m="1" x="2507"/>
        <item m="1" x="2873"/>
        <item m="1" x="2523"/>
        <item m="1" x="2874"/>
        <item m="1" x="2875"/>
        <item m="1" x="2532"/>
        <item m="1" x="2530"/>
        <item m="1" x="2528"/>
        <item m="1" x="2765"/>
        <item m="1" x="2876"/>
        <item m="1" x="2877"/>
        <item m="1" x="2547"/>
        <item m="1" x="2548"/>
        <item m="1" x="2878"/>
        <item m="1" x="2132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1918"/>
        <item m="1" x="2889"/>
        <item m="1" x="2033"/>
        <item m="1" x="2890"/>
        <item m="1" x="2891"/>
        <item m="1" x="2575"/>
        <item m="1" x="2151"/>
        <item m="1" x="2152"/>
        <item m="1" x="2577"/>
        <item m="1" x="2892"/>
        <item m="1" x="2081"/>
        <item m="1" x="2893"/>
        <item m="1" x="2735"/>
        <item m="1" x="2736"/>
        <item m="1" x="2483"/>
        <item m="1" x="2747"/>
        <item m="1" x="2748"/>
        <item m="1" x="2496"/>
        <item m="1" x="2489"/>
        <item m="1" x="2750"/>
        <item m="1" x="2751"/>
        <item m="1" x="2508"/>
        <item m="1" x="2753"/>
        <item m="1" x="2509"/>
        <item m="1" x="2754"/>
        <item m="1" x="2755"/>
        <item m="1" x="2757"/>
        <item m="1" x="2534"/>
        <item m="1" x="2539"/>
        <item m="1" x="2540"/>
        <item m="1" x="2546"/>
        <item m="1" x="2554"/>
        <item m="1" x="2555"/>
        <item m="1" x="2559"/>
        <item m="1" x="2017"/>
        <item m="1" x="2565"/>
        <item m="1" x="2764"/>
        <item m="1" x="2568"/>
        <item m="1" x="2484"/>
        <item m="1" x="2069"/>
        <item m="1" x="2578"/>
        <item m="1" x="2581"/>
        <item m="1" x="1946"/>
        <item m="1" x="2582"/>
        <item m="1" x="2709"/>
        <item m="1" x="2585"/>
        <item m="1" x="2768"/>
        <item m="1" x="2769"/>
        <item m="1" x="2770"/>
        <item m="1" x="2771"/>
        <item m="1" x="2772"/>
        <item m="1" x="2773"/>
        <item m="1" x="2774"/>
        <item m="1" x="2476"/>
        <item m="1" x="2478"/>
        <item m="1" x="2775"/>
        <item m="1" x="2776"/>
        <item m="1" x="2777"/>
        <item m="1" x="2499"/>
        <item m="1" x="2491"/>
        <item m="1" x="2492"/>
        <item m="1" x="2490"/>
        <item m="1" x="2778"/>
        <item m="1" x="2485"/>
        <item m="1" x="2486"/>
        <item m="1" x="2493"/>
        <item m="1" x="2494"/>
        <item m="1" x="2510"/>
        <item m="1" x="2501"/>
        <item m="1" x="2779"/>
        <item m="1" x="2780"/>
        <item m="1" x="2502"/>
        <item m="1" x="2781"/>
        <item m="1" x="2503"/>
        <item m="1" x="2782"/>
        <item m="1" x="2783"/>
        <item m="1" x="2500"/>
        <item m="1" x="2784"/>
        <item m="1" x="2785"/>
        <item m="1" x="2786"/>
        <item m="1" x="2787"/>
        <item m="1" x="2788"/>
        <item m="1" x="2512"/>
        <item m="1" x="2513"/>
        <item m="1" x="2514"/>
        <item m="1" x="2521"/>
        <item m="1" x="2538"/>
        <item m="1" x="2789"/>
        <item m="1" x="2537"/>
        <item m="1" x="2524"/>
        <item m="1" x="2525"/>
        <item m="1" x="2526"/>
        <item m="1" x="2527"/>
        <item m="1" x="2790"/>
        <item m="1" x="2533"/>
        <item m="1" x="2549"/>
        <item m="1" x="2552"/>
        <item m="1" x="2791"/>
        <item m="1" x="2553"/>
        <item m="1" x="2792"/>
        <item m="1" x="2794"/>
        <item m="1" x="2795"/>
        <item m="1" x="2564"/>
        <item m="1" x="2796"/>
        <item m="1" x="2797"/>
        <item m="1" x="2798"/>
        <item m="1" x="2799"/>
        <item m="1" x="1948"/>
        <item m="1" x="2800"/>
        <item m="1" x="2801"/>
        <item m="1" x="2802"/>
        <item m="1" x="2561"/>
        <item m="1" x="2803"/>
        <item m="1" x="2153"/>
        <item m="1" x="2572"/>
        <item m="1" x="2804"/>
        <item m="1" x="2805"/>
        <item m="1" x="2806"/>
        <item m="1" x="2807"/>
        <item m="1" x="2586"/>
        <item m="1" x="2471"/>
        <item m="1" x="2511"/>
        <item m="1" x="2519"/>
        <item m="1" x="2542"/>
        <item m="1" x="2130"/>
        <item m="1" x="1900"/>
        <item m="1" x="1894"/>
        <item m="1" x="1997"/>
        <item m="1" x="2562"/>
        <item m="1" x="2563"/>
        <item m="1" x="1916"/>
        <item m="1" x="1915"/>
        <item m="1" x="1909"/>
        <item m="1" x="1931"/>
        <item m="1" x="1921"/>
        <item m="1" x="2027"/>
        <item m="1" x="2032"/>
        <item m="1" x="2036"/>
        <item m="1" x="2574"/>
        <item m="1" x="2080"/>
        <item m="1" x="2579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928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1930"/>
        <item m="1" x="2658"/>
        <item m="1" x="2659"/>
        <item m="1" x="2660"/>
        <item m="1" x="2661"/>
        <item m="1" x="2662"/>
        <item m="1" x="2663"/>
        <item m="1" x="2664"/>
        <item m="1" x="1895"/>
        <item m="1" x="2665"/>
        <item m="1" x="2666"/>
        <item m="1" x="2667"/>
        <item m="1" x="2668"/>
        <item m="1" x="1917"/>
        <item m="1" x="2669"/>
        <item m="1" x="1913"/>
        <item m="1" x="2671"/>
        <item m="1" x="2672"/>
        <item m="1" x="2673"/>
        <item m="1" x="1911"/>
        <item m="1" x="1944"/>
        <item m="1" x="2674"/>
        <item m="1" x="2675"/>
        <item m="1" x="2676"/>
        <item m="1" x="1947"/>
        <item m="1" x="2677"/>
        <item m="1" x="1934"/>
        <item m="1" x="1935"/>
        <item m="1" x="2679"/>
        <item m="1" x="2680"/>
        <item m="1" x="1994"/>
        <item m="1" x="1992"/>
        <item m="1" x="2681"/>
        <item m="1" x="2682"/>
        <item m="1" x="2683"/>
        <item m="1" x="2014"/>
        <item m="1" x="2684"/>
        <item m="1" x="1963"/>
        <item m="1" x="1959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909"/>
        <item m="1" x="2696"/>
        <item m="1" x="2697"/>
        <item m="1" x="2698"/>
        <item m="1" x="2154"/>
        <item m="1" x="2699"/>
        <item m="1" x="908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1572"/>
        <item m="1" x="1883"/>
        <item m="1" x="2104"/>
        <item m="1" x="884"/>
        <item m="1" x="2108"/>
        <item m="1" x="2109"/>
        <item m="1" x="895"/>
        <item m="1" x="896"/>
        <item m="1" x="2111"/>
        <item m="1" x="1925"/>
        <item m="1" x="907"/>
        <item m="1" x="912"/>
        <item m="1" x="2122"/>
        <item m="1" x="2123"/>
        <item m="1" x="897"/>
        <item m="1" x="1885"/>
        <item m="1" x="1884"/>
        <item m="1" x="1886"/>
        <item m="1" x="2125"/>
        <item m="1" x="2126"/>
        <item m="1" x="2127"/>
        <item m="1" x="2128"/>
        <item m="1" x="2129"/>
        <item m="1" x="1875"/>
        <item m="1" x="1876"/>
        <item m="1" x="1983"/>
        <item m="1" x="2001"/>
        <item m="1" x="2133"/>
        <item m="1" x="2025"/>
        <item m="1" x="2022"/>
        <item m="1" x="2023"/>
        <item m="1" x="2134"/>
        <item m="1" x="2004"/>
        <item m="1" x="2135"/>
        <item m="1" x="2136"/>
        <item m="1" x="2138"/>
        <item m="1" x="2139"/>
        <item m="1" x="2140"/>
        <item m="1" x="1908"/>
        <item m="1" x="1912"/>
        <item m="1" x="2011"/>
        <item m="1" x="1929"/>
        <item m="1" x="2040"/>
        <item m="1" x="2043"/>
        <item m="1" x="2044"/>
        <item m="1" x="2142"/>
        <item m="1" x="2143"/>
        <item m="1" x="2144"/>
        <item m="1" x="2145"/>
        <item m="1" x="2146"/>
        <item m="1" x="2147"/>
        <item m="1" x="2148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1780"/>
        <item m="1" x="2165"/>
        <item m="1" x="1796"/>
        <item m="1" x="1635"/>
        <item m="1" x="1807"/>
        <item m="1" x="2166"/>
        <item m="1" x="1802"/>
        <item m="1" x="2167"/>
        <item m="1" x="2168"/>
        <item m="1" x="1811"/>
        <item m="1" x="2169"/>
        <item m="1" x="1812"/>
        <item m="1" x="2170"/>
        <item m="1" x="2171"/>
        <item m="1" x="2172"/>
        <item m="1" x="2173"/>
        <item m="1" x="2174"/>
        <item m="1" x="2175"/>
        <item m="1" x="2176"/>
        <item m="1" x="2103"/>
        <item m="1" x="2177"/>
        <item m="1" x="2178"/>
        <item x="126"/>
        <item m="1" x="2179"/>
        <item m="1" x="2180"/>
        <item m="1" x="2181"/>
        <item m="1" x="1686"/>
        <item m="1" x="1687"/>
        <item m="1" x="1682"/>
        <item m="1" x="1683"/>
        <item m="1" x="1684"/>
        <item m="1" x="2182"/>
        <item m="1" x="2183"/>
        <item m="1" x="1685"/>
        <item m="1" x="1689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913"/>
        <item m="1" x="2219"/>
        <item m="1" x="2220"/>
        <item m="1" x="2221"/>
        <item m="1" x="2222"/>
        <item m="1" x="915"/>
        <item m="1" x="1878"/>
        <item m="1" x="2223"/>
        <item m="1" x="914"/>
        <item m="1" x="1712"/>
        <item m="1" x="2224"/>
        <item m="1" x="901"/>
        <item m="1" x="902"/>
        <item m="1" x="1714"/>
        <item m="1" x="922"/>
        <item m="1" x="2225"/>
        <item m="1" x="921"/>
        <item m="1" x="2226"/>
        <item m="1" x="2227"/>
        <item m="1" x="2228"/>
        <item m="1" x="899"/>
        <item m="1" x="900"/>
        <item m="1" x="916"/>
        <item m="1" x="649"/>
        <item m="1" x="917"/>
        <item m="1" x="918"/>
        <item m="1" x="919"/>
        <item m="1" x="2229"/>
        <item m="1" x="920"/>
        <item m="1" x="2230"/>
        <item m="1" x="2231"/>
        <item m="1" x="926"/>
        <item m="1" x="927"/>
        <item m="1" x="932"/>
        <item m="1" x="1945"/>
        <item m="1" x="1939"/>
        <item m="1" x="1933"/>
        <item m="1" x="1940"/>
        <item m="1" x="1718"/>
        <item m="1" x="925"/>
        <item m="1" x="1719"/>
        <item m="1" x="931"/>
        <item m="1" x="933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929"/>
        <item m="1" x="924"/>
        <item m="1" x="903"/>
        <item m="1" x="930"/>
        <item m="1" x="1967"/>
        <item m="1" x="934"/>
        <item m="1" x="1734"/>
        <item m="1" x="935"/>
        <item m="1" x="936"/>
        <item m="1" x="937"/>
        <item m="1" x="2053"/>
        <item m="1" x="2241"/>
        <item m="1" x="2055"/>
        <item m="1" x="1744"/>
        <item m="1" x="2242"/>
        <item m="1" x="2243"/>
        <item m="1" x="2244"/>
        <item m="1" x="2245"/>
        <item m="1" x="2246"/>
        <item m="1" x="2247"/>
        <item m="1" x="1753"/>
        <item m="1" x="2248"/>
        <item m="1" x="2249"/>
        <item m="1" x="2250"/>
        <item m="1" x="2251"/>
        <item m="1" x="2082"/>
        <item m="1" x="2252"/>
        <item m="1" x="941"/>
        <item m="1" x="1101"/>
        <item m="1" x="2098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947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1646"/>
        <item m="1" x="2291"/>
        <item m="1" x="2292"/>
        <item m="1" x="2293"/>
        <item m="1" x="2294"/>
        <item m="1" x="2295"/>
        <item m="1" x="2296"/>
        <item m="1" x="1817"/>
        <item m="1" x="2297"/>
        <item m="1" x="96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944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948"/>
        <item m="1" x="2353"/>
        <item m="1" x="2354"/>
        <item m="1" x="2355"/>
        <item m="1" x="2356"/>
        <item m="1" x="2357"/>
        <item m="1" x="2358"/>
        <item m="1" x="952"/>
        <item m="1" x="2359"/>
        <item m="1" x="2360"/>
        <item m="1" x="1968"/>
        <item m="1" x="2361"/>
        <item m="1" x="2362"/>
        <item m="1" x="958"/>
        <item m="1" x="959"/>
        <item m="1" x="960"/>
        <item m="1" x="2363"/>
        <item m="1" x="971"/>
        <item m="1" x="2364"/>
        <item m="1" x="2365"/>
        <item m="1" x="2366"/>
        <item m="1" x="1955"/>
        <item m="1" x="2367"/>
        <item m="1" x="1952"/>
        <item m="1" x="391"/>
        <item m="1" x="1922"/>
        <item m="1" x="1923"/>
        <item m="1" x="1954"/>
        <item m="1" x="2034"/>
        <item m="1" x="2368"/>
        <item m="1" x="2045"/>
        <item m="1" x="938"/>
        <item m="1" x="939"/>
        <item m="1" x="2051"/>
        <item m="1" x="991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994"/>
        <item m="1" x="993"/>
        <item m="1" x="2387"/>
        <item m="1" x="2388"/>
        <item m="1" x="2077"/>
        <item m="1" x="1763"/>
        <item m="1" x="940"/>
        <item m="1" x="2389"/>
        <item m="1" x="177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1781"/>
        <item m="1" x="1611"/>
        <item m="1" x="1782"/>
        <item m="1" x="1783"/>
        <item m="1" x="1784"/>
        <item m="1" x="1785"/>
        <item m="1" x="1618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622"/>
        <item m="1" x="1795"/>
        <item m="1" x="1625"/>
        <item m="1" x="1634"/>
        <item m="1" x="1633"/>
        <item m="1" x="1797"/>
        <item m="1" x="1624"/>
        <item m="1" x="1626"/>
        <item m="1" x="1798"/>
        <item m="1" x="1799"/>
        <item m="1" x="1800"/>
        <item m="1" x="1641"/>
        <item m="1" x="1801"/>
        <item m="1" x="1803"/>
        <item m="1" x="1638"/>
        <item m="1" x="1636"/>
        <item m="1" x="1804"/>
        <item m="1" x="1805"/>
        <item m="1" x="1806"/>
        <item m="1" x="1808"/>
        <item m="1" x="1003"/>
        <item m="1" x="1809"/>
        <item m="1" x="1810"/>
        <item m="1" x="1813"/>
        <item m="1" x="942"/>
        <item m="1" x="1814"/>
        <item m="1" x="1006"/>
        <item m="1" x="1815"/>
        <item m="1" x="1816"/>
        <item m="1" x="1818"/>
        <item m="1" x="1819"/>
        <item m="1" x="1820"/>
        <item m="1" x="1821"/>
        <item m="1" x="1822"/>
        <item m="1" x="1823"/>
        <item m="1" x="1824"/>
        <item m="1" x="1825"/>
        <item m="1" x="1663"/>
        <item m="1" x="943"/>
        <item m="1" x="1826"/>
        <item m="1" x="1827"/>
        <item m="1" x="1828"/>
        <item m="1" x="1623"/>
        <item m="1" x="1829"/>
        <item m="1" x="1830"/>
        <item m="1" x="1831"/>
        <item m="1" x="1832"/>
        <item m="1" x="1833"/>
        <item m="1" x="1834"/>
        <item m="1" x="1835"/>
        <item m="1" x="1667"/>
        <item m="1" x="1668"/>
        <item m="1" x="1836"/>
        <item m="1" x="1837"/>
        <item m="1" x="1838"/>
        <item m="1" x="1839"/>
        <item m="1" x="981"/>
        <item m="1" x="1840"/>
        <item m="1" x="946"/>
        <item m="1" x="1841"/>
        <item m="1" x="1842"/>
        <item m="1" x="1843"/>
        <item m="1" x="1844"/>
        <item m="1" x="1025"/>
        <item m="1" x="1680"/>
        <item m="1" x="1681"/>
        <item m="1" x="1845"/>
        <item m="1" x="1846"/>
        <item m="1" x="1847"/>
        <item m="1" x="945"/>
        <item m="1" x="1770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015"/>
        <item m="1" x="1871"/>
        <item m="1" x="1872"/>
        <item m="1" x="1873"/>
        <item m="1" x="1877"/>
        <item m="1" x="949"/>
        <item m="1" x="1709"/>
        <item m="1" x="1879"/>
        <item m="1" x="1880"/>
        <item m="1" x="1881"/>
        <item m="1" x="1882"/>
        <item m="1" x="950"/>
        <item m="1" x="1887"/>
        <item m="1" x="1888"/>
        <item m="1" x="1889"/>
        <item m="1" x="951"/>
        <item m="1" x="1890"/>
        <item m="1" x="1766"/>
        <item m="1" x="1891"/>
        <item m="1" x="1715"/>
        <item m="1" x="1902"/>
        <item m="1" x="953"/>
        <item m="1" x="1049"/>
        <item m="1" x="1905"/>
        <item m="1" x="1906"/>
        <item m="1" x="1029"/>
        <item m="1" x="968"/>
        <item m="1" x="966"/>
        <item m="1" x="1907"/>
        <item m="1" x="1924"/>
        <item m="1" x="1936"/>
        <item m="1" x="1938"/>
        <item m="1" x="1950"/>
        <item m="1" x="1951"/>
        <item m="1" x="1953"/>
        <item m="1" x="1957"/>
        <item m="1" x="1958"/>
        <item m="1" x="1590"/>
        <item m="1" x="1960"/>
        <item m="1" x="964"/>
        <item m="1" x="1961"/>
        <item m="1" x="1035"/>
        <item m="1" x="969"/>
        <item m="1" x="970"/>
        <item m="1" x="957"/>
        <item m="1" x="965"/>
        <item m="1" x="1969"/>
        <item m="1" x="1971"/>
        <item m="1" x="1973"/>
        <item m="1" x="1978"/>
        <item m="1" x="1982"/>
        <item m="1" x="1724"/>
        <item m="1" x="1999"/>
        <item m="1" x="2000"/>
        <item m="1" x="2002"/>
        <item m="1" x="2003"/>
        <item m="1" x="2005"/>
        <item m="1" x="2006"/>
        <item m="1" x="954"/>
        <item m="1" x="2007"/>
        <item m="1" x="2008"/>
        <item m="1" x="664"/>
        <item m="1" x="955"/>
        <item m="1" x="956"/>
        <item m="1" x="963"/>
        <item m="1" x="2015"/>
        <item m="1" x="2016"/>
        <item m="1" x="2018"/>
        <item m="1" x="2019"/>
        <item m="1" x="2020"/>
        <item m="1" x="961"/>
        <item m="1" x="962"/>
        <item m="1" x="2021"/>
        <item m="1" x="2024"/>
        <item m="1" x="1054"/>
        <item m="1" x="973"/>
        <item m="1" x="972"/>
        <item m="1" x="2028"/>
        <item m="1" x="974"/>
        <item m="1" x="976"/>
        <item m="1" x="975"/>
        <item m="1" x="977"/>
        <item m="1" x="2030"/>
        <item m="1" x="2031"/>
        <item m="1" x="978"/>
        <item m="1" x="1062"/>
        <item m="1" x="979"/>
        <item m="1" x="980"/>
        <item m="1" x="1064"/>
        <item m="1" x="2035"/>
        <item m="1" x="2037"/>
        <item m="1" x="986"/>
        <item m="1" x="1735"/>
        <item m="1" x="984"/>
        <item m="1" x="988"/>
        <item m="1" x="987"/>
        <item m="1" x="2039"/>
        <item m="1" x="983"/>
        <item m="1" x="982"/>
        <item m="1" x="989"/>
        <item m="1" x="990"/>
        <item m="1" x="2047"/>
        <item m="1" x="2048"/>
        <item m="1" x="2049"/>
        <item m="1" x="2054"/>
        <item m="1" x="906"/>
        <item m="1" x="1742"/>
        <item m="1" x="2056"/>
        <item m="1" x="2057"/>
        <item m="1" x="2058"/>
        <item m="1" x="1746"/>
        <item m="1" x="2063"/>
        <item m="1" x="2064"/>
        <item m="1" x="2065"/>
        <item m="1" x="2066"/>
        <item m="1" x="995"/>
        <item m="1" x="2067"/>
        <item m="1" x="2068"/>
        <item m="1" x="1747"/>
        <item m="1" x="1749"/>
        <item m="1" x="2070"/>
        <item m="1" x="1748"/>
        <item m="1" x="2072"/>
        <item m="1" x="2073"/>
        <item m="1" x="992"/>
        <item m="1" x="2074"/>
        <item m="1" x="2075"/>
        <item m="1" x="2076"/>
        <item m="1" x="2083"/>
        <item m="1" x="2084"/>
        <item m="1" x="2085"/>
        <item m="1" x="2086"/>
        <item m="1" x="996"/>
        <item m="1" x="2087"/>
        <item m="1" x="2088"/>
        <item m="1" x="997"/>
        <item m="1" x="2090"/>
        <item m="1" x="2091"/>
        <item m="1" x="2093"/>
        <item m="1" x="2094"/>
        <item m="1" x="1090"/>
        <item m="1" x="1771"/>
        <item m="1" x="1769"/>
        <item m="1" x="1772"/>
        <item m="1" x="2095"/>
        <item m="1" x="2096"/>
        <item m="1" x="2097"/>
        <item m="1" x="998"/>
        <item m="1" x="2099"/>
        <item m="1" x="2100"/>
        <item m="1" x="999"/>
        <item m="1" x="2101"/>
        <item m="1" x="1000"/>
        <item m="1" x="2102"/>
        <item m="1" x="1610"/>
        <item m="1" x="1612"/>
        <item m="1" x="1613"/>
        <item m="1" x="1614"/>
        <item m="1" x="1615"/>
        <item m="1" x="1616"/>
        <item m="1" x="1617"/>
        <item m="1" x="1619"/>
        <item m="1" x="1620"/>
        <item m="1" x="1621"/>
        <item m="1" x="1627"/>
        <item m="1" x="1628"/>
        <item m="1" x="1629"/>
        <item m="1" x="1630"/>
        <item m="1" x="1631"/>
        <item m="1" x="1632"/>
        <item m="1" x="1002"/>
        <item m="1" x="1637"/>
        <item m="1" x="1639"/>
        <item m="1" x="1640"/>
        <item m="1" x="1642"/>
        <item m="1" x="1643"/>
        <item m="1" x="1644"/>
        <item m="1" x="1645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4"/>
        <item m="1" x="1665"/>
        <item m="1" x="1666"/>
        <item m="1" x="1495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8"/>
        <item m="1" x="1690"/>
        <item m="1" x="1691"/>
        <item m="1" x="1692"/>
        <item m="1" x="1693"/>
        <item m="1" x="1694"/>
        <item m="1" x="1695"/>
        <item m="1" x="1696"/>
        <item m="1" x="1011"/>
        <item m="1" x="1697"/>
        <item m="1" x="1033"/>
        <item m="1" x="1698"/>
        <item m="1" x="1699"/>
        <item m="1" x="1700"/>
        <item m="1" x="1701"/>
        <item m="1" x="1702"/>
        <item m="1" x="1703"/>
        <item m="1" x="1704"/>
        <item m="1" x="1705"/>
        <item m="1" x="1013"/>
        <item m="1" x="1706"/>
        <item m="1" x="1707"/>
        <item m="1" x="1708"/>
        <item m="1" x="1710"/>
        <item m="1" x="1711"/>
        <item m="1" x="1513"/>
        <item m="1" x="1017"/>
        <item m="1" x="1713"/>
        <item m="1" x="1018"/>
        <item m="1" x="1716"/>
        <item m="1" x="1717"/>
        <item m="1" x="1075"/>
        <item m="1" x="1021"/>
        <item m="1" x="1517"/>
        <item m="1" x="1024"/>
        <item m="1" x="1031"/>
        <item m="1" x="1026"/>
        <item m="1" x="1027"/>
        <item m="1" x="1028"/>
        <item m="1" x="1034"/>
        <item m="1" x="1720"/>
        <item m="1" x="1722"/>
        <item m="1" x="1723"/>
        <item m="1" x="1725"/>
        <item m="1" x="1038"/>
        <item m="1" x="1726"/>
        <item m="1" x="1727"/>
        <item m="1" x="1044"/>
        <item m="1" x="1043"/>
        <item m="1" x="1728"/>
        <item m="1" x="1729"/>
        <item m="1" x="1730"/>
        <item m="1" x="1731"/>
        <item m="1" x="1732"/>
        <item m="1" x="1047"/>
        <item m="1" x="1036"/>
        <item m="1" x="1733"/>
        <item m="1" x="1056"/>
        <item m="1" x="1059"/>
        <item m="1" x="1060"/>
        <item m="1" x="1065"/>
        <item m="1" x="1066"/>
        <item m="1" x="1074"/>
        <item m="1" x="1073"/>
        <item m="1" x="1076"/>
        <item m="1" x="1077"/>
        <item m="1" x="1736"/>
        <item m="1" x="1737"/>
        <item m="1" x="1078"/>
        <item m="1" x="1738"/>
        <item m="1" x="893"/>
        <item m="1" x="894"/>
        <item m="1" x="892"/>
        <item m="1" x="1739"/>
        <item m="1" x="1740"/>
        <item m="1" x="1741"/>
        <item x="11"/>
        <item m="1" x="1745"/>
        <item m="1" x="1750"/>
        <item m="1" x="1751"/>
        <item m="1" x="1752"/>
        <item m="1" x="1754"/>
        <item m="1" x="1540"/>
        <item m="1" x="1755"/>
        <item m="1" x="1756"/>
        <item m="1" x="1757"/>
        <item m="1" x="1758"/>
        <item m="1" x="1759"/>
        <item m="1" x="1760"/>
        <item m="1" x="1761"/>
        <item m="1" x="1083"/>
        <item m="1" x="1089"/>
        <item m="1" x="1091"/>
        <item m="1" x="1762"/>
        <item m="1" x="1764"/>
        <item m="1" x="1765"/>
        <item m="1" x="1767"/>
        <item m="1" x="1097"/>
        <item m="1" x="1768"/>
        <item m="1" x="1773"/>
        <item m="1" x="1774"/>
        <item m="1" x="1775"/>
        <item m="1" x="889"/>
        <item m="1" x="1776"/>
        <item m="1" x="1777"/>
        <item m="1" x="1778"/>
        <item m="1" x="1103"/>
        <item m="1" x="885"/>
        <item m="1" x="1547"/>
        <item m="1" x="1109"/>
        <item m="1" x="1106"/>
        <item m="1" x="1107"/>
        <item m="1" x="1108"/>
        <item m="1" x="1110"/>
        <item m="1" x="1117"/>
        <item m="1" x="1118"/>
        <item m="1" x="1001"/>
        <item m="1" x="1128"/>
        <item m="1" x="1129"/>
        <item m="1" x="1127"/>
        <item m="1" x="1123"/>
        <item m="1" x="1124"/>
        <item m="1" x="1125"/>
        <item m="1" x="1126"/>
        <item m="1" x="1119"/>
        <item m="1" x="1120"/>
        <item m="1" x="1122"/>
        <item m="1" x="1121"/>
        <item m="1" x="1548"/>
        <item m="1" x="1549"/>
        <item m="1" x="1004"/>
        <item m="1" x="1005"/>
        <item m="1" x="1473"/>
        <item m="1" x="1431"/>
        <item m="1" x="1133"/>
        <item m="1" x="1134"/>
        <item m="1" x="1136"/>
        <item m="1" x="1550"/>
        <item m="1" x="1137"/>
        <item m="1" x="1489"/>
        <item m="1" x="1487"/>
        <item m="1" x="1551"/>
        <item m="1" x="1552"/>
        <item m="1" x="1553"/>
        <item m="1" x="1488"/>
        <item m="1" x="1224"/>
        <item m="1" x="1482"/>
        <item m="1" x="1483"/>
        <item m="1" x="1481"/>
        <item m="1" x="1138"/>
        <item m="1" x="1480"/>
        <item m="1" x="1479"/>
        <item m="1" x="1492"/>
        <item m="1" x="1476"/>
        <item m="1" x="1419"/>
        <item m="1" x="1554"/>
        <item m="1" x="1141"/>
        <item m="1" x="1140"/>
        <item m="1" x="1555"/>
        <item m="1" x="1556"/>
        <item m="1" x="1557"/>
        <item m="1" x="1142"/>
        <item m="1" x="1154"/>
        <item m="1" x="1152"/>
        <item m="1" x="1153"/>
        <item m="1" x="1558"/>
        <item x="196"/>
        <item m="1" x="1146"/>
        <item m="1" x="1148"/>
        <item m="1" x="1147"/>
        <item m="1" x="1149"/>
        <item m="1" x="1159"/>
        <item m="1" x="1158"/>
        <item m="1" x="1157"/>
        <item m="1" x="1156"/>
        <item m="1" x="1007"/>
        <item m="1" x="1008"/>
        <item m="1" x="1009"/>
        <item m="1" x="1010"/>
        <item m="1" x="1160"/>
        <item m="1" x="1496"/>
        <item m="1" x="1559"/>
        <item m="1" x="1560"/>
        <item m="1" x="1162"/>
        <item m="1" x="1163"/>
        <item m="1" x="1161"/>
        <item m="1" x="1561"/>
        <item m="1" x="1165"/>
        <item m="1" x="1562"/>
        <item m="1" x="1164"/>
        <item m="1" x="1173"/>
        <item m="1" x="1174"/>
        <item m="1" x="1175"/>
        <item m="1" x="1176"/>
        <item m="1" x="1563"/>
        <item m="1" x="1564"/>
        <item m="1" x="1170"/>
        <item m="1" x="1169"/>
        <item m="1" x="1167"/>
        <item m="1" x="1168"/>
        <item m="1" x="1172"/>
        <item m="1" x="1498"/>
        <item m="1" x="1565"/>
        <item m="1" x="1566"/>
        <item m="1" x="1503"/>
        <item m="1" x="1499"/>
        <item m="1" x="1500"/>
        <item m="1" x="1502"/>
        <item m="1" x="1501"/>
        <item m="1" x="1177"/>
        <item m="1" x="1182"/>
        <item m="1" x="1181"/>
        <item m="1" x="1184"/>
        <item m="1" x="1185"/>
        <item m="1" x="1186"/>
        <item m="1" x="1187"/>
        <item m="1" x="1183"/>
        <item m="1" x="1188"/>
        <item m="1" x="1189"/>
        <item m="1" x="1179"/>
        <item m="1" x="1180"/>
        <item m="1" x="1193"/>
        <item m="1" x="1178"/>
        <item m="1" x="1567"/>
        <item m="1" x="1012"/>
        <item m="1" x="1196"/>
        <item m="1" x="1198"/>
        <item m="1" x="1199"/>
        <item m="1" x="1200"/>
        <item m="1" x="1505"/>
        <item m="1" x="1197"/>
        <item m="1" x="1204"/>
        <item m="1" x="1202"/>
        <item m="1" x="1506"/>
        <item m="1" x="1205"/>
        <item m="1" x="1014"/>
        <item m="1" x="1206"/>
        <item m="1" x="1568"/>
        <item m="1" x="1207"/>
        <item m="1" x="1088"/>
        <item m="1" x="1016"/>
        <item m="1" x="1209"/>
        <item m="1" x="1569"/>
        <item m="1" x="1208"/>
        <item m="1" x="1210"/>
        <item m="1" x="1211"/>
        <item m="1" x="1570"/>
        <item m="1" x="1212"/>
        <item m="1" x="1508"/>
        <item m="1" x="1213"/>
        <item m="1" x="1214"/>
        <item m="1" x="1571"/>
        <item m="1" x="1019"/>
        <item m="1" x="1215"/>
        <item m="1" x="1216"/>
        <item m="1" x="1020"/>
        <item m="1" x="1514"/>
        <item m="1" x="1515"/>
        <item m="1" x="1511"/>
        <item m="1" x="1512"/>
        <item m="1" x="1022"/>
        <item m="1" x="1023"/>
        <item m="1" x="1218"/>
        <item m="1" x="1573"/>
        <item m="1" x="1219"/>
        <item m="1" x="1220"/>
        <item m="1" x="1051"/>
        <item m="1" x="1516"/>
        <item m="1" x="1525"/>
        <item m="1" x="1526"/>
        <item m="1" x="1527"/>
        <item m="1" x="1528"/>
        <item m="1" x="1529"/>
        <item m="1" x="1530"/>
        <item m="1" x="1042"/>
        <item m="1" x="1233"/>
        <item m="1" x="1039"/>
        <item m="1" x="1040"/>
        <item m="1" x="1041"/>
        <item m="1" x="1574"/>
        <item m="1" x="1575"/>
        <item m="1" x="1576"/>
        <item m="1" x="1577"/>
        <item m="1" x="1518"/>
        <item m="1" x="1037"/>
        <item m="1" x="1519"/>
        <item m="1" x="1045"/>
        <item m="1" x="1046"/>
        <item m="1" x="1048"/>
        <item m="1" x="1578"/>
        <item m="1" x="1579"/>
        <item m="1" x="1225"/>
        <item m="1" x="1050"/>
        <item m="1" x="1223"/>
        <item m="1" x="1580"/>
        <item m="1" x="1581"/>
        <item m="1" x="1582"/>
        <item m="1" x="1583"/>
        <item m="1" x="1234"/>
        <item m="1" x="1228"/>
        <item m="1" x="1229"/>
        <item m="1" x="1222"/>
        <item m="1" x="905"/>
        <item m="1" x="1230"/>
        <item m="1" x="1053"/>
        <item m="1" x="1584"/>
        <item m="1" x="1030"/>
        <item m="1" x="1232"/>
        <item m="1" x="1052"/>
        <item m="1" x="1032"/>
        <item m="1" x="1532"/>
        <item m="1" x="1533"/>
        <item m="1" x="1585"/>
        <item m="1" x="1586"/>
        <item m="1" x="1587"/>
        <item m="1" x="1588"/>
        <item m="1" x="1236"/>
        <item m="1" x="1238"/>
        <item m="1" x="1589"/>
        <item m="1" x="1534"/>
        <item m="1" x="1058"/>
        <item m="1" x="1057"/>
        <item m="1" x="1239"/>
        <item m="1" x="1591"/>
        <item m="1" x="1055"/>
        <item m="1" x="1240"/>
        <item m="1" x="1241"/>
        <item m="1" x="1592"/>
        <item m="1" x="1061"/>
        <item m="1" x="1063"/>
        <item m="1" x="1242"/>
        <item m="1" x="1067"/>
        <item m="1" x="1243"/>
        <item m="1" x="1593"/>
        <item m="1" x="1068"/>
        <item m="1" x="1069"/>
        <item m="1" x="1594"/>
        <item m="1" x="1070"/>
        <item m="1" x="1071"/>
        <item m="1" x="1072"/>
        <item m="1" x="1079"/>
        <item m="1" x="1080"/>
        <item m="1" x="1244"/>
        <item m="1" x="1081"/>
        <item m="1" x="1595"/>
        <item m="1" x="1082"/>
        <item m="1" x="1245"/>
        <item m="1" x="1246"/>
        <item m="1" x="1247"/>
        <item m="1" x="1248"/>
        <item m="1" x="1536"/>
        <item m="1" x="1596"/>
        <item m="1" x="603"/>
        <item m="1" x="1253"/>
        <item m="1" x="1252"/>
        <item m="1" x="1597"/>
        <item m="1" x="1598"/>
        <item m="1" x="1599"/>
        <item m="1" x="1600"/>
        <item m="1" x="1601"/>
        <item m="1" x="887"/>
        <item m="1" x="1087"/>
        <item m="1" x="1249"/>
        <item m="1" x="1250"/>
        <item m="1" x="1251"/>
        <item m="1" x="1602"/>
        <item m="1" x="1603"/>
        <item m="1" x="1604"/>
        <item m="1" x="1259"/>
        <item m="1" x="1258"/>
        <item m="1" x="1257"/>
        <item m="1" x="1255"/>
        <item m="1" x="1086"/>
        <item m="1" x="1085"/>
        <item m="1" x="1256"/>
        <item m="1" x="1084"/>
        <item m="1" x="1254"/>
        <item m="1" x="1260"/>
        <item m="1" x="1261"/>
        <item m="1" x="1094"/>
        <item m="1" x="1093"/>
        <item m="1" x="1092"/>
        <item m="1" x="1095"/>
        <item m="1" x="1096"/>
        <item m="1" x="1262"/>
        <item m="1" x="1263"/>
        <item m="1" x="1264"/>
        <item m="1" x="1541"/>
        <item m="1" x="1098"/>
        <item m="1" x="1265"/>
        <item m="1" x="1099"/>
        <item m="1" x="1266"/>
        <item m="1" x="1267"/>
        <item m="1" x="1542"/>
        <item m="1" x="1268"/>
        <item m="1" x="1544"/>
        <item m="1" x="1545"/>
        <item m="1" x="1100"/>
        <item m="1" x="1269"/>
        <item m="1" x="1605"/>
        <item m="1" x="1546"/>
        <item m="1" x="1606"/>
        <item m="1" x="1607"/>
        <item m="1" x="1608"/>
        <item m="1" x="1609"/>
        <item m="1" x="1270"/>
        <item m="1" x="1272"/>
        <item m="1" x="1274"/>
        <item m="1" x="1273"/>
        <item m="1" x="1275"/>
        <item m="1" x="1276"/>
        <item m="1" x="1278"/>
        <item m="1" x="1279"/>
        <item m="1" x="1104"/>
        <item m="1" x="1105"/>
        <item m="1" x="1113"/>
        <item m="1" x="1111"/>
        <item m="1" x="1112"/>
        <item m="1" x="1286"/>
        <item m="1" x="1114"/>
        <item m="1" x="1115"/>
        <item m="1" x="1116"/>
        <item m="1" x="1472"/>
        <item m="1" x="1293"/>
        <item m="1" x="1294"/>
        <item m="1" x="1291"/>
        <item m="1" x="1130"/>
        <item m="1" x="1131"/>
        <item m="1" x="1309"/>
        <item m="1" x="1132"/>
        <item m="1" x="1474"/>
        <item m="1" x="1475"/>
        <item m="1" x="1477"/>
        <item m="1" x="1478"/>
        <item m="1" x="1139"/>
        <item m="1" x="1484"/>
        <item m="1" x="1485"/>
        <item m="1" x="1486"/>
        <item m="1" x="1490"/>
        <item m="1" x="1491"/>
        <item m="1" x="1145"/>
        <item m="1" x="830"/>
        <item m="1" x="1144"/>
        <item m="1" x="1143"/>
        <item m="1" x="1493"/>
        <item m="1" x="1494"/>
        <item m="1" x="1330"/>
        <item m="1" x="1335"/>
        <item m="1" x="1336"/>
        <item m="1" x="1150"/>
        <item m="1" x="1151"/>
        <item m="1" x="1155"/>
        <item m="1" x="1341"/>
        <item m="1" x="1357"/>
        <item m="1" x="1497"/>
        <item m="1" x="1349"/>
        <item m="1" x="1166"/>
        <item m="1" x="1351"/>
        <item m="1" x="1171"/>
        <item m="1" x="1194"/>
        <item m="1" x="1504"/>
        <item m="1" x="1195"/>
        <item m="1" x="1191"/>
        <item m="1" x="1190"/>
        <item m="1" x="1361"/>
        <item m="1" x="1359"/>
        <item m="1" x="1360"/>
        <item m="1" x="1192"/>
        <item m="1" x="1362"/>
        <item m="1" x="1363"/>
        <item m="1" x="1372"/>
        <item m="1" x="1384"/>
        <item m="1" x="1201"/>
        <item m="1" x="1457"/>
        <item m="1" x="1462"/>
        <item m="1" x="1203"/>
        <item m="1" x="1446"/>
        <item m="1" x="1507"/>
        <item m="1" x="1509"/>
        <item m="1" x="1510"/>
        <item m="1" x="1217"/>
        <item m="1" x="1407"/>
        <item m="1" x="1221"/>
        <item m="1" x="1520"/>
        <item m="1" x="1521"/>
        <item m="1" x="1522"/>
        <item m="1" x="1415"/>
        <item m="1" x="1458"/>
        <item m="1" x="1227"/>
        <item m="1" x="1226"/>
        <item m="1" x="1414"/>
        <item m="1" x="1531"/>
        <item m="1" x="1231"/>
        <item m="1" x="1466"/>
        <item m="1" x="1237"/>
        <item m="1" x="1235"/>
        <item m="1" x="1535"/>
        <item m="1" x="1427"/>
        <item m="1" x="1537"/>
        <item m="1" x="1538"/>
        <item m="1" x="1443"/>
        <item m="1" x="1434"/>
        <item m="1" x="1539"/>
        <item m="1" x="1436"/>
        <item m="1" x="1438"/>
        <item m="1" x="1543"/>
        <item m="1" x="1271"/>
        <item m="1" x="1277"/>
        <item m="1" x="1135"/>
        <item m="1" x="1280"/>
        <item m="1" x="1281"/>
        <item m="1" x="1282"/>
        <item m="1" x="1283"/>
        <item m="1" x="1284"/>
        <item m="1" x="1285"/>
        <item m="1" x="1287"/>
        <item m="1" x="1288"/>
        <item m="1" x="1289"/>
        <item m="1" x="1290"/>
        <item m="1" x="1292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1"/>
        <item m="1" x="1332"/>
        <item m="1" x="1333"/>
        <item m="1" x="1334"/>
        <item m="1" x="1337"/>
        <item m="1" x="1338"/>
        <item m="1" x="1339"/>
        <item m="1" x="1340"/>
        <item m="1" x="1342"/>
        <item m="1" x="1343"/>
        <item m="1" x="1344"/>
        <item m="1" x="1345"/>
        <item m="1" x="1346"/>
        <item m="1" x="1347"/>
        <item m="1" x="1348"/>
        <item m="1" x="1350"/>
        <item m="1" x="1352"/>
        <item m="1" x="1353"/>
        <item m="1" x="1354"/>
        <item m="1" x="1355"/>
        <item m="1" x="1356"/>
        <item m="1" x="1358"/>
        <item m="1" x="1364"/>
        <item m="1" x="1365"/>
        <item m="1" x="1366"/>
        <item m="1" x="1367"/>
        <item m="1" x="1368"/>
        <item m="1" x="1369"/>
        <item m="1" x="1370"/>
        <item m="1" x="1371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6"/>
        <item m="1" x="1417"/>
        <item m="1" x="1418"/>
        <item m="1" x="1420"/>
        <item m="1" x="1421"/>
        <item m="1" x="1422"/>
        <item m="1" x="1423"/>
        <item m="1" x="1424"/>
        <item m="1" x="1426"/>
        <item m="1" x="1428"/>
        <item m="1" x="1429"/>
        <item m="1" x="1430"/>
        <item m="1" x="1432"/>
        <item m="1" x="1433"/>
        <item m="1" x="1435"/>
        <item m="1" x="1437"/>
        <item m="1" x="1439"/>
        <item m="1" x="1440"/>
        <item m="1" x="1441"/>
        <item m="1" x="1442"/>
        <item m="1" x="1444"/>
        <item m="1" x="1445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9"/>
        <item m="1" x="1460"/>
        <item m="1" x="1461"/>
        <item m="1" x="1463"/>
        <item m="1" x="1464"/>
        <item m="1" x="1465"/>
        <item m="1" x="1467"/>
        <item m="1" x="1468"/>
        <item m="1" x="1469"/>
        <item m="1" x="1470"/>
        <item m="1" x="1471"/>
        <item m="1" x="730"/>
        <item m="1" x="731"/>
        <item m="1" x="732"/>
        <item m="1" x="555"/>
        <item x="6"/>
        <item m="1" x="558"/>
        <item m="1" x="559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463"/>
        <item m="1" x="560"/>
        <item m="1" x="764"/>
        <item m="1" x="765"/>
        <item m="1" x="471"/>
        <item x="14"/>
        <item m="1" x="574"/>
        <item m="1" x="566"/>
        <item m="1" x="561"/>
        <item m="1" x="467"/>
        <item m="1" x="766"/>
        <item m="1" x="475"/>
        <item x="70"/>
        <item m="1" x="633"/>
        <item m="1" x="767"/>
        <item m="1" x="571"/>
        <item m="1" x="768"/>
        <item m="1" x="769"/>
        <item x="213"/>
        <item m="1" x="573"/>
        <item m="1" x="770"/>
        <item m="1" x="581"/>
        <item m="1" x="580"/>
        <item m="1" x="771"/>
        <item m="1" x="772"/>
        <item m="1" x="773"/>
        <item m="1" x="774"/>
        <item m="1" x="775"/>
        <item m="1" x="776"/>
        <item m="1" x="777"/>
        <item m="1" x="778"/>
        <item m="1" x="579"/>
        <item m="1" x="779"/>
        <item m="1" x="575"/>
        <item m="1" x="780"/>
        <item m="1" x="576"/>
        <item m="1" x="582"/>
        <item m="1" x="781"/>
        <item x="42"/>
        <item m="1" x="583"/>
        <item m="1" x="782"/>
        <item m="1" x="783"/>
        <item m="1" x="784"/>
        <item m="1" x="785"/>
        <item m="1" x="577"/>
        <item m="1" x="578"/>
        <item m="1" x="786"/>
        <item x="60"/>
        <item x="61"/>
        <item x="62"/>
        <item m="1" x="491"/>
        <item m="1" x="492"/>
        <item x="56"/>
        <item m="1" x="599"/>
        <item m="1" x="597"/>
        <item m="1" x="787"/>
        <item m="1" x="607"/>
        <item m="1" x="604"/>
        <item x="64"/>
        <item x="66"/>
        <item m="1" x="788"/>
        <item m="1" x="789"/>
        <item m="1" x="613"/>
        <item m="1" x="614"/>
        <item m="1" x="610"/>
        <item m="1" x="611"/>
        <item m="1" x="790"/>
        <item m="1" x="791"/>
        <item m="1" x="615"/>
        <item m="1" x="792"/>
        <item m="1" x="498"/>
        <item m="1" x="497"/>
        <item m="1" x="496"/>
        <item m="1" x="503"/>
        <item m="1" x="502"/>
        <item m="1" x="628"/>
        <item m="1" x="793"/>
        <item x="83"/>
        <item m="1" x="794"/>
        <item m="1" x="795"/>
        <item m="1" x="796"/>
        <item m="1" x="797"/>
        <item m="1" x="617"/>
        <item x="93"/>
        <item m="1" x="618"/>
        <item m="1" x="616"/>
        <item x="94"/>
        <item m="1" x="505"/>
        <item m="1" x="798"/>
        <item m="1" x="799"/>
        <item m="1" x="624"/>
        <item m="1" x="625"/>
        <item m="1" x="626"/>
        <item x="106"/>
        <item x="107"/>
        <item x="108"/>
        <item x="110"/>
        <item x="117"/>
        <item m="1" x="800"/>
        <item m="1" x="801"/>
        <item m="1" x="802"/>
        <item m="1" x="803"/>
        <item m="1" x="804"/>
        <item m="1" x="805"/>
        <item m="1" x="630"/>
        <item m="1" x="632"/>
        <item m="1" x="806"/>
        <item m="1" x="634"/>
        <item m="1" x="635"/>
        <item m="1" x="636"/>
        <item m="1" x="807"/>
        <item m="1" x="808"/>
        <item m="1" x="809"/>
        <item m="1" x="639"/>
        <item x="134"/>
        <item x="132"/>
        <item m="1" x="640"/>
        <item m="1" x="641"/>
        <item m="1" x="642"/>
        <item x="137"/>
        <item m="1" x="647"/>
        <item m="1" x="650"/>
        <item m="1" x="651"/>
        <item m="1" x="652"/>
        <item m="1" x="653"/>
        <item m="1" x="810"/>
        <item m="1" x="648"/>
        <item m="1" x="657"/>
        <item m="1" x="654"/>
        <item m="1" x="655"/>
        <item m="1" x="659"/>
        <item m="1" x="660"/>
        <item m="1" x="661"/>
        <item m="1" x="662"/>
        <item m="1" x="811"/>
        <item x="150"/>
        <item x="151"/>
        <item m="1" x="812"/>
        <item m="1" x="813"/>
        <item m="1" x="814"/>
        <item x="154"/>
        <item m="1" x="815"/>
        <item m="1" x="816"/>
        <item m="1" x="667"/>
        <item m="1" x="817"/>
        <item m="1" x="818"/>
        <item m="1" x="819"/>
        <item m="1" x="820"/>
        <item m="1" x="821"/>
        <item m="1" x="822"/>
        <item m="1" x="665"/>
        <item m="1" x="823"/>
        <item m="1" x="824"/>
        <item m="1" x="825"/>
        <item m="1" x="668"/>
        <item m="1" x="826"/>
        <item m="1" x="827"/>
        <item m="1" x="669"/>
        <item m="1" x="828"/>
        <item m="1" x="829"/>
        <item m="1" x="671"/>
        <item x="214"/>
        <item x="215"/>
        <item m="1" x="831"/>
        <item x="175"/>
        <item x="183"/>
        <item x="184"/>
        <item x="185"/>
        <item x="176"/>
        <item x="177"/>
        <item x="178"/>
        <item x="179"/>
        <item x="180"/>
        <item x="181"/>
        <item x="182"/>
        <item x="18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187"/>
        <item x="188"/>
        <item x="189"/>
        <item x="190"/>
        <item x="191"/>
        <item x="192"/>
        <item x="193"/>
        <item x="194"/>
        <item x="195"/>
        <item m="1" x="832"/>
        <item m="1" x="833"/>
        <item x="131"/>
        <item m="1" x="675"/>
        <item x="222"/>
        <item x="223"/>
        <item m="1" x="530"/>
        <item m="1" x="529"/>
        <item m="1" x="834"/>
        <item m="1" x="835"/>
        <item m="1" x="836"/>
        <item m="1" x="528"/>
        <item m="1" x="837"/>
        <item m="1" x="525"/>
        <item m="1" x="524"/>
        <item x="224"/>
        <item m="1" x="526"/>
        <item m="1" x="838"/>
        <item m="1" x="839"/>
        <item m="1" x="840"/>
        <item m="1" x="841"/>
        <item m="1" x="842"/>
        <item m="1" x="681"/>
        <item m="1" x="686"/>
        <item x="227"/>
        <item m="1" x="695"/>
        <item x="251"/>
        <item x="255"/>
        <item x="257"/>
        <item m="1" x="535"/>
        <item m="1" x="843"/>
        <item x="256"/>
        <item m="1" x="844"/>
        <item m="1" x="845"/>
        <item m="1" x="702"/>
        <item m="1" x="703"/>
        <item x="261"/>
        <item x="262"/>
        <item m="1" x="704"/>
        <item m="1" x="846"/>
        <item m="1" x="847"/>
        <item m="1" x="705"/>
        <item m="1" x="848"/>
        <item m="1" x="706"/>
        <item m="1" x="849"/>
        <item m="1" x="850"/>
        <item m="1" x="851"/>
        <item m="1" x="852"/>
        <item m="1" x="853"/>
        <item m="1" x="854"/>
        <item m="1" x="855"/>
        <item m="1" x="856"/>
        <item m="1" x="537"/>
        <item m="1" x="857"/>
        <item m="1" x="707"/>
        <item m="1" x="495"/>
        <item m="1" x="858"/>
        <item x="17"/>
        <item m="1" x="859"/>
        <item m="1" x="860"/>
        <item m="1" x="861"/>
        <item x="285"/>
        <item x="284"/>
        <item m="1" x="708"/>
        <item x="287"/>
        <item x="288"/>
        <item m="1" x="862"/>
        <item x="289"/>
        <item m="1" x="863"/>
        <item m="1" x="864"/>
        <item m="1" x="865"/>
        <item m="1" x="866"/>
        <item m="1" x="539"/>
        <item m="1" x="540"/>
        <item m="1" x="714"/>
        <item m="1" x="713"/>
        <item x="296"/>
        <item m="1" x="715"/>
        <item m="1" x="867"/>
        <item m="1" x="868"/>
        <item m="1" x="869"/>
        <item x="295"/>
        <item m="1" x="870"/>
        <item m="1" x="871"/>
        <item m="1" x="872"/>
        <item m="1" x="873"/>
        <item m="1" x="874"/>
        <item m="1" x="875"/>
        <item m="1" x="876"/>
        <item m="1" x="716"/>
        <item m="1" x="717"/>
        <item m="1" x="718"/>
        <item m="1" x="719"/>
        <item m="1" x="877"/>
        <item m="1" x="878"/>
        <item m="1" x="547"/>
        <item m="1" x="444"/>
        <item x="304"/>
        <item m="1" x="443"/>
        <item m="1" x="448"/>
        <item m="1" x="447"/>
        <item m="1" x="544"/>
        <item m="1" x="446"/>
        <item m="1" x="879"/>
        <item m="1" x="880"/>
        <item m="1" x="550"/>
        <item m="1" x="551"/>
        <item x="305"/>
        <item m="1" x="445"/>
        <item m="1" x="442"/>
        <item m="1" x="881"/>
        <item m="1" x="882"/>
        <item m="1" x="883"/>
        <item m="1" x="724"/>
        <item m="1" x="729"/>
        <item m="1" x="728"/>
        <item m="1" x="457"/>
        <item m="1" x="553"/>
        <item m="1" x="554"/>
        <item x="2"/>
        <item x="7"/>
        <item m="1" x="556"/>
        <item m="1" x="557"/>
        <item x="325"/>
        <item m="1" x="466"/>
        <item m="1" x="562"/>
        <item m="1" x="563"/>
        <item m="1" x="564"/>
        <item m="1" x="337"/>
        <item m="1" x="565"/>
        <item x="209"/>
        <item x="228"/>
        <item m="1" x="567"/>
        <item m="1" x="474"/>
        <item m="1" x="568"/>
        <item m="1" x="569"/>
        <item m="1" x="570"/>
        <item m="1" x="476"/>
        <item m="1" x="572"/>
        <item x="226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x="155"/>
        <item m="1" x="596"/>
        <item x="99"/>
        <item m="1" x="598"/>
        <item m="1" x="600"/>
        <item m="1" x="490"/>
        <item m="1" x="601"/>
        <item m="1" x="602"/>
        <item m="1" x="493"/>
        <item m="1" x="494"/>
        <item m="1" x="605"/>
        <item m="1" x="606"/>
        <item m="1" x="608"/>
        <item m="1" x="609"/>
        <item m="1" x="473"/>
        <item m="1" x="612"/>
        <item m="1" x="500"/>
        <item x="69"/>
        <item m="1" x="499"/>
        <item m="1" x="619"/>
        <item m="1" x="620"/>
        <item m="1" x="621"/>
        <item m="1" x="504"/>
        <item m="1" x="622"/>
        <item m="1" x="623"/>
        <item x="101"/>
        <item m="1" x="627"/>
        <item m="1" x="507"/>
        <item x="86"/>
        <item m="1" x="629"/>
        <item x="105"/>
        <item m="1" x="631"/>
        <item x="120"/>
        <item x="124"/>
        <item m="1" x="637"/>
        <item m="1" x="519"/>
        <item m="1" x="517"/>
        <item x="133"/>
        <item m="1" x="638"/>
        <item m="1" x="643"/>
        <item m="1" x="644"/>
        <item x="143"/>
        <item m="1" x="645"/>
        <item m="1" x="646"/>
        <item x="146"/>
        <item x="300"/>
        <item m="1" x="656"/>
        <item m="1" x="658"/>
        <item m="1" x="663"/>
        <item x="156"/>
        <item m="1" x="666"/>
        <item x="171"/>
        <item m="1" x="670"/>
        <item m="1" x="672"/>
        <item m="1" x="673"/>
        <item x="208"/>
        <item m="1" x="674"/>
        <item x="269"/>
        <item m="1" x="676"/>
        <item m="1" x="677"/>
        <item m="1" x="678"/>
        <item m="1" x="679"/>
        <item m="1" x="533"/>
        <item m="1" x="419"/>
        <item m="1" x="680"/>
        <item x="232"/>
        <item m="1" x="682"/>
        <item m="1" x="683"/>
        <item m="1" x="684"/>
        <item m="1" x="685"/>
        <item m="1" x="687"/>
        <item m="1" x="688"/>
        <item m="1" x="689"/>
        <item m="1" x="690"/>
        <item m="1" x="691"/>
        <item m="1" x="692"/>
        <item m="1" x="693"/>
        <item m="1" x="694"/>
        <item x="254"/>
        <item m="1" x="414"/>
        <item m="1" x="696"/>
        <item m="1" x="697"/>
        <item m="1" x="698"/>
        <item x="253"/>
        <item m="1" x="699"/>
        <item m="1" x="700"/>
        <item m="1" x="701"/>
        <item x="272"/>
        <item x="273"/>
        <item x="276"/>
        <item m="1" x="538"/>
        <item x="277"/>
        <item m="1" x="709"/>
        <item m="1" x="710"/>
        <item m="1" x="711"/>
        <item x="280"/>
        <item m="1" x="712"/>
        <item m="1" x="720"/>
        <item m="1" x="441"/>
        <item m="1" x="545"/>
        <item m="1" x="546"/>
        <item m="1" x="721"/>
        <item m="1" x="722"/>
        <item m="1" x="723"/>
        <item x="313"/>
        <item x="314"/>
        <item x="315"/>
        <item m="1" x="725"/>
        <item m="1" x="726"/>
        <item m="1" x="727"/>
        <item x="0"/>
        <item m="1" x="458"/>
        <item m="1" x="459"/>
        <item m="1" x="460"/>
        <item m="1" x="461"/>
        <item m="1" x="462"/>
        <item x="12"/>
        <item x="13"/>
        <item m="1" x="464"/>
        <item m="1" x="465"/>
        <item m="1" x="468"/>
        <item m="1" x="469"/>
        <item m="1" x="470"/>
        <item m="1" x="472"/>
        <item m="1" x="477"/>
        <item m="1" x="478"/>
        <item m="1" x="479"/>
        <item m="1" x="480"/>
        <item m="1" x="481"/>
        <item m="1" x="482"/>
        <item x="27"/>
        <item m="1" x="483"/>
        <item m="1" x="360"/>
        <item m="1" x="361"/>
        <item m="1" x="484"/>
        <item m="1" x="485"/>
        <item m="1" x="357"/>
        <item m="1" x="486"/>
        <item m="1" x="487"/>
        <item m="1" x="488"/>
        <item x="59"/>
        <item m="1" x="489"/>
        <item x="217"/>
        <item m="1" x="374"/>
        <item m="1" x="501"/>
        <item m="1" x="378"/>
        <item m="1" x="383"/>
        <item m="1" x="384"/>
        <item x="96"/>
        <item x="95"/>
        <item x="97"/>
        <item x="84"/>
        <item m="1" x="506"/>
        <item m="1" x="379"/>
        <item m="1" x="380"/>
        <item x="104"/>
        <item m="1" x="508"/>
        <item m="1" x="388"/>
        <item x="115"/>
        <item m="1" x="509"/>
        <item m="1" x="510"/>
        <item m="1" x="511"/>
        <item m="1" x="512"/>
        <item m="1" x="513"/>
        <item x="129"/>
        <item m="1" x="514"/>
        <item m="1" x="515"/>
        <item m="1" x="516"/>
        <item x="236"/>
        <item m="1" x="518"/>
        <item x="135"/>
        <item x="139"/>
        <item x="140"/>
        <item x="141"/>
        <item x="142"/>
        <item m="1" x="520"/>
        <item m="1" x="397"/>
        <item m="1" x="395"/>
        <item m="1" x="396"/>
        <item m="1" x="394"/>
        <item m="1" x="401"/>
        <item m="1" x="402"/>
        <item x="157"/>
        <item x="158"/>
        <item m="1" x="521"/>
        <item m="1" x="523"/>
        <item m="1" x="408"/>
        <item m="1" x="410"/>
        <item x="218"/>
        <item m="1" x="527"/>
        <item m="1" x="531"/>
        <item x="248"/>
        <item m="1" x="532"/>
        <item x="243"/>
        <item m="1" x="421"/>
        <item m="1" x="420"/>
        <item m="1" x="534"/>
        <item x="233"/>
        <item m="1" x="536"/>
        <item x="263"/>
        <item x="265"/>
        <item x="274"/>
        <item m="1" x="386"/>
        <item x="278"/>
        <item m="1" x="430"/>
        <item m="1" x="432"/>
        <item m="1" x="433"/>
        <item m="1" x="437"/>
        <item m="1" x="438"/>
        <item m="1" x="439"/>
        <item x="294"/>
        <item x="298"/>
        <item x="301"/>
        <item x="302"/>
        <item m="1" x="541"/>
        <item m="1" x="542"/>
        <item m="1" x="543"/>
        <item m="1" x="449"/>
        <item m="1" x="450"/>
        <item m="1" x="548"/>
        <item m="1" x="549"/>
        <item m="1" x="552"/>
        <item m="1" x="452"/>
        <item m="1" x="454"/>
        <item m="1" x="455"/>
        <item x="324"/>
        <item m="1" x="453"/>
        <item x="1"/>
        <item m="1" x="328"/>
        <item x="5"/>
        <item m="1" x="329"/>
        <item m="1" x="330"/>
        <item m="1" x="331"/>
        <item m="1" x="332"/>
        <item m="1" x="333"/>
        <item m="1" x="334"/>
        <item x="15"/>
        <item m="1" x="335"/>
        <item m="1" x="336"/>
        <item m="1" x="338"/>
        <item m="1" x="339"/>
        <item m="1" x="340"/>
        <item m="1" x="341"/>
        <item m="1" x="342"/>
        <item x="38"/>
        <item m="1" x="343"/>
        <item x="39"/>
        <item m="1" x="344"/>
        <item m="1" x="345"/>
        <item m="1" x="346"/>
        <item m="1" x="347"/>
        <item x="40"/>
        <item x="41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x="29"/>
        <item m="1" x="358"/>
        <item m="1" x="359"/>
        <item m="1" x="362"/>
        <item m="1" x="363"/>
        <item x="34"/>
        <item m="1" x="364"/>
        <item m="1" x="365"/>
        <item x="28"/>
        <item m="1" x="366"/>
        <item m="1" x="367"/>
        <item m="1" x="368"/>
        <item m="1" x="369"/>
        <item m="1" x="370"/>
        <item m="1" x="371"/>
        <item m="1" x="372"/>
        <item m="1" x="373"/>
        <item m="1" x="375"/>
        <item m="1" x="376"/>
        <item m="1" x="377"/>
        <item x="98"/>
        <item x="85"/>
        <item x="79"/>
        <item x="80"/>
        <item m="1" x="381"/>
        <item m="1" x="382"/>
        <item x="88"/>
        <item m="1" x="385"/>
        <item m="1" x="387"/>
        <item x="111"/>
        <item x="112"/>
        <item x="113"/>
        <item x="118"/>
        <item m="1" x="389"/>
        <item x="119"/>
        <item m="1" x="390"/>
        <item x="127"/>
        <item x="123"/>
        <item x="128"/>
        <item x="211"/>
        <item m="1" x="392"/>
        <item m="1" x="393"/>
        <item x="136"/>
        <item m="1" x="398"/>
        <item x="145"/>
        <item m="1" x="399"/>
        <item m="1" x="400"/>
        <item x="149"/>
        <item m="1" x="403"/>
        <item m="1" x="404"/>
        <item m="1" x="405"/>
        <item x="170"/>
        <item m="1" x="406"/>
        <item m="1" x="407"/>
        <item m="1" x="409"/>
        <item x="212"/>
        <item x="219"/>
        <item m="1" x="411"/>
        <item m="1" x="412"/>
        <item m="1" x="413"/>
        <item m="1" x="415"/>
        <item x="235"/>
        <item x="240"/>
        <item x="237"/>
        <item x="238"/>
        <item x="239"/>
        <item m="1" x="416"/>
        <item x="244"/>
        <item m="1" x="417"/>
        <item m="1" x="418"/>
        <item x="231"/>
        <item x="229"/>
        <item x="230"/>
        <item m="1" x="422"/>
        <item m="1" x="423"/>
        <item m="1" x="424"/>
        <item m="1" x="425"/>
        <item m="1" x="426"/>
        <item m="1" x="427"/>
        <item x="260"/>
        <item m="1" x="428"/>
        <item x="264"/>
        <item x="266"/>
        <item m="1" x="429"/>
        <item x="279"/>
        <item m="1" x="431"/>
        <item x="286"/>
        <item m="1" x="434"/>
        <item x="290"/>
        <item m="1" x="435"/>
        <item m="1" x="436"/>
        <item x="293"/>
        <item m="1" x="440"/>
        <item x="307"/>
        <item m="1" x="451"/>
        <item x="310"/>
        <item x="312"/>
        <item x="322"/>
        <item x="323"/>
        <item m="1" x="456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5"/>
        <item x="36"/>
        <item x="37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63"/>
        <item x="67"/>
        <item x="68"/>
        <item x="71"/>
        <item x="72"/>
        <item x="73"/>
        <item x="74"/>
        <item x="75"/>
        <item x="76"/>
        <item x="77"/>
        <item x="78"/>
        <item x="81"/>
        <item x="82"/>
        <item x="87"/>
        <item x="89"/>
        <item x="90"/>
        <item x="91"/>
        <item x="92"/>
        <item x="100"/>
        <item x="102"/>
        <item x="103"/>
        <item x="109"/>
        <item x="114"/>
        <item x="116"/>
        <item x="121"/>
        <item x="122"/>
        <item x="125"/>
        <item x="130"/>
        <item x="138"/>
        <item x="144"/>
        <item x="147"/>
        <item x="148"/>
        <item x="152"/>
        <item x="15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2"/>
        <item x="173"/>
        <item x="174"/>
        <item x="210"/>
        <item x="216"/>
        <item x="220"/>
        <item x="221"/>
        <item x="225"/>
        <item x="234"/>
        <item x="241"/>
        <item x="242"/>
        <item x="245"/>
        <item x="246"/>
        <item x="247"/>
        <item x="249"/>
        <item x="250"/>
        <item x="252"/>
        <item x="258"/>
        <item x="259"/>
        <item x="267"/>
        <item x="268"/>
        <item x="270"/>
        <item x="271"/>
        <item x="275"/>
        <item x="281"/>
        <item x="282"/>
        <item x="283"/>
        <item x="291"/>
        <item x="292"/>
        <item x="297"/>
        <item x="299"/>
        <item x="303"/>
        <item x="306"/>
        <item x="308"/>
        <item x="309"/>
        <item x="311"/>
        <item x="316"/>
        <item x="317"/>
        <item x="318"/>
        <item x="319"/>
        <item x="320"/>
        <item x="321"/>
        <item x="3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"/>
        <item x="25"/>
        <item m="1" x="479"/>
        <item m="1" x="905"/>
        <item x="265"/>
        <item m="1" x="393"/>
        <item m="1" x="2291"/>
        <item x="4"/>
        <item m="1" x="739"/>
        <item m="1" x="1868"/>
        <item x="163"/>
        <item m="1" x="1556"/>
        <item m="1" x="1125"/>
        <item m="1" x="501"/>
        <item x="183"/>
        <item m="1" x="1265"/>
        <item m="1" x="1582"/>
        <item x="275"/>
        <item m="1" x="2798"/>
        <item m="1" x="1105"/>
        <item m="1" x="499"/>
        <item m="1" x="1328"/>
        <item m="1" x="869"/>
        <item m="1" x="7722"/>
        <item m="1" x="1224"/>
        <item x="152"/>
        <item x="199"/>
        <item m="1" x="663"/>
        <item m="1" x="301"/>
        <item x="130"/>
        <item x="269"/>
        <item m="1" x="4509"/>
        <item m="1" x="987"/>
        <item m="1" x="2443"/>
        <item x="256"/>
        <item m="1" x="3132"/>
        <item x="186"/>
        <item m="1" x="4801"/>
        <item x="292"/>
        <item x="170"/>
        <item m="1" x="4441"/>
        <item m="1" x="779"/>
        <item m="1" x="1033"/>
        <item h="1" m="1" x="3778"/>
        <item m="1" x="1210"/>
        <item m="1" x="2342"/>
        <item m="1" x="2810"/>
        <item m="1" x="412"/>
        <item m="1" x="1114"/>
        <item m="1" x="408"/>
        <item m="1" x="7363"/>
        <item m="1" x="1132"/>
        <item m="1" x="7768"/>
        <item m="1" x="1600"/>
        <item m="1" x="5822"/>
        <item m="1" x="2001"/>
        <item m="1" x="2454"/>
        <item m="1" x="6614"/>
        <item m="1" x="599"/>
        <item m="1" x="2077"/>
        <item m="1" x="4464"/>
        <item m="1" x="4146"/>
        <item m="1" x="2571"/>
        <item m="1" x="3675"/>
        <item m="1" x="3619"/>
        <item m="1" x="6447"/>
        <item m="1" x="4487"/>
        <item m="1" x="4241"/>
        <item m="1" x="1163"/>
        <item x="121"/>
        <item x="290"/>
        <item m="1" x="3746"/>
        <item m="1" x="560"/>
        <item m="1" x="2328"/>
        <item m="1" x="3854"/>
        <item m="1" x="3390"/>
        <item m="1" x="1211"/>
        <item x="266"/>
        <item m="1" x="1368"/>
        <item m="1" x="3064"/>
        <item m="1" x="4238"/>
        <item m="1" x="808"/>
        <item m="1" x="2099"/>
        <item m="1" x="1212"/>
        <item m="1" x="1059"/>
        <item m="1" x="1126"/>
        <item m="1" x="4614"/>
        <item m="1" x="3087"/>
        <item h="1" m="1" x="1377"/>
        <item h="1" x="173"/>
        <item m="1" x="4148"/>
        <item h="1" m="1" x="469"/>
        <item h="1" x="210"/>
        <item h="1" m="1" x="376"/>
        <item h="1" x="75"/>
        <item h="1" m="1" x="2049"/>
        <item h="1" x="274"/>
        <item h="1" x="247"/>
        <item h="1" x="10"/>
        <item h="1" x="81"/>
        <item h="1" x="223"/>
        <item h="1" m="1" x="385"/>
        <item h="1" m="1" x="1149"/>
        <item h="1" m="1" x="2669"/>
        <item h="1" m="1" x="4884"/>
        <item h="1" m="1" x="1966"/>
        <item h="1" m="1" x="2691"/>
        <item h="1" m="1" x="3383"/>
        <item h="1" m="1" x="3677"/>
        <item h="1" m="1" x="5876"/>
        <item h="1" m="1" x="1943"/>
        <item h="1" x="144"/>
        <item h="1" m="1" x="6174"/>
        <item h="1" m="1" x="2484"/>
        <item h="1" m="1" x="4886"/>
        <item h="1" x="180"/>
        <item h="1" m="1" x="1489"/>
        <item h="1" m="1" x="339"/>
        <item h="1" m="1" x="488"/>
        <item h="1" m="1" x="2082"/>
        <item h="1" m="1" x="1579"/>
        <item h="1" m="1" x="1117"/>
        <item h="1" m="1" x="3274"/>
        <item h="1" m="1" x="3792"/>
        <item h="1" x="142"/>
        <item h="1" m="1" x="848"/>
        <item h="1" x="227"/>
        <item h="1" m="1" x="1515"/>
        <item h="1" x="140"/>
        <item h="1" m="1" x="784"/>
        <item h="1" m="1" x="2787"/>
        <item h="1" m="1" x="1915"/>
        <item h="1" x="133"/>
        <item h="1" x="79"/>
        <item h="1" m="1" x="1202"/>
        <item h="1" m="1" x="5645"/>
        <item h="1" m="1" x="1591"/>
        <item h="1" m="1" x="3620"/>
        <item h="1" m="1" x="1862"/>
        <item h="1" x="230"/>
        <item h="1" m="1" x="4244"/>
        <item h="1" m="1" x="971"/>
        <item h="1" m="1" x="2580"/>
        <item h="1" x="119"/>
        <item h="1" m="1" x="7152"/>
        <item h="1" x="156"/>
        <item h="1" m="1" x="5123"/>
        <item h="1" x="29"/>
        <item h="1" m="1" x="2171"/>
        <item h="1" m="1" x="1803"/>
        <item h="1" m="1" x="4095"/>
        <item h="1" m="1" x="1665"/>
        <item h="1" m="1" x="5242"/>
        <item h="1" m="1" x="459"/>
        <item h="1" m="1" x="318"/>
        <item h="1" m="1" x="7522"/>
        <item h="1" m="1" x="520"/>
        <item h="1" m="1" x="3657"/>
        <item h="1" m="1" x="1108"/>
        <item h="1" m="1" x="1032"/>
        <item h="1" m="1" x="5630"/>
        <item h="1" m="1" x="7359"/>
        <item h="1" x="91"/>
        <item h="1" m="1" x="5070"/>
        <item h="1" m="1" x="2172"/>
        <item h="1" m="1" x="4109"/>
        <item h="1" m="1" x="1681"/>
        <item h="1" m="1" x="6624"/>
        <item h="1" m="1" x="3842"/>
        <item h="1" m="1" x="5932"/>
        <item h="1" m="1" x="3880"/>
        <item h="1" m="1" x="2802"/>
        <item h="1" m="1" x="3365"/>
        <item h="1" m="1" x="3654"/>
        <item h="1" m="1" x="3658"/>
        <item h="1" m="1" x="3501"/>
        <item h="1" x="129"/>
        <item h="1" m="1" x="1941"/>
        <item h="1" m="1" x="780"/>
        <item h="1" m="1" x="1052"/>
        <item h="1" m="1" x="6920"/>
        <item h="1" m="1" x="3049"/>
        <item h="1" m="1" x="2063"/>
        <item h="1" m="1" x="7311"/>
        <item h="1" m="1" x="3617"/>
        <item h="1" m="1" x="3839"/>
        <item h="1" x="161"/>
        <item h="1" m="1" x="5871"/>
        <item h="1" m="1" x="4023"/>
        <item h="1" x="168"/>
        <item h="1" m="1" x="672"/>
        <item h="1" m="1" x="4476"/>
        <item h="1" m="1" x="5394"/>
        <item h="1" x="222"/>
        <item h="1" m="1" x="3831"/>
        <item h="1" m="1" x="3318"/>
        <item h="1" x="185"/>
        <item h="1" m="1" x="1650"/>
        <item h="1" m="1" x="7212"/>
        <item h="1" m="1" x="6001"/>
        <item h="1" m="1" x="5858"/>
        <item h="1" m="1" x="6759"/>
        <item h="1" m="1" x="2177"/>
        <item h="1" m="1" x="2505"/>
        <item h="1" m="1" x="4674"/>
        <item h="1" m="1" x="1375"/>
        <item h="1" x="226"/>
        <item h="1" m="1" x="805"/>
        <item h="1" m="1" x="7913"/>
        <item h="1" x="236"/>
        <item h="1" m="1" x="5059"/>
        <item h="1" m="1" x="3559"/>
        <item h="1" m="1" x="2556"/>
        <item h="1" m="1" x="3492"/>
        <item h="1" m="1" x="817"/>
        <item h="1" m="1" x="5240"/>
        <item h="1" m="1" x="5061"/>
        <item h="1" m="1" x="7042"/>
        <item h="1" x="143"/>
        <item h="1" m="1" x="1615"/>
        <item h="1" x="2"/>
        <item h="1" m="1" x="5251"/>
        <item h="1" m="1" x="738"/>
        <item h="1" m="1" x="1203"/>
        <item h="1" m="1" x="1856"/>
        <item h="1" m="1" x="4906"/>
        <item h="1" m="1" x="5553"/>
        <item h="1" m="1" x="429"/>
        <item h="1" m="1" x="4253"/>
        <item h="1" m="1" x="6634"/>
        <item h="1" x="264"/>
        <item h="1" m="1" x="2909"/>
        <item h="1" m="1" x="5605"/>
        <item h="1" m="1" x="706"/>
        <item h="1" m="1" x="1931"/>
        <item h="1" m="1" x="6592"/>
        <item h="1" m="1" x="1583"/>
        <item h="1" m="1" x="7609"/>
        <item h="1" m="1" x="7142"/>
        <item h="1" m="1" x="7232"/>
        <item h="1" m="1" x="7488"/>
        <item h="1" m="1" x="5050"/>
        <item h="1" m="1" x="3477"/>
        <item h="1" m="1" x="4375"/>
        <item h="1" m="1" x="909"/>
        <item h="1" m="1" x="4863"/>
        <item h="1" m="1" x="3055"/>
        <item h="1" m="1" x="4526"/>
        <item h="1" m="1" x="6190"/>
        <item h="1" m="1" x="3085"/>
        <item h="1" m="1" x="1893"/>
        <item h="1" m="1" x="3765"/>
        <item h="1" m="1" x="4915"/>
        <item h="1" m="1" x="2439"/>
        <item h="1" m="1" x="3538"/>
        <item h="1" m="1" x="1752"/>
        <item h="1" m="1" x="5690"/>
        <item h="1" m="1" x="7105"/>
        <item h="1" m="1" x="3431"/>
        <item h="1" m="1" x="4958"/>
        <item h="1" m="1" x="3381"/>
        <item h="1" m="1" x="4779"/>
        <item h="1" m="1" x="3795"/>
        <item h="1" m="1" x="5199"/>
        <item h="1" m="1" x="4257"/>
        <item h="1" m="1" x="504"/>
        <item h="1" m="1" x="2424"/>
        <item h="1" m="1" x="4983"/>
        <item h="1" m="1" x="2449"/>
        <item h="1" m="1" x="3949"/>
        <item h="1" m="1" x="2145"/>
        <item h="1" m="1" x="465"/>
        <item h="1" m="1" x="6152"/>
        <item h="1" m="1" x="820"/>
        <item h="1" m="1" x="3118"/>
        <item h="1" m="1" x="2924"/>
        <item h="1" x="62"/>
        <item h="1" m="1" x="4242"/>
        <item h="1" x="155"/>
        <item h="1" m="1" x="4333"/>
        <item h="1" m="1" x="3952"/>
        <item h="1" m="1" x="3987"/>
        <item h="1" m="1" x="7928"/>
        <item h="1" m="1" x="3552"/>
        <item h="1" m="1" x="5037"/>
        <item h="1" m="1" x="1670"/>
        <item h="1" m="1" x="7614"/>
        <item h="1" m="1" x="7839"/>
        <item h="1" m="1" x="6957"/>
        <item h="1" m="1" x="7824"/>
        <item h="1" m="1" x="6225"/>
        <item h="1" m="1" x="2918"/>
        <item h="1" m="1" x="5953"/>
        <item h="1" m="1" x="1451"/>
        <item h="1" m="1" x="6921"/>
        <item h="1" m="1" x="2858"/>
        <item h="1" m="1" x="7595"/>
        <item h="1" m="1" x="2033"/>
        <item h="1" m="1" x="6605"/>
        <item h="1" m="1" x="3980"/>
        <item h="1" m="1" x="7154"/>
        <item h="1" m="1" x="5586"/>
        <item h="1" m="1" x="1219"/>
        <item h="1" m="1" x="847"/>
        <item h="1" m="1" x="4682"/>
        <item h="1" m="1" x="6158"/>
        <item h="1" m="1" x="1756"/>
        <item h="1" m="1" x="7235"/>
        <item h="1" m="1" x="6726"/>
        <item h="1" m="1" x="6432"/>
        <item h="1" m="1" x="2408"/>
        <item h="1" m="1" x="6468"/>
        <item h="1" m="1" x="2131"/>
        <item h="1" m="1" x="1521"/>
        <item h="1" x="174"/>
        <item h="1" m="1" x="5972"/>
        <item h="1" m="1" x="7561"/>
        <item h="1" m="1" x="747"/>
        <item h="1" m="1" x="973"/>
        <item h="1" m="1" x="4126"/>
        <item h="1" m="1" x="1639"/>
        <item h="1" m="1" x="7260"/>
        <item h="1" m="1" x="6511"/>
        <item h="1" m="1" x="994"/>
        <item h="1" m="1" x="4726"/>
        <item h="1" m="1" x="7569"/>
        <item h="1" m="1" x="5638"/>
        <item h="1" m="1" x="7075"/>
        <item h="1" m="1" x="7069"/>
        <item h="1" m="1" x="5804"/>
        <item h="1" m="1" x="2872"/>
        <item h="1" m="1" x="7328"/>
        <item h="1" m="1" x="4832"/>
        <item h="1" m="1" x="5189"/>
        <item h="1" m="1" x="2624"/>
        <item h="1" m="1" x="533"/>
        <item h="1" m="1" x="7806"/>
        <item h="1" m="1" x="3044"/>
        <item h="1" m="1" x="3475"/>
        <item h="1" m="1" x="5694"/>
        <item h="1" m="1" x="7163"/>
        <item h="1" m="1" x="3877"/>
        <item h="1" m="1" x="7533"/>
        <item h="1" m="1" x="3291"/>
        <item h="1" m="1" x="386"/>
        <item h="1" m="1" x="1879"/>
        <item h="1" m="1" x="1213"/>
        <item h="1" m="1" x="6901"/>
        <item h="1" m="1" x="486"/>
        <item h="1" m="1" x="1046"/>
        <item h="1" m="1" x="5671"/>
        <item h="1" m="1" x="7781"/>
        <item h="1" m="1" x="7536"/>
        <item h="1" m="1" x="7705"/>
        <item h="1" m="1" x="5188"/>
        <item h="1" m="1" x="6753"/>
        <item h="1" m="1" x="7601"/>
        <item h="1" m="1" x="6931"/>
        <item h="1" m="1" x="6886"/>
        <item h="1" m="1" x="7932"/>
        <item h="1" x="131"/>
        <item h="1" m="1" x="7312"/>
        <item h="1" m="1" x="4391"/>
        <item h="1" m="1" x="4390"/>
        <item h="1" m="1" x="7521"/>
        <item h="1" m="1" x="3394"/>
        <item h="1" m="1" x="7743"/>
        <item h="1" m="1" x="7693"/>
        <item h="1" m="1" x="7816"/>
        <item h="1" m="1" x="2458"/>
        <item h="1" m="1" x="5225"/>
        <item h="1" m="1" x="7862"/>
        <item h="1" m="1" x="2559"/>
        <item h="1" m="1" x="6780"/>
        <item h="1" m="1" x="5792"/>
        <item h="1" m="1" x="5793"/>
        <item h="1" m="1" x="4739"/>
        <item h="1" m="1" x="3827"/>
        <item h="1" m="1" x="1927"/>
        <item h="1" m="1" x="6244"/>
        <item h="1" m="1" x="4613"/>
        <item h="1" m="1" x="5164"/>
        <item h="1" m="1" x="7231"/>
        <item h="1" m="1" x="5952"/>
        <item h="1" m="1" x="7303"/>
        <item h="1" m="1" x="7299"/>
        <item h="1" m="1" x="740"/>
        <item h="1" m="1" x="6538"/>
        <item h="1" m="1" x="3514"/>
        <item h="1" m="1" x="6328"/>
        <item h="1" m="1" x="3057"/>
        <item h="1" m="1" x="5775"/>
        <item h="1" m="1" x="6838"/>
        <item h="1" m="1" x="7594"/>
        <item h="1" m="1" x="7047"/>
        <item h="1" m="1" x="7345"/>
        <item h="1" m="1" x="5835"/>
        <item h="1" m="1" x="6381"/>
        <item h="1" m="1" x="5977"/>
        <item h="1" m="1" x="7327"/>
        <item h="1" m="1" x="1509"/>
        <item h="1" m="1" x="7623"/>
        <item h="1" m="1" x="7423"/>
        <item h="1" m="1" x="5803"/>
        <item h="1" m="1" x="7249"/>
        <item h="1" m="1" x="7201"/>
        <item h="1" m="1" x="4831"/>
        <item h="1" m="1" x="3766"/>
        <item h="1" m="1" x="1253"/>
        <item h="1" m="1" x="7845"/>
        <item h="1" m="1" x="6311"/>
        <item h="1" m="1" x="6652"/>
        <item h="1" m="1" x="2759"/>
        <item h="1" m="1" x="6547"/>
        <item h="1" m="1" x="2157"/>
        <item h="1" m="1" x="2625"/>
        <item h="1" m="1" x="332"/>
        <item h="1" m="1" x="7848"/>
        <item h="1" m="1" x="3389"/>
        <item h="1" m="1" x="6702"/>
        <item h="1" m="1" x="5883"/>
        <item h="1" m="1" x="4869"/>
        <item h="1" m="1" x="5580"/>
        <item h="1" m="1" x="1022"/>
        <item h="1" m="1" x="6963"/>
        <item h="1" m="1" x="7445"/>
        <item h="1" m="1" x="6312"/>
        <item h="1" m="1" x="7478"/>
        <item h="1" x="116"/>
        <item h="1" m="1" x="5789"/>
        <item h="1" m="1" x="6743"/>
        <item h="1" m="1" x="5536"/>
        <item h="1" m="1" x="7593"/>
        <item h="1" m="1" x="6322"/>
        <item h="1" m="1" x="1130"/>
        <item h="1" m="1" x="2232"/>
        <item h="1" m="1" x="5194"/>
        <item h="1" m="1" x="7646"/>
        <item h="1" m="1" x="7108"/>
        <item h="1" m="1" x="7109"/>
        <item h="1" m="1" x="6396"/>
        <item h="1" m="1" x="7927"/>
        <item h="1" m="1" x="5830"/>
        <item h="1" m="1" x="4484"/>
        <item h="1" m="1" x="7649"/>
        <item h="1" m="1" x="7097"/>
        <item h="1" m="1" x="4078"/>
        <item h="1" m="1" x="7475"/>
        <item h="1" m="1" x="4394"/>
        <item h="1" m="1" x="4395"/>
        <item h="1" m="1" x="4393"/>
        <item h="1" m="1" x="4392"/>
        <item h="1" m="1" x="4402"/>
        <item h="1" m="1" x="4399"/>
        <item h="1" m="1" x="606"/>
        <item h="1" m="1" x="5609"/>
        <item h="1" m="1" x="6936"/>
        <item h="1" m="1" x="7720"/>
        <item h="1" m="1" x="7648"/>
        <item h="1" m="1" x="5545"/>
        <item h="1" m="1" x="6670"/>
        <item h="1" m="1" x="6237"/>
        <item h="1" m="1" x="6907"/>
        <item h="1" m="1" x="5514"/>
        <item h="1" m="1" x="1566"/>
        <item h="1" m="1" x="481"/>
        <item h="1" m="1" x="4810"/>
        <item h="1" m="1" x="2709"/>
        <item h="1" m="1" x="2214"/>
        <item h="1" m="1" x="6748"/>
        <item h="1" m="1" x="6459"/>
        <item h="1" m="1" x="5595"/>
        <item h="1" x="248"/>
        <item h="1" m="1" x="4400"/>
        <item h="1" m="1" x="4396"/>
        <item h="1" m="1" x="4397"/>
        <item h="1" m="1" x="4398"/>
        <item h="1" m="1" x="7144"/>
        <item h="1" m="1" x="7624"/>
        <item h="1" m="1" x="6226"/>
        <item h="1" m="1" x="4628"/>
        <item h="1" m="1" x="5888"/>
        <item h="1" m="1" x="2799"/>
        <item h="1" m="1" x="5243"/>
        <item h="1" m="1" x="5244"/>
        <item h="1" m="1" x="640"/>
        <item h="1" m="1" x="6140"/>
        <item h="1" m="1" x="3296"/>
        <item h="1" m="1" x="4129"/>
        <item h="1" m="1" x="7600"/>
        <item h="1" m="1" x="3508"/>
        <item h="1" m="1" x="7814"/>
        <item h="1" m="1" x="6291"/>
        <item h="1" m="1" x="7709"/>
        <item h="1" m="1" x="6475"/>
        <item h="1" m="1" x="4401"/>
        <item h="1" m="1" x="4413"/>
        <item h="1" m="1" x="4409"/>
        <item h="1" m="1" x="4411"/>
        <item h="1" m="1" x="4410"/>
        <item h="1" m="1" x="6910"/>
        <item h="1" m="1" x="4412"/>
        <item h="1" m="1" x="4406"/>
        <item h="1" m="1" x="4415"/>
        <item h="1" m="1" x="4407"/>
        <item h="1" m="1" x="4408"/>
        <item h="1" m="1" x="4376"/>
        <item h="1" m="1" x="7506"/>
        <item h="1" m="1" x="5788"/>
        <item h="1" m="1" x="5063"/>
        <item h="1" m="1" x="7772"/>
        <item h="1" m="1" x="5318"/>
        <item h="1" m="1" x="4418"/>
        <item h="1" m="1" x="4414"/>
        <item h="1" m="1" x="4733"/>
        <item h="1" m="1" x="4404"/>
        <item h="1" m="1" x="4403"/>
        <item h="1" m="1" x="4405"/>
        <item h="1" m="1" x="4416"/>
        <item h="1" m="1" x="4417"/>
        <item h="1" m="1" x="4419"/>
        <item h="1" m="1" x="5035"/>
        <item h="1" m="1" x="4267"/>
        <item h="1" m="1" x="3789"/>
        <item h="1" m="1" x="3702"/>
        <item h="1" m="1" x="3861"/>
        <item h="1" m="1" x="2109"/>
        <item h="1" m="1" x="7627"/>
        <item h="1" m="1" x="7626"/>
        <item h="1" m="1" x="2215"/>
        <item h="1" m="1" x="4905"/>
        <item h="1" m="1" x="4743"/>
        <item h="1" m="1" x="5791"/>
        <item h="1" m="1" x="6095"/>
        <item h="1" m="1" x="6056"/>
        <item h="1" m="1" x="6996"/>
        <item h="1" m="1" x="7555"/>
        <item h="1" m="1" x="5523"/>
        <item h="1" m="1" x="5378"/>
        <item h="1" m="1" x="7602"/>
        <item h="1" m="1" x="5925"/>
        <item h="1" m="1" x="5679"/>
        <item h="1" m="1" x="7106"/>
        <item h="1" m="1" x="4082"/>
        <item h="1" m="1" x="5266"/>
        <item h="1" m="1" x="3875"/>
        <item h="1" m="1" x="7565"/>
        <item h="1" m="1" x="3924"/>
        <item h="1" m="1" x="5034"/>
        <item h="1" m="1" x="4130"/>
        <item h="1" m="1" x="3884"/>
        <item h="1" m="1" x="2595"/>
        <item h="1" m="1" x="5353"/>
        <item h="1" m="1" x="2502"/>
        <item h="1" m="1" x="4691"/>
        <item h="1" m="1" x="7925"/>
        <item h="1" m="1" x="5025"/>
        <item h="1" m="1" x="7964"/>
        <item h="1" m="1" x="5472"/>
        <item h="1" m="1" x="4528"/>
        <item h="1" m="1" x="5607"/>
        <item h="1" m="1" x="7796"/>
        <item h="1" m="1" x="3125"/>
        <item h="1" m="1" x="6861"/>
        <item h="1" m="1" x="850"/>
        <item h="1" m="1" x="7906"/>
        <item h="1" m="1" x="7914"/>
        <item h="1" m="1" x="5445"/>
        <item h="1" m="1" x="7789"/>
        <item h="1" m="1" x="7572"/>
        <item h="1" m="1" x="1431"/>
        <item h="1" m="1" x="7917"/>
        <item h="1" m="1" x="7926"/>
        <item h="1" m="1" x="7575"/>
        <item h="1" m="1" x="7576"/>
        <item h="1" m="1" x="4490"/>
        <item h="1" m="1" x="6045"/>
        <item h="1" m="1" x="4225"/>
        <item h="1" m="1" x="3275"/>
        <item h="1" m="1" x="7628"/>
        <item h="1" m="1" x="3527"/>
        <item h="1" m="1" x="3885"/>
        <item h="1" m="1" x="7177"/>
        <item h="1" m="1" x="7978"/>
        <item h="1" m="1" x="4859"/>
        <item h="1" m="1" x="5064"/>
        <item h="1" m="1" x="5575"/>
        <item h="1" m="1" x="7911"/>
        <item h="1" m="1" x="7916"/>
        <item h="1" m="1" x="7775"/>
        <item h="1" m="1" x="3072"/>
        <item h="1" m="1" x="4648"/>
        <item h="1" m="1" x="2404"/>
        <item h="1" m="1" x="6831"/>
        <item h="1" m="1" x="6189"/>
        <item h="1" m="1" x="4548"/>
        <item h="1" m="1" x="7951"/>
        <item h="1" m="1" x="6044"/>
        <item h="1" m="1" x="7954"/>
        <item h="1" m="1" x="7943"/>
        <item h="1" m="1" x="5922"/>
        <item h="1" m="1" x="4610"/>
        <item h="1" m="1" x="4752"/>
        <item h="1" m="1" x="7659"/>
        <item h="1" m="1" x="4420"/>
        <item h="1" m="1" x="7935"/>
        <item h="1" m="1" x="3879"/>
        <item h="1" m="1" x="5154"/>
        <item h="1" m="1" x="7963"/>
        <item h="1" m="1" x="4814"/>
        <item h="1" m="1" x="2631"/>
        <item h="1" m="1" x="6137"/>
        <item h="1" m="1" x="7952"/>
        <item h="1" m="1" x="7949"/>
        <item h="1" m="1" x="7999"/>
        <item h="1" m="1" x="7748"/>
        <item h="1" m="1" x="5518"/>
        <item h="1" m="1" x="5877"/>
        <item h="1" m="1" x="7426"/>
        <item h="1" m="1" x="7406"/>
        <item h="1" m="1" x="3773"/>
        <item h="1" m="1" x="2476"/>
        <item h="1" m="1" x="7571"/>
        <item h="1" m="1" x="5056"/>
        <item h="1" m="1" x="7120"/>
        <item h="1" m="1" x="2233"/>
        <item h="1" m="1" x="1381"/>
        <item h="1" m="1" x="367"/>
        <item h="1" m="1" x="596"/>
        <item h="1" m="1" x="7969"/>
        <item h="1" m="1" x="5769"/>
        <item h="1" m="1" x="1119"/>
        <item h="1" m="1" x="7921"/>
        <item h="1" m="1" x="2632"/>
        <item h="1" m="1" x="4813"/>
        <item h="1" m="1" x="5686"/>
        <item h="1" m="1" x="2019"/>
        <item h="1" m="1" x="4132"/>
        <item h="1" m="1" x="7929"/>
        <item h="1" m="1" x="7532"/>
        <item h="1" m="1" x="5778"/>
        <item h="1" m="1" x="2514"/>
        <item h="1" m="1" x="4815"/>
        <item h="1" m="1" x="1291"/>
        <item h="1" m="1" x="7950"/>
        <item h="1" m="1" x="7955"/>
        <item h="1" m="1" x="5163"/>
        <item h="1" m="1" x="4587"/>
        <item h="1" m="1" x="7959"/>
        <item h="1" m="1" x="6141"/>
        <item h="1" m="1" x="1889"/>
        <item h="1" m="1" x="2246"/>
        <item h="1" m="1" x="564"/>
        <item h="1" x="89"/>
        <item h="1" m="1" x="348"/>
        <item h="1" m="1" x="350"/>
        <item h="1" m="1" x="2999"/>
        <item h="1" m="1" x="1448"/>
        <item h="1" m="1" x="600"/>
        <item h="1" m="1" x="7910"/>
        <item h="1" m="1" x="6955"/>
        <item h="1" m="1" x="2107"/>
        <item h="1" m="1" x="7918"/>
        <item h="1" m="1" x="7534"/>
        <item h="1" m="1" x="4315"/>
        <item h="1" m="1" x="1969"/>
        <item h="1" m="1" x="2313"/>
        <item h="1" m="1" x="7524"/>
        <item h="1" m="1" x="3845"/>
        <item h="1" m="1" x="3841"/>
        <item h="1" m="1" x="2912"/>
        <item h="1" m="1" x="4212"/>
        <item h="1" m="1" x="7323"/>
        <item h="1" m="1" x="7931"/>
        <item h="1" m="1" x="7947"/>
        <item h="1" m="1" x="7972"/>
        <item h="1" m="1" x="7973"/>
        <item h="1" m="1" x="7970"/>
        <item h="1" m="1" x="7971"/>
        <item h="1" m="1" x="4165"/>
        <item h="1" m="1" x="6654"/>
        <item h="1" m="1" x="7915"/>
        <item h="1" m="1" x="4373"/>
        <item h="1" m="1" x="4140"/>
        <item h="1" m="1" x="3919"/>
        <item h="1" m="1" x="487"/>
        <item h="1" m="1" x="7027"/>
        <item h="1" m="1" x="7937"/>
        <item h="1" m="1" x="4798"/>
        <item h="1" m="1" x="5476"/>
        <item h="1" m="1" x="2000"/>
        <item h="1" m="1" x="7678"/>
        <item h="1" m="1" x="343"/>
        <item h="1" m="1" x="6510"/>
        <item h="1" m="1" x="5767"/>
        <item h="1" m="1" x="6691"/>
        <item h="1" m="1" x="5768"/>
        <item h="1" m="1" x="5770"/>
        <item h="1" m="1" x="5771"/>
        <item h="1" m="1" x="5772"/>
        <item h="1" m="1" x="5773"/>
        <item h="1" m="1" x="5774"/>
        <item h="1" m="1" x="5776"/>
        <item h="1" m="1" x="5777"/>
        <item h="1" m="1" x="5779"/>
        <item h="1" m="1" x="5780"/>
        <item h="1" m="1" x="5781"/>
        <item h="1" m="1" x="5933"/>
        <item h="1" m="1" x="732"/>
        <item h="1" m="1" x="7713"/>
        <item h="1" m="1" x="4134"/>
        <item h="1" m="1" x="7717"/>
        <item h="1" m="1" x="5759"/>
        <item h="1" m="1" x="7696"/>
        <item h="1" m="1" x="2452"/>
        <item h="1" m="1" x="7962"/>
        <item h="1" m="1" x="2567"/>
        <item h="1" m="1" x="4878"/>
        <item h="1" m="1" x="7651"/>
        <item h="1" m="1" x="7587"/>
        <item h="1" m="1" x="6579"/>
        <item h="1" m="1" x="5764"/>
        <item h="1" m="1" x="6690"/>
        <item h="1" m="1" x="6692"/>
        <item h="1" m="1" x="6576"/>
        <item h="1" m="1" x="402"/>
        <item h="1" m="1" x="2574"/>
        <item h="1" m="1" x="7403"/>
        <item h="1" m="1" x="7939"/>
        <item h="1" m="1" x="7697"/>
        <item h="1" m="1" x="5872"/>
        <item h="1" m="1" x="7961"/>
        <item h="1" x="84"/>
        <item h="1" m="1" x="7794"/>
        <item h="1" m="1" x="7711"/>
        <item h="1" m="1" x="1104"/>
        <item h="1" m="1" x="5055"/>
        <item h="1" m="1" x="4341"/>
        <item h="1" m="1" x="5297"/>
        <item h="1" m="1" x="7028"/>
        <item h="1" m="1" x="6786"/>
        <item h="1" m="1" x="1768"/>
        <item h="1" m="1" x="5762"/>
        <item h="1" m="1" x="5790"/>
        <item h="1" m="1" x="5760"/>
        <item h="1" m="1" x="7683"/>
        <item h="1" m="1" x="7046"/>
        <item h="1" m="1" x="2252"/>
        <item h="1" m="1" x="7938"/>
        <item h="1" m="1" x="7942"/>
        <item h="1" m="1" x="7940"/>
        <item h="1" m="1" x="7941"/>
        <item h="1" m="1" x="5028"/>
        <item h="1" m="1" x="7966"/>
        <item h="1" m="1" x="2633"/>
        <item h="1" m="1" x="3040"/>
        <item h="1" m="1" x="3940"/>
        <item h="1" m="1" x="3678"/>
        <item h="1" m="1" x="7976"/>
        <item h="1" m="1" x="7987"/>
        <item h="1" m="1" x="7993"/>
        <item h="1" m="1" x="7985"/>
        <item h="1" m="1" x="7986"/>
        <item h="1" m="1" x="7984"/>
        <item h="1" m="1" x="7988"/>
        <item h="1" m="1" x="7990"/>
        <item h="1" m="1" x="7992"/>
        <item h="1" m="1" x="7994"/>
        <item h="1" m="1" x="7995"/>
        <item h="1" m="1" x="7996"/>
        <item h="1" m="1" x="7840"/>
        <item h="1" m="1" x="6938"/>
        <item h="1" m="1" x="5819"/>
        <item h="1" m="1" x="2336"/>
        <item h="1" m="1" x="1610"/>
        <item h="1" x="63"/>
        <item h="1" m="1" x="568"/>
        <item h="1" m="1" x="7611"/>
        <item h="1" m="1" x="3522"/>
        <item h="1" m="1" x="7395"/>
        <item h="1" m="1" x="7902"/>
        <item h="1" m="1" x="7903"/>
        <item h="1" m="1" x="7468"/>
        <item h="1" m="1" x="7684"/>
        <item h="1" m="1" x="7679"/>
        <item h="1" m="1" x="4695"/>
        <item h="1" m="1" x="7773"/>
        <item h="1" m="1" x="3015"/>
        <item h="1" m="1" x="4031"/>
        <item h="1" m="1" x="3852"/>
        <item h="1" m="1" x="2074"/>
        <item h="1" m="1" x="5963"/>
        <item h="1" m="1" x="7265"/>
        <item h="1" m="1" x="1501"/>
        <item h="1" m="1" x="6412"/>
        <item h="1" m="1" x="5763"/>
        <item h="1" m="1" x="5766"/>
        <item h="1" m="1" x="7552"/>
        <item h="1" m="1" x="7113"/>
        <item h="1" m="1" x="2054"/>
        <item h="1" m="1" x="1289"/>
        <item h="1" m="1" x="6973"/>
        <item h="1" m="1" x="6484"/>
        <item h="1" m="1" x="4020"/>
        <item h="1" m="1" x="5479"/>
        <item h="1" m="1" x="7715"/>
        <item h="1" m="1" x="7667"/>
        <item h="1" m="1" x="7355"/>
        <item h="1" m="1" x="7230"/>
        <item h="1" m="1" x="1809"/>
        <item h="1" m="1" x="5516"/>
        <item h="1" m="1" x="2743"/>
        <item h="1" m="1" x="7694"/>
        <item h="1" m="1" x="5831"/>
        <item h="1" m="1" x="6832"/>
        <item h="1" m="1" x="7390"/>
        <item h="1" m="1" x="7803"/>
        <item h="1" m="1" x="4629"/>
        <item h="1" m="1" x="6363"/>
        <item h="1" m="1" x="3712"/>
        <item h="1" m="1" x="1267"/>
        <item h="1" m="1" x="4128"/>
        <item h="1" m="1" x="6882"/>
        <item h="1" m="1" x="7904"/>
        <item h="1" m="1" x="5460"/>
        <item h="1" m="1" x="2811"/>
        <item h="1" m="1" x="2300"/>
        <item h="1" m="1" x="1266"/>
        <item h="1" m="1" x="1137"/>
        <item h="1" m="1" x="7053"/>
        <item h="1" m="1" x="5636"/>
        <item h="1" m="1" x="603"/>
        <item h="1" m="1" x="7199"/>
        <item h="1" m="1" x="7983"/>
        <item h="1" m="1" x="6230"/>
        <item h="1" m="1" x="7958"/>
        <item h="1" m="1" x="5988"/>
        <item h="1" m="1" x="7975"/>
        <item h="1" m="1" x="4465"/>
        <item h="1" m="1" x="2075"/>
        <item h="1" m="1" x="7691"/>
        <item h="1" m="1" x="2149"/>
        <item h="1" m="1" x="7606"/>
        <item h="1" m="1" x="7804"/>
        <item h="1" m="1" x="7805"/>
        <item h="1" m="1" x="7707"/>
        <item h="1" m="1" x="7608"/>
        <item h="1" m="1" x="6941"/>
        <item h="1" m="1" x="2506"/>
        <item h="1" m="1" x="5021"/>
        <item h="1" m="1" x="7967"/>
        <item h="1" m="1" x="5417"/>
        <item h="1" m="1" x="7641"/>
        <item h="1" m="1" x="7640"/>
        <item h="1" m="1" x="6992"/>
        <item h="1" m="1" x="5854"/>
        <item h="1" m="1" x="7957"/>
        <item h="1" m="1" x="7604"/>
        <item h="1" m="1" x="7923"/>
        <item h="1" m="1" x="7998"/>
        <item h="1" m="1" x="1056"/>
        <item h="1" m="1" x="7948"/>
        <item h="1" m="1" x="7846"/>
        <item h="1" m="1" x="7809"/>
        <item h="1" m="1" x="7808"/>
        <item h="1" m="1" x="7392"/>
        <item h="1" m="1" x="6836"/>
        <item h="1" m="1" x="6834"/>
        <item h="1" m="1" x="6835"/>
        <item h="1" m="1" x="6833"/>
        <item h="1" m="1" x="5785"/>
        <item h="1" m="1" x="5786"/>
        <item h="1" m="1" x="5787"/>
        <item h="1" m="1" x="7605"/>
        <item h="1" m="1" x="7708"/>
        <item h="1" m="1" x="7501"/>
        <item h="1" m="1" x="5701"/>
        <item h="1" x="61"/>
        <item h="1" m="1" x="7714"/>
        <item h="1" x="125"/>
        <item h="1" m="1" x="4136"/>
        <item h="1" m="1" x="7692"/>
        <item h="1" m="1" x="1325"/>
        <item h="1" m="1" x="7573"/>
        <item h="1" m="1" x="5991"/>
        <item h="1" m="1" x="365"/>
        <item h="1" m="1" x="7374"/>
        <item h="1" m="1" x="3680"/>
        <item h="1" m="1" x="7404"/>
        <item h="1" m="1" x="7523"/>
        <item h="1" m="1" x="7982"/>
        <item h="1" m="1" x="5930"/>
        <item h="1" m="1" x="5927"/>
        <item h="1" m="1" x="5926"/>
        <item h="1" m="1" x="7847"/>
        <item h="1" m="1" x="7863"/>
        <item h="1" m="1" x="5813"/>
        <item h="1" m="1" x="6828"/>
        <item h="1" m="1" x="7391"/>
        <item h="1" m="1" x="6535"/>
        <item h="1" m="1" x="7744"/>
        <item h="1" m="1" x="7880"/>
        <item h="1" m="1" x="7879"/>
        <item h="1" m="1" x="7872"/>
        <item h="1" m="1" x="7882"/>
        <item h="1" m="1" x="7869"/>
        <item h="1" m="1" x="7887"/>
        <item h="1" m="1" x="7878"/>
        <item h="1" m="1" x="7870"/>
        <item h="1" m="1" x="7890"/>
        <item h="1" m="1" x="7888"/>
        <item h="1" m="1" x="7875"/>
        <item h="1" m="1" x="7871"/>
        <item h="1" m="1" x="7873"/>
        <item h="1" m="1" x="7874"/>
        <item h="1" m="1" x="7876"/>
        <item h="1" m="1" x="7889"/>
        <item h="1" m="1" x="7877"/>
        <item h="1" m="1" x="7881"/>
        <item h="1" m="1" x="7883"/>
        <item h="1" m="1" x="7884"/>
        <item h="1" m="1" x="7886"/>
        <item h="1" m="1" x="7885"/>
        <item h="1" m="1" x="7669"/>
        <item h="1" m="1" x="7894"/>
        <item h="1" m="1" x="7895"/>
        <item h="1" m="1" x="6575"/>
        <item h="1" m="1" x="7398"/>
        <item h="1" m="1" x="7397"/>
        <item h="1" m="1" x="7905"/>
        <item h="1" m="1" x="338"/>
        <item h="1" m="1" x="7409"/>
        <item h="1" m="1" x="7410"/>
        <item h="1" m="1" x="6868"/>
        <item h="1" m="1" x="7682"/>
        <item h="1" m="1" x="7930"/>
        <item h="1" x="268"/>
        <item h="1" m="1" x="7760"/>
        <item h="1" m="1" x="4069"/>
        <item h="1" m="1" x="2121"/>
        <item h="1" m="1" x="7758"/>
        <item h="1" m="1" x="7934"/>
        <item h="1" m="1" x="7052"/>
        <item h="1" m="1" x="2093"/>
        <item h="1" m="1" x="7057"/>
        <item h="1" m="1" x="4123"/>
        <item h="1" m="1" x="7457"/>
        <item h="1" m="1" x="2789"/>
        <item h="1" m="1" x="7974"/>
        <item h="1" m="1" x="7977"/>
        <item h="1" m="1" x="7981"/>
        <item h="1" m="1" x="7798"/>
        <item h="1" m="1" x="7797"/>
        <item h="1" m="1" x="7799"/>
        <item h="1" m="1" x="2302"/>
        <item h="1" m="1" x="4550"/>
        <item h="1" m="1" x="7801"/>
        <item h="1" m="1" x="4108"/>
        <item h="1" m="1" x="7813"/>
        <item h="1" m="1" x="1116"/>
        <item h="1" x="93"/>
        <item h="1" m="1" x="6221"/>
        <item h="1" m="1" x="7497"/>
        <item h="1" m="1" x="5937"/>
        <item h="1" m="1" x="1447"/>
        <item h="1" m="1" x="4478"/>
        <item h="1" m="1" x="2772"/>
        <item h="1" m="1" x="7650"/>
        <item h="1" m="1" x="7537"/>
        <item h="1" m="1" x="7859"/>
        <item h="1" m="1" x="7858"/>
        <item h="1" m="1" x="7860"/>
        <item h="1" m="1" x="7857"/>
        <item h="1" m="1" x="1875"/>
        <item h="1" m="1" x="7111"/>
        <item h="1" m="1" x="7263"/>
        <item h="1" m="1" x="7728"/>
        <item h="1" m="1" x="7729"/>
        <item h="1" m="1" x="7732"/>
        <item h="1" m="1" x="7731"/>
        <item h="1" m="1" x="7670"/>
        <item h="1" m="1" x="7891"/>
        <item h="1" m="1" x="7892"/>
        <item h="1" m="1" x="7893"/>
        <item h="1" m="1" x="5082"/>
        <item h="1" m="1" x="7671"/>
        <item h="1" m="1" x="7896"/>
        <item h="1" m="1" x="7897"/>
        <item h="1" m="1" x="6827"/>
        <item h="1" m="1" x="7898"/>
        <item h="1" m="1" x="7899"/>
        <item h="1" m="1" x="7900"/>
        <item h="1" m="1" x="7901"/>
        <item h="1" m="1" x="7677"/>
        <item h="1" m="1" x="7399"/>
        <item h="1" m="1" x="337"/>
        <item h="1" m="1" x="7907"/>
        <item h="1" m="1" x="7908"/>
        <item h="1" m="1" x="7909"/>
        <item h="1" m="1" x="7407"/>
        <item h="1" m="1" x="7408"/>
        <item h="1" m="1" x="7912"/>
        <item h="1" m="1" x="7402"/>
        <item h="1" m="1" x="5812"/>
        <item h="1" m="1" x="7043"/>
        <item h="1" m="1" x="7919"/>
        <item h="1" m="1" x="7920"/>
        <item h="1" m="1" x="7922"/>
        <item h="1" m="1" x="5525"/>
        <item h="1" m="1" x="7924"/>
        <item h="1" m="1" x="5832"/>
        <item h="1" m="1" x="5833"/>
        <item h="1" m="1" x="7755"/>
        <item h="1" m="1" x="7933"/>
        <item h="1" m="1" x="7756"/>
        <item h="1" m="1" x="7757"/>
        <item h="1" m="1" x="7936"/>
        <item h="1" m="1" x="7944"/>
        <item h="1" m="1" x="7945"/>
        <item h="1" m="1" x="7766"/>
        <item h="1" m="1" x="7767"/>
        <item h="1" m="1" x="7690"/>
        <item h="1" m="1" x="7946"/>
        <item h="1" m="1" x="7770"/>
        <item h="1" m="1" x="7769"/>
        <item h="1" m="1" x="7771"/>
        <item h="1" m="1" x="7953"/>
        <item h="1" m="1" x="7058"/>
        <item h="1" m="1" x="7956"/>
        <item h="1" m="1" x="7458"/>
        <item h="1" m="1" x="5901"/>
        <item h="1" m="1" x="7960"/>
        <item h="1" m="1" x="6232"/>
        <item h="1" m="1" x="7965"/>
        <item h="1" m="1" x="7968"/>
        <item h="1" m="1" x="7702"/>
        <item h="1" m="1" x="2165"/>
        <item h="1" m="1" x="7791"/>
        <item h="1" m="1" x="7473"/>
        <item h="1" m="1" x="7787"/>
        <item h="1" m="1" x="7788"/>
        <item h="1" x="229"/>
        <item h="1" m="1" x="7979"/>
        <item h="1" m="1" x="7980"/>
        <item h="1" m="1" x="7989"/>
        <item h="1" m="1" x="7810"/>
        <item h="1" m="1" x="7991"/>
        <item h="1" m="1" x="7710"/>
        <item h="1" m="1" x="7812"/>
        <item h="1" m="1" x="7811"/>
        <item h="1" m="1" x="7997"/>
        <item h="1" m="1" x="7802"/>
        <item h="1" m="1" x="7496"/>
        <item h="1" m="1" x="7504"/>
        <item h="1" m="1" x="7825"/>
        <item h="1" m="1" x="7832"/>
        <item h="1" m="1" x="7638"/>
        <item h="1" m="1" x="7830"/>
        <item h="1" m="1" x="7831"/>
        <item h="1" m="1" x="7833"/>
        <item h="1" m="1" x="6030"/>
        <item h="1" m="1" x="7835"/>
        <item h="1" m="1" x="6976"/>
        <item h="1" m="1" x="7836"/>
        <item h="1" m="1" x="7834"/>
        <item h="1" m="1" x="7837"/>
        <item h="1" x="74"/>
        <item h="1" m="1" x="7531"/>
        <item h="1" m="1" x="7538"/>
        <item h="1" m="1" x="7539"/>
        <item h="1" m="1" x="7856"/>
        <item h="1" m="1" x="7855"/>
        <item h="1" m="1" x="7110"/>
        <item h="1" m="1" x="6773"/>
        <item h="1" m="1" x="7864"/>
        <item h="1" m="1" x="7866"/>
        <item h="1" m="1" x="7867"/>
        <item h="1" m="1" x="7381"/>
        <item h="1" m="1" x="7382"/>
        <item h="1" m="1" x="7383"/>
        <item h="1" m="1" x="7384"/>
        <item h="1" m="1" x="7385"/>
        <item h="1" m="1" x="7733"/>
        <item h="1" m="1" x="7734"/>
        <item h="1" m="1" x="7735"/>
        <item h="1" m="1" x="7736"/>
        <item h="1" m="1" x="7737"/>
        <item h="1" m="1" x="7738"/>
        <item h="1" m="1" x="7739"/>
        <item h="1" m="1" x="6839"/>
        <item h="1" m="1" x="6201"/>
        <item h="1" m="1" x="7740"/>
        <item h="1" m="1" x="7741"/>
        <item h="1" m="1" x="6826"/>
        <item h="1" m="1" x="6841"/>
        <item h="1" m="1" x="6840"/>
        <item h="1" m="1" x="6689"/>
        <item h="1" m="1" x="6837"/>
        <item h="1" m="1" x="6829"/>
        <item h="1" m="1" x="6830"/>
        <item h="1" m="1" x="6574"/>
        <item h="1" m="1" x="7400"/>
        <item h="1" m="1" x="7401"/>
        <item h="1" m="1" x="7742"/>
        <item h="1" m="1" x="7745"/>
        <item h="1" m="1" x="7746"/>
        <item h="1" m="1" x="5520"/>
        <item h="1" m="1" x="5824"/>
        <item h="1" m="1" x="4893"/>
        <item h="1" m="1" x="7747"/>
        <item h="1" m="1" x="7425"/>
        <item h="1" m="1" x="7749"/>
        <item h="1" m="1" x="7750"/>
        <item h="1" m="1" x="7751"/>
        <item h="1" m="1" x="7752"/>
        <item h="1" m="1" x="7753"/>
        <item h="1" m="1" x="7754"/>
        <item h="1" m="1" x="7685"/>
        <item h="1" m="1" x="7688"/>
        <item h="1" m="1" x="7759"/>
        <item h="1" m="1" x="7761"/>
        <item h="1" m="1" x="7762"/>
        <item h="1" m="1" x="7763"/>
        <item h="1" m="1" x="7440"/>
        <item h="1" m="1" x="7764"/>
        <item h="1" m="1" x="7765"/>
        <item h="1" m="1" x="7774"/>
        <item h="1" m="1" x="7776"/>
        <item h="1" m="1" x="7166"/>
        <item h="1" m="1" x="6071"/>
        <item h="1" m="1" x="7777"/>
        <item h="1" m="1" x="7778"/>
        <item h="1" m="1" x="7779"/>
        <item h="1" m="1" x="7780"/>
        <item h="1" m="1" x="7782"/>
        <item h="1" m="1" x="7783"/>
        <item h="1" m="1" x="7169"/>
        <item h="1" m="1" x="7784"/>
        <item h="1" m="1" x="7466"/>
        <item h="1" m="1" x="7785"/>
        <item h="1" m="1" x="2050"/>
        <item h="1" m="1" x="7786"/>
        <item h="1" m="1" x="7704"/>
        <item h="1" m="1" x="7790"/>
        <item h="1" m="1" x="7792"/>
        <item h="1" m="1" x="7793"/>
        <item h="1" m="1" x="7795"/>
        <item h="1" m="1" x="7800"/>
        <item h="1" m="1" x="7486"/>
        <item h="1" m="1" x="7807"/>
        <item h="1" m="1" x="632"/>
        <item h="1" m="1" x="7815"/>
        <item h="1" m="1" x="7817"/>
        <item h="1" m="1" x="7818"/>
        <item h="1" m="1" x="1696"/>
        <item h="1" m="1" x="7819"/>
        <item h="1" m="1" x="7820"/>
        <item h="1" m="1" x="7821"/>
        <item h="1" m="1" x="7822"/>
        <item h="1" m="1" x="7823"/>
        <item h="1" m="1" x="7826"/>
        <item h="1" m="1" x="7827"/>
        <item h="1" m="1" x="4877"/>
        <item h="1" m="1" x="7828"/>
        <item h="1" m="1" x="7829"/>
        <item h="1" m="1" x="7838"/>
        <item h="1" m="1" x="7841"/>
        <item h="1" m="1" x="7842"/>
        <item h="1" m="1" x="4071"/>
        <item h="1" m="1" x="6656"/>
        <item h="1" m="1" x="7843"/>
        <item h="1" m="1" x="7844"/>
        <item h="1" m="1" x="7849"/>
        <item h="1" m="1" x="7850"/>
        <item h="1" m="1" x="7851"/>
        <item h="1" m="1" x="7726"/>
        <item h="1" m="1" x="7852"/>
        <item h="1" m="1" x="7853"/>
        <item h="1" m="1" x="7854"/>
        <item h="1" m="1" x="7010"/>
        <item h="1" m="1" x="7861"/>
        <item h="1" m="1" x="7865"/>
        <item h="1" m="1" x="7868"/>
        <item h="1" m="1" x="7665"/>
        <item h="1" m="1" x="7666"/>
        <item h="1" m="1" x="7553"/>
        <item h="1" x="221"/>
        <item h="1" m="1" x="7668"/>
        <item h="1" m="1" x="7122"/>
        <item h="1" m="1" x="7121"/>
        <item h="1" m="1" x="6842"/>
        <item h="1" m="1" x="7672"/>
        <item h="1" m="1" x="6843"/>
        <item h="1" m="1" x="7673"/>
        <item h="1" m="1" x="1872"/>
        <item h="1" m="1" x="7674"/>
        <item h="1" m="1" x="7675"/>
        <item h="1" m="1" x="1858"/>
        <item h="1" m="1" x="7676"/>
        <item h="1" m="1" x="7129"/>
        <item h="1" m="1" x="7130"/>
        <item h="1" m="1" x="7563"/>
        <item h="1" m="1" x="7396"/>
        <item h="1" m="1" x="7405"/>
        <item h="1" m="1" x="7564"/>
        <item h="1" m="1" x="7285"/>
        <item h="1" m="1" x="7680"/>
        <item h="1" m="1" x="7280"/>
        <item h="1" m="1" x="7681"/>
        <item h="1" m="1" x="5823"/>
        <item h="1" m="1" x="7570"/>
        <item h="1" m="1" x="4371"/>
        <item h="1" m="1" x="7291"/>
        <item h="1" m="1" x="7578"/>
        <item h="1" m="1" x="7577"/>
        <item h="1" m="1" x="6570"/>
        <item h="1" m="1" x="7686"/>
        <item h="1" m="1" x="7590"/>
        <item h="1" m="1" x="7687"/>
        <item h="1" m="1" x="7581"/>
        <item h="1" m="1" x="7589"/>
        <item h="1" m="1" x="7579"/>
        <item h="1" m="1" x="7580"/>
        <item h="1" m="1" x="7689"/>
        <item h="1" m="1" x="6591"/>
        <item h="1" m="1" x="7441"/>
        <item h="1" m="1" x="7442"/>
        <item h="1" m="1" x="5857"/>
        <item h="1" m="1" x="7695"/>
        <item h="1" m="1" x="7149"/>
        <item h="1" m="1" x="5882"/>
        <item h="1" m="1" x="7599"/>
        <item h="1" m="1" x="7698"/>
        <item h="1" m="1" x="5889"/>
        <item h="1" m="1" x="7699"/>
        <item h="1" m="1" x="7472"/>
        <item h="1" m="1" x="5676"/>
        <item h="1" m="1" x="7700"/>
        <item h="1" m="1" x="7461"/>
        <item h="1" m="1" x="5902"/>
        <item h="1" m="1" x="7168"/>
        <item h="1" m="1" x="6611"/>
        <item h="1" m="1" x="6612"/>
        <item h="1" m="1" x="7701"/>
        <item h="1" m="1" x="7464"/>
        <item h="1" m="1" x="7607"/>
        <item h="1" m="1" x="7703"/>
        <item h="1" m="1" x="5921"/>
        <item h="1" m="1" x="7479"/>
        <item h="1" m="1" x="806"/>
        <item h="1" m="1" x="7492"/>
        <item h="1" m="1" x="7485"/>
        <item h="1" m="1" x="7616"/>
        <item h="1" m="1" x="7706"/>
        <item h="1" m="1" x="4855"/>
        <item h="1" m="1" x="7617"/>
        <item h="1" m="1" x="7618"/>
        <item h="1" m="1" x="7620"/>
        <item h="1" m="1" x="7494"/>
        <item h="1" m="1" x="7179"/>
        <item h="1" m="1" x="6521"/>
        <item h="1" m="1" x="6522"/>
        <item h="1" m="1" x="7498"/>
        <item h="1" m="1" x="7503"/>
        <item h="1" m="1" x="7712"/>
        <item h="1" m="1" x="7625"/>
        <item h="1" m="1" x="5936"/>
        <item h="1" m="1" x="7505"/>
        <item h="1" m="1" x="7517"/>
        <item h="1" m="1" x="6638"/>
        <item h="1" m="1" x="7629"/>
        <item h="1" m="1" x="7518"/>
        <item h="1" m="1" x="7716"/>
        <item h="1" m="1" x="7718"/>
        <item h="1" m="1" x="7637"/>
        <item h="1" m="1" x="7632"/>
        <item h="1" m="1" x="7719"/>
        <item h="1" m="1" x="7200"/>
        <item h="1" m="1" x="7721"/>
        <item h="1" m="1" x="3857"/>
        <item h="1" m="1" x="6981"/>
        <item h="1" m="1" x="6982"/>
        <item h="1" m="1" x="7723"/>
        <item h="1" m="1" x="7644"/>
        <item h="1" m="1" x="7724"/>
        <item h="1" m="1" x="7725"/>
        <item h="1" m="1" x="7645"/>
        <item h="1" m="1" x="7530"/>
        <item h="1" m="1" x="7107"/>
        <item h="1" m="1" x="7655"/>
        <item h="1" m="1" x="6395"/>
        <item h="1" m="1" x="6007"/>
        <item h="1" m="1" x="7259"/>
        <item h="1" m="1" x="7258"/>
        <item h="1" m="1" x="7662"/>
        <item h="1" m="1" x="7727"/>
        <item h="1" x="122"/>
        <item h="1" m="1" x="7664"/>
        <item h="1" m="1" x="7551"/>
        <item h="1" m="1" x="7730"/>
        <item h="1" m="1" x="7386"/>
        <item h="1" m="1" x="7554"/>
        <item h="1" m="1" x="7387"/>
        <item h="1" m="1" x="7556"/>
        <item h="1" m="1" x="7557"/>
        <item h="1" m="1" x="6811"/>
        <item h="1" m="1" x="6847"/>
        <item h="1" m="1" x="6413"/>
        <item h="1" m="1" x="6577"/>
        <item h="1" m="1" x="6852"/>
        <item h="1" m="1" x="6414"/>
        <item h="1" m="1" x="6566"/>
        <item h="1" m="1" x="7558"/>
        <item h="1" m="1" x="7559"/>
        <item h="1" m="1" x="7560"/>
        <item h="1" m="1" x="6807"/>
        <item h="1" m="1" x="6564"/>
        <item h="1" m="1" x="6806"/>
        <item h="1" m="1" x="6565"/>
        <item h="1" m="1" x="6848"/>
        <item h="1" m="1" x="6578"/>
        <item h="1" m="1" x="6417"/>
        <item h="1" m="1" x="7562"/>
        <item h="1" m="1" x="3918"/>
        <item h="1" m="1" x="5203"/>
        <item h="1" m="1" x="6215"/>
        <item h="1" m="1" x="7411"/>
        <item h="1" m="1" x="7566"/>
        <item h="1" m="1" x="7421"/>
        <item h="1" m="1" x="3469"/>
        <item h="1" m="1" x="7567"/>
        <item h="1" m="1" x="7422"/>
        <item h="1" m="1" x="7568"/>
        <item h="1" m="1" x="7574"/>
        <item h="1" m="1" x="7582"/>
        <item h="1" m="1" x="7583"/>
        <item h="1" m="1" x="7584"/>
        <item h="1" m="1" x="7585"/>
        <item h="1" m="1" x="7586"/>
        <item h="1" m="1" x="7588"/>
        <item h="1" m="1" x="7433"/>
        <item h="1" m="1" x="7296"/>
        <item h="1" m="1" x="7297"/>
        <item h="1" m="1" x="7444"/>
        <item h="1" m="1" x="7591"/>
        <item h="1" m="1" x="7592"/>
        <item h="1" m="1" x="7300"/>
        <item h="1" m="1" x="7143"/>
        <item h="1" m="1" x="5029"/>
        <item h="1" m="1" x="6314"/>
        <item h="1" m="1" x="5672"/>
        <item h="1" m="1" x="7596"/>
        <item h="1" m="1" x="7148"/>
        <item h="1" m="1" x="6594"/>
        <item h="1" m="1" x="7597"/>
        <item h="1" m="1" x="7598"/>
        <item h="1" m="1" x="7453"/>
        <item h="1" m="1" x="6607"/>
        <item h="1" m="1" x="5146"/>
        <item h="1" m="1" x="7603"/>
        <item h="1" m="1" x="5423"/>
        <item h="1" m="1" x="6609"/>
        <item h="1" m="1" x="6610"/>
        <item h="1" m="1" x="7462"/>
        <item h="1" m="1" x="5898"/>
        <item h="1" m="1" x="6733"/>
        <item h="1" m="1" x="7314"/>
        <item h="1" m="1" x="7610"/>
        <item h="1" m="1" x="7172"/>
        <item h="1" m="1" x="7469"/>
        <item h="1" m="1" x="7470"/>
        <item h="1" m="1" x="7612"/>
        <item h="1" m="1" x="7613"/>
        <item h="1" m="1" x="7483"/>
        <item h="1" m="1" x="7484"/>
        <item h="1" m="1" x="7325"/>
        <item h="1" m="1" x="6622"/>
        <item h="1" m="1" x="7615"/>
        <item h="1" m="1" x="7487"/>
        <item h="1" m="1" x="7619"/>
        <item h="1" m="1" x="7621"/>
        <item h="1" m="1" x="7622"/>
        <item h="1" m="1" x="7495"/>
        <item h="1" m="1" x="7502"/>
        <item h="1" m="1" x="6633"/>
        <item h="1" m="1" x="7507"/>
        <item h="1" m="1" x="7511"/>
        <item h="1" m="1" x="7630"/>
        <item h="1" m="1" x="7520"/>
        <item h="1" m="1" x="7194"/>
        <item h="1" m="1" x="7339"/>
        <item h="1" m="1" x="7631"/>
        <item h="1" m="1" x="6974"/>
        <item h="1" m="1" x="7633"/>
        <item h="1" m="1" x="7634"/>
        <item h="1" m="1" x="7635"/>
        <item h="1" m="1" x="7636"/>
        <item h="1" m="1" x="5642"/>
        <item h="1" m="1" x="7347"/>
        <item h="1" m="1" x="7639"/>
        <item h="1" m="1" x="7353"/>
        <item h="1" m="1" x="7352"/>
        <item h="1" m="1" x="7642"/>
        <item h="1" m="1" x="7643"/>
        <item h="1" m="1" x="7360"/>
        <item h="1" m="1" x="7647"/>
        <item h="1" m="1" x="6999"/>
        <item h="1" m="1" x="7000"/>
        <item h="1" m="1" x="4002"/>
        <item h="1" m="1" x="7535"/>
        <item h="1" m="1" x="7652"/>
        <item h="1" m="1" x="7653"/>
        <item h="1" m="1" x="7654"/>
        <item h="1" m="1" x="7656"/>
        <item h="1" m="1" x="7657"/>
        <item h="1" m="1" x="6548"/>
        <item h="1" m="1" x="7658"/>
        <item h="1" m="1" x="7012"/>
        <item h="1" m="1" x="5422"/>
        <item h="1" m="1" x="7660"/>
        <item h="1" m="1" x="7661"/>
        <item h="1" m="1" x="6776"/>
        <item h="1" m="1" x="7663"/>
        <item h="1" m="1" x="5421"/>
        <item h="1" m="1" x="7549"/>
        <item h="1" m="1" x="7548"/>
        <item h="1" m="1" x="7117"/>
        <item h="1" m="1" x="7114"/>
        <item h="1" m="1" x="1517"/>
        <item h="1" m="1" x="7115"/>
        <item h="1" m="1" x="7116"/>
        <item h="1" m="1" x="7388"/>
        <item h="1" m="1" x="7270"/>
        <item h="1" m="1" x="6415"/>
        <item h="1" m="1" x="6844"/>
        <item h="1" m="1" x="6845"/>
        <item h="1" m="1" x="6683"/>
        <item h="1" m="1" x="6470"/>
        <item h="1" m="1" x="6846"/>
        <item h="1" m="1" x="6684"/>
        <item h="1" m="1" x="6685"/>
        <item h="1" m="1" x="6416"/>
        <item h="1" m="1" x="6567"/>
        <item h="1" m="1" x="6849"/>
        <item h="1" m="1" x="6418"/>
        <item h="1" m="1" x="6851"/>
        <item h="1" m="1" x="6580"/>
        <item h="1" m="1" x="6850"/>
        <item h="1" m="1" x="6409"/>
        <item h="1" m="1" x="7389"/>
        <item h="1" m="1" x="6682"/>
        <item h="1" m="1" x="7393"/>
        <item h="1" m="1" x="7394"/>
        <item h="1" m="1" x="2442"/>
        <item h="1" m="1" x="7412"/>
        <item h="1" m="1" x="7413"/>
        <item h="1" m="1" x="7414"/>
        <item h="1" m="1" x="7415"/>
        <item h="1" m="1" x="7416"/>
        <item h="1" m="1" x="7417"/>
        <item h="1" m="1" x="6585"/>
        <item h="1" m="1" x="7418"/>
        <item h="1" m="1" x="7419"/>
        <item h="1" m="1" x="7420"/>
        <item h="1" m="1" x="5144"/>
        <item h="1" m="1" x="5153"/>
        <item h="1" m="1" x="7424"/>
        <item h="1" m="1" x="7133"/>
        <item h="1" m="1" x="7132"/>
        <item h="1" m="1" x="7131"/>
        <item h="1" m="1" x="6488"/>
        <item h="1" m="1" x="7427"/>
        <item h="1" m="1" x="7428"/>
        <item h="1" m="1" x="7292"/>
        <item h="1" m="1" x="7429"/>
        <item h="1" m="1" x="7430"/>
        <item h="1" m="1" x="7431"/>
        <item h="1" m="1" x="7293"/>
        <item h="1" m="1" x="7432"/>
        <item h="1" m="1" x="7434"/>
        <item h="1" m="1" x="7435"/>
        <item h="1" m="1" x="6486"/>
        <item h="1" m="1" x="7436"/>
        <item h="1" m="1" x="7289"/>
        <item h="1" m="1" x="7290"/>
        <item h="1" m="1" x="7437"/>
        <item h="1" m="1" x="7438"/>
        <item h="1" m="1" x="7439"/>
        <item h="1" m="1" x="7443"/>
        <item h="1" m="1" x="7446"/>
        <item h="1" m="1" x="7447"/>
        <item h="1" m="1" x="7304"/>
        <item h="1" m="1" x="5174"/>
        <item h="1" m="1" x="7448"/>
        <item h="1" m="1" x="7449"/>
        <item h="1" m="1" x="7450"/>
        <item h="1" m="1" x="7162"/>
        <item h="1" m="1" x="7159"/>
        <item h="1" m="1" x="7160"/>
        <item h="1" m="1" x="6900"/>
        <item h="1" m="1" x="7161"/>
        <item h="1" m="1" x="7164"/>
        <item h="1" m="1" x="7165"/>
        <item h="1" m="1" x="7158"/>
        <item h="1" m="1" x="7451"/>
        <item h="1" m="1" x="7452"/>
        <item h="1" m="1" x="7454"/>
        <item h="1" m="1" x="7455"/>
        <item h="1" m="1" x="7456"/>
        <item h="1" m="1" x="7459"/>
        <item h="1" m="1" x="7460"/>
        <item h="1" m="1" x="5420"/>
        <item h="1" m="1" x="7463"/>
        <item h="1" m="1" x="7307"/>
        <item h="1" m="1" x="7465"/>
        <item h="1" m="1" x="7467"/>
        <item h="1" m="1" x="7173"/>
        <item h="1" m="1" x="6735"/>
        <item h="1" m="1" x="7316"/>
        <item h="1" m="1" x="7317"/>
        <item h="1" m="1" x="7471"/>
        <item h="1" m="1" x="5539"/>
        <item h="1" m="1" x="7474"/>
        <item h="1" m="1" x="299"/>
        <item h="1" m="1" x="7476"/>
        <item h="1" m="1" x="7477"/>
        <item h="1" m="1" x="7480"/>
        <item h="1" m="1" x="7481"/>
        <item h="1" m="1" x="7482"/>
        <item h="1" m="1" x="6631"/>
        <item h="1" m="1" x="5143"/>
        <item h="1" m="1" x="5142"/>
        <item h="1" m="1" x="7067"/>
        <item h="1" m="1" x="7489"/>
        <item h="1" m="1" x="7490"/>
        <item h="1" m="1" x="7491"/>
        <item h="1" m="1" x="7493"/>
        <item h="1" m="1" x="7326"/>
        <item h="1" m="1" x="7499"/>
        <item h="1" m="1" x="7500"/>
        <item h="1" m="1" x="5555"/>
        <item h="1" m="1" x="7335"/>
        <item h="1" m="1" x="7333"/>
        <item h="1" m="1" x="7334"/>
        <item h="1" m="1" x="1733"/>
        <item h="1" m="1" x="4850"/>
        <item h="1" m="1" x="5155"/>
        <item h="1" m="1" x="7508"/>
        <item h="1" m="1" x="7509"/>
        <item h="1" m="1" x="7510"/>
        <item h="1" m="1" x="5538"/>
        <item h="1" m="1" x="7512"/>
        <item h="1" m="1" x="7513"/>
        <item h="1" m="1" x="7514"/>
        <item h="1" m="1" x="7515"/>
        <item h="1" m="1" x="7516"/>
        <item h="1" m="1" x="7081"/>
        <item h="1" m="1" x="7338"/>
        <item h="1" m="1" x="7519"/>
        <item h="1" m="1" x="6761"/>
        <item h="1" m="1" x="5705"/>
        <item h="1" m="1" x="7525"/>
        <item h="1" m="1" x="7243"/>
        <item h="1" m="1" x="7244"/>
        <item h="1" m="1" x="7245"/>
        <item h="1" m="1" x="7246"/>
        <item h="1" m="1" x="7247"/>
        <item h="1" m="1" x="7227"/>
        <item h="1" m="1" x="7248"/>
        <item h="1" m="1" x="7208"/>
        <item h="1" m="1" x="7209"/>
        <item h="1" m="1" x="2555"/>
        <item h="1" m="1" x="7221"/>
        <item h="1" m="1" x="7155"/>
        <item h="1" m="1" x="7222"/>
        <item h="1" m="1" x="7089"/>
        <item h="1" m="1" x="7223"/>
        <item h="1" m="1" x="7224"/>
        <item h="1" m="1" x="7225"/>
        <item h="1" m="1" x="7226"/>
        <item h="1" m="1" x="7526"/>
        <item h="1" m="1" x="6994"/>
        <item h="1" m="1" x="6665"/>
        <item h="1" m="1" x="7228"/>
        <item h="1" m="1" x="7229"/>
        <item h="1" m="1" x="7236"/>
        <item h="1" m="1" x="7210"/>
        <item h="1" m="1" x="7233"/>
        <item h="1" m="1" x="7234"/>
        <item h="1" m="1" x="7094"/>
        <item h="1" m="1" x="7207"/>
        <item h="1" m="1" x="5975"/>
        <item h="1" m="1" x="7527"/>
        <item h="1" m="1" x="7528"/>
        <item h="1" m="1" x="7529"/>
        <item h="1" m="1" x="7358"/>
        <item h="1" m="1" x="7257"/>
        <item h="1" m="1" x="4236"/>
        <item h="1" m="1" x="7540"/>
        <item h="1" m="1" x="7541"/>
        <item h="1" m="1" x="6271"/>
        <item h="1" m="1" x="6008"/>
        <item h="1" m="1" x="7542"/>
        <item h="1" m="1" x="7543"/>
        <item h="1" m="1" x="7544"/>
        <item h="1" m="1" x="7545"/>
        <item h="1" m="1" x="7546"/>
        <item h="1" m="1" x="7547"/>
        <item h="1" m="1" x="6014"/>
        <item h="1" m="1" x="7550"/>
        <item h="1" m="1" x="7267"/>
        <item h="1" m="1" x="7380"/>
        <item h="1" m="1" x="7118"/>
        <item h="1" m="1" x="6193"/>
        <item h="1" m="1" x="7268"/>
        <item h="1" m="1" x="7269"/>
        <item h="1" m="1" x="7271"/>
        <item h="1" m="1" x="7272"/>
        <item h="1" m="1" x="7273"/>
        <item h="1" m="1" x="7274"/>
        <item h="1" m="1" x="4218"/>
        <item h="1" m="1" x="6809"/>
        <item h="1" m="1" x="6812"/>
        <item h="1" m="1" x="6813"/>
        <item h="1" m="1" x="6686"/>
        <item h="1" m="1" x="6687"/>
        <item h="1" m="1" x="6571"/>
        <item h="1" m="1" x="6814"/>
        <item h="1" m="1" x="6408"/>
        <item h="1" m="1" x="6688"/>
        <item h="1" m="1" x="6815"/>
        <item h="1" m="1" x="6810"/>
        <item h="1" m="1" x="6569"/>
        <item h="1" m="1" x="6798"/>
        <item h="1" m="1" x="6799"/>
        <item h="1" m="1" x="6407"/>
        <item h="1" m="1" x="6800"/>
        <item h="1" m="1" x="6801"/>
        <item h="1" m="1" x="6802"/>
        <item h="1" m="1" x="6803"/>
        <item h="1" m="1" x="6804"/>
        <item h="1" m="1" x="6805"/>
        <item h="1" m="1" x="7275"/>
        <item h="1" m="1" x="7276"/>
        <item h="1" m="1" x="7124"/>
        <item h="1" m="1" x="1770"/>
        <item h="1" m="1" x="7277"/>
        <item h="1" m="1" x="6047"/>
        <item h="1" m="1" x="5795"/>
        <item h="1" m="1" x="7278"/>
        <item h="1" m="1" x="7279"/>
        <item h="1" m="1" x="7281"/>
        <item h="1" m="1" x="7282"/>
        <item h="1" m="1" x="7283"/>
        <item h="1" m="1" x="7284"/>
        <item h="1" m="1" x="6055"/>
        <item h="1" m="1" x="6428"/>
        <item h="1" m="1" x="6429"/>
        <item h="1" m="1" x="6430"/>
        <item h="1" m="1" x="6431"/>
        <item h="1" m="1" x="7286"/>
        <item h="1" m="1" x="7287"/>
        <item h="1" m="1" x="7288"/>
        <item h="1" m="1" x="7294"/>
        <item h="1" m="1" x="7295"/>
        <item h="1" m="1" x="5855"/>
        <item h="1" m="1" x="6881"/>
        <item h="1" m="1" x="5419"/>
        <item h="1" m="1" x="7298"/>
        <item h="1" m="1" x="7301"/>
        <item h="1" m="1" x="6553"/>
        <item h="1" m="1" x="7302"/>
        <item h="1" m="1" x="7147"/>
        <item h="1" m="1" x="7156"/>
        <item h="1" m="1" x="7157"/>
        <item h="1" m="1" x="6905"/>
        <item h="1" m="1" x="7305"/>
        <item h="1" m="1" x="5891"/>
        <item h="1" m="1" x="5892"/>
        <item h="1" m="1" x="5893"/>
        <item h="1" m="1" x="5894"/>
        <item h="1" m="1" x="7061"/>
        <item h="1" m="1" x="5424"/>
        <item h="1" m="1" x="7306"/>
        <item h="1" m="1" x="7308"/>
        <item h="1" m="1" x="7309"/>
        <item h="1" m="1" x="602"/>
        <item h="1" m="1" x="7310"/>
        <item h="1" m="1" x="7313"/>
        <item h="1" m="1" x="7315"/>
        <item h="1" m="1" x="6928"/>
        <item h="1" m="1" x="7318"/>
        <item h="1" m="1" x="7319"/>
        <item h="1" m="1" x="7320"/>
        <item h="1" m="1" x="1518"/>
        <item h="1" m="1" x="7321"/>
        <item h="1" m="1" x="7322"/>
        <item h="1" m="1" x="7324"/>
        <item h="1" m="1" x="5540"/>
        <item h="1" m="1" x="7329"/>
        <item h="1" m="1" x="7330"/>
        <item h="1" m="1" x="6751"/>
        <item h="1" m="1" x="7331"/>
        <item h="1" m="1" x="664"/>
        <item h="1" m="1" x="7332"/>
        <item h="1" m="1" x="7336"/>
        <item h="1" m="1" x="7337"/>
        <item h="1" m="1" x="5546"/>
        <item h="1" m="1" x="7082"/>
        <item h="1" m="1" x="7083"/>
        <item h="1" m="1" x="7340"/>
        <item h="1" m="1" x="7341"/>
        <item h="1" m="1" x="7342"/>
        <item h="1" m="1" x="7192"/>
        <item h="1" m="1" x="7193"/>
        <item h="1" m="1" x="7343"/>
        <item h="1" m="1" x="7344"/>
        <item h="1" m="1" x="6533"/>
        <item h="1" m="1" x="7195"/>
        <item h="1" m="1" x="5109"/>
        <item h="1" m="1" x="7196"/>
        <item h="1" m="1" x="7346"/>
        <item h="1" m="1" x="7203"/>
        <item h="1" m="1" x="7202"/>
        <item h="1" m="1" x="7348"/>
        <item h="1" m="1" x="7205"/>
        <item h="1" m="1" x="7349"/>
        <item h="1" m="1" x="7350"/>
        <item h="1" m="1" x="4879"/>
        <item h="1" m="1" x="7150"/>
        <item h="1" m="1" x="7237"/>
        <item h="1" m="1" x="7238"/>
        <item h="1" m="1" x="7239"/>
        <item h="1" m="1" x="7240"/>
        <item h="1" m="1" x="7241"/>
        <item h="1" m="1" x="7242"/>
        <item h="1" m="1" x="7255"/>
        <item h="1" m="1" x="7214"/>
        <item h="1" m="1" x="7253"/>
        <item h="1" m="1" x="7254"/>
        <item h="1" m="1" x="7351"/>
        <item h="1" m="1" x="7354"/>
        <item h="1" m="1" x="7356"/>
        <item h="1" m="1" x="7357"/>
        <item h="1" m="1" x="7361"/>
        <item h="1" x="40"/>
        <item h="1" m="1" x="7362"/>
        <item h="1" m="1" x="7364"/>
        <item h="1" m="1" x="7365"/>
        <item h="1" m="1" x="7366"/>
        <item h="1" m="1" x="7367"/>
        <item h="1" m="1" x="6275"/>
        <item h="1" m="1" x="6012"/>
        <item h="1" m="1" x="7368"/>
        <item h="1" m="1" x="7369"/>
        <item h="1" m="1" x="7370"/>
        <item h="1" m="1" x="7371"/>
        <item h="1" m="1" x="7372"/>
        <item h="1" m="1" x="7373"/>
        <item h="1" m="1" x="7375"/>
        <item h="1" m="1" x="7376"/>
        <item h="1" m="1" x="7377"/>
        <item h="1" m="1" x="7378"/>
        <item h="1" m="1" x="7379"/>
        <item h="1" m="1" x="7266"/>
        <item h="1" m="1" x="6036"/>
        <item h="1" m="1" x="6783"/>
        <item h="1" m="1" x="6784"/>
        <item h="1" m="1" x="3607"/>
        <item h="1" m="1" x="7119"/>
        <item h="1" m="1" x="6673"/>
        <item h="1" m="1" x="3979"/>
        <item h="1" m="1" x="7123"/>
        <item h="1" m="1" x="6820"/>
        <item h="1" m="1" x="6821"/>
        <item h="1" m="1" x="6573"/>
        <item h="1" m="1" x="6572"/>
        <item h="1" m="1" x="6204"/>
        <item h="1" m="1" x="6693"/>
        <item h="1" m="1" x="6791"/>
        <item h="1" m="1" x="6411"/>
        <item h="1" m="1" x="6792"/>
        <item h="1" m="1" x="5784"/>
        <item h="1" m="1" x="4433"/>
        <item h="1" m="1" x="7125"/>
        <item h="1" m="1" x="7126"/>
        <item h="1" m="1" x="7127"/>
        <item h="1" m="1" x="3961"/>
        <item h="1" m="1" x="5765"/>
        <item h="1" m="1" x="7128"/>
        <item h="1" m="1" x="5650"/>
        <item h="1" m="1" x="6856"/>
        <item h="1" m="1" x="5798"/>
        <item h="1" m="1" x="6857"/>
        <item h="1" m="1" x="5814"/>
        <item h="1" m="1" x="6859"/>
        <item h="1" m="1" x="6867"/>
        <item h="1" m="1" x="6866"/>
        <item h="1" m="1" x="6865"/>
        <item h="1" m="1" x="7134"/>
        <item h="1" m="1" x="7049"/>
        <item h="1" m="1" x="6708"/>
        <item h="1" m="1" x="7050"/>
        <item h="1" m="1" x="7135"/>
        <item h="1" m="1" x="6876"/>
        <item h="1" m="1" x="6877"/>
        <item h="1" m="1" x="7136"/>
        <item h="1" m="1" x="7137"/>
        <item h="1" m="1" x="7138"/>
        <item h="1" m="1" x="5850"/>
        <item h="1" m="1" x="7139"/>
        <item h="1" m="1" x="7140"/>
        <item h="1" m="1" x="7141"/>
        <item h="1" m="1" x="6898"/>
        <item h="1" m="1" x="6892"/>
        <item h="1" m="1" x="6893"/>
        <item h="1" m="1" x="6891"/>
        <item h="1" m="1" x="6888"/>
        <item h="1" m="1" x="6889"/>
        <item h="1" m="1" x="6890"/>
        <item h="1" m="1" x="7145"/>
        <item h="1" m="1" x="7146"/>
        <item h="1" m="1" x="7151"/>
        <item h="1" m="1" x="7090"/>
        <item h="1" m="1" x="7153"/>
        <item h="1" m="1" x="6904"/>
        <item h="1" m="1" x="5887"/>
        <item h="1" m="1" x="6912"/>
        <item h="1" m="1" x="6919"/>
        <item h="1" m="1" x="6324"/>
        <item h="1" m="1" x="6913"/>
        <item h="1" m="1" x="6914"/>
        <item h="1" m="1" x="5896"/>
        <item h="1" m="1" x="7167"/>
        <item h="1" m="1" x="6448"/>
        <item h="1" m="1" x="7060"/>
        <item h="1" m="1" x="7170"/>
        <item h="1" m="1" x="7171"/>
        <item h="1" m="1" x="6927"/>
        <item h="1" m="1" x="6509"/>
        <item h="1" m="1" x="7062"/>
        <item h="1" m="1" x="7063"/>
        <item h="1" m="1" x="7174"/>
        <item h="1" m="1" x="6625"/>
        <item h="1" m="1" x="7070"/>
        <item h="1" m="1" x="7065"/>
        <item h="1" m="1" x="5157"/>
        <item h="1" m="1" x="5158"/>
        <item h="1" m="1" x="7064"/>
        <item h="1" m="1" x="7066"/>
        <item h="1" m="1" x="5156"/>
        <item h="1" m="1" x="6752"/>
        <item h="1" m="1" x="7175"/>
        <item h="1" m="1" x="7176"/>
        <item h="1" m="1" x="5537"/>
        <item h="1" m="1" x="5934"/>
        <item h="1" m="1" x="7178"/>
        <item h="1" m="1" x="7180"/>
        <item h="1" m="1" x="7181"/>
        <item h="1" m="1" x="7182"/>
        <item h="1" m="1" x="5172"/>
        <item h="1" m="1" x="7183"/>
        <item h="1" m="1" x="7184"/>
        <item h="1" m="1" x="5161"/>
        <item h="1" m="1" x="7185"/>
        <item h="1" m="1" x="7186"/>
        <item h="1" m="1" x="7187"/>
        <item h="1" m="1" x="7188"/>
        <item h="1" m="1" x="5556"/>
        <item h="1" m="1" x="7074"/>
        <item h="1" m="1" x="4822"/>
        <item h="1" m="1" x="7189"/>
        <item h="1" m="1" x="7076"/>
        <item h="1" m="1" x="7073"/>
        <item h="1" m="1" x="6364"/>
        <item h="1" m="1" x="6959"/>
        <item h="1" m="1" x="6961"/>
        <item h="1" m="1" x="6960"/>
        <item h="1" m="1" x="7190"/>
        <item h="1" m="1" x="7084"/>
        <item h="1" m="1" x="7191"/>
        <item h="1" m="1" x="5973"/>
        <item h="1" m="1" x="7197"/>
        <item h="1" m="1" x="7198"/>
        <item h="1" m="1" x="6980"/>
        <item h="1" m="1" x="6979"/>
        <item h="1" m="1" x="7086"/>
        <item h="1" m="1" x="5717"/>
        <item h="1" m="1" x="7087"/>
        <item h="1" m="1" x="7204"/>
        <item h="1" m="1" x="7206"/>
        <item h="1" m="1" x="7211"/>
        <item h="1" m="1" x="7213"/>
        <item h="1" m="1" x="7102"/>
        <item h="1" m="1" x="7215"/>
        <item h="1" m="1" x="7216"/>
        <item h="1" m="1" x="7217"/>
        <item h="1" m="1" x="7218"/>
        <item h="1" m="1" x="7219"/>
        <item h="1" m="1" x="7220"/>
        <item h="1" m="1" x="7250"/>
        <item h="1" m="1" x="7251"/>
        <item h="1" m="1" x="6988"/>
        <item h="1" m="1" x="6989"/>
        <item h="1" m="1" x="7252"/>
        <item h="1" m="1" x="7256"/>
        <item h="1" m="1" x="2140"/>
        <item h="1" m="1" x="6997"/>
        <item h="1" m="1" x="734"/>
        <item h="1" m="1" x="4977"/>
        <item h="1" m="1" x="7008"/>
        <item h="1" m="1" x="7009"/>
        <item h="1" m="1" x="7013"/>
        <item h="1" m="1" x="7014"/>
        <item h="1" m="1" x="7025"/>
        <item h="1" m="1" x="7026"/>
        <item h="1" m="1" x="7261"/>
        <item h="1" m="1" x="7262"/>
        <item h="1" m="1" x="7264"/>
        <item h="1" m="1" x="5342"/>
        <item h="1" m="1" x="7030"/>
        <item h="1" m="1" x="7031"/>
        <item h="1" m="1" x="6679"/>
        <item h="1" m="1" x="7032"/>
        <item h="1" m="1" x="7033"/>
        <item h="1" m="1" x="7034"/>
        <item h="1" m="1" x="7035"/>
        <item h="1" m="1" x="7036"/>
        <item h="1" m="1" x="5429"/>
        <item h="1" m="1" x="6818"/>
        <item h="1" m="1" x="5430"/>
        <item h="1" m="1" x="6819"/>
        <item h="1" m="1" x="5428"/>
        <item h="1" m="1" x="6043"/>
        <item h="1" m="1" x="6562"/>
        <item h="1" m="1" x="6563"/>
        <item h="1" m="1" x="6822"/>
        <item h="1" m="1" x="6410"/>
        <item h="1" m="1" x="6823"/>
        <item h="1" m="1" x="6824"/>
        <item h="1" m="1" x="6825"/>
        <item h="1" m="1" x="7037"/>
        <item h="1" m="1" x="7038"/>
        <item h="1" m="1" x="7039"/>
        <item h="1" m="1" x="7040"/>
        <item h="1" m="1" x="7041"/>
        <item h="1" m="1" x="6794"/>
        <item h="1" m="1" x="6795"/>
        <item h="1" m="1" x="6853"/>
        <item h="1" m="1" x="6854"/>
        <item h="1" m="1" x="6855"/>
        <item h="1" m="1" x="6207"/>
        <item h="1" m="1" x="6698"/>
        <item h="1" m="1" x="6860"/>
        <item h="1" m="1" x="5551"/>
        <item h="1" m="1" x="6584"/>
        <item h="1" m="1" x="7044"/>
        <item h="1" m="1" x="6587"/>
        <item h="1" m="1" x="7045"/>
        <item h="1" m="1" x="5170"/>
        <item h="1" m="1" x="1967"/>
        <item h="1" m="1" x="6870"/>
        <item h="1" m="1" x="4437"/>
        <item h="1" m="1" x="4933"/>
        <item h="1" m="1" x="7048"/>
        <item h="1" m="1" x="7051"/>
        <item h="1" m="1" x="5843"/>
        <item h="1" m="1" x="4911"/>
        <item h="1" m="1" x="6880"/>
        <item h="1" m="1" x="5182"/>
        <item h="1" m="1" x="5168"/>
        <item h="1" m="1" x="6887"/>
        <item h="1" m="1" x="5542"/>
        <item h="1" m="1" x="6899"/>
        <item h="1" m="1" x="5204"/>
        <item h="1" m="1" x="5870"/>
        <item h="1" m="1" x="7054"/>
        <item h="1" m="1" x="6730"/>
        <item h="1" m="1" x="7055"/>
        <item h="1" m="1" x="7056"/>
        <item h="1" m="1" x="6909"/>
        <item h="1" m="1" x="7059"/>
        <item h="1" m="1" x="6915"/>
        <item h="1" m="1" x="3360"/>
        <item h="1" m="1" x="6916"/>
        <item h="1" m="1" x="6917"/>
        <item h="1" m="1" x="6918"/>
        <item h="1" m="1" x="5895"/>
        <item h="1" m="1" x="6923"/>
        <item h="1" m="1" x="6736"/>
        <item h="1" m="1" x="6738"/>
        <item h="1" m="1" x="5541"/>
        <item h="1" m="1" x="5167"/>
        <item h="1" m="1" x="7068"/>
        <item h="1" m="1" x="5169"/>
        <item h="1" m="1" x="6939"/>
        <item h="1" m="1" x="5166"/>
        <item h="1" m="1" x="6240"/>
        <item h="1" m="1" x="7071"/>
        <item h="1" m="1" x="4426"/>
        <item h="1" m="1" x="6245"/>
        <item h="1" m="1" x="1543"/>
        <item h="1" m="1" x="7072"/>
        <item h="1" m="1" x="7077"/>
        <item h="1" m="1" x="7078"/>
        <item h="1" m="1" x="7079"/>
        <item h="1" m="1" x="7080"/>
        <item h="1" m="1" x="6958"/>
        <item h="1" m="1" x="6954"/>
        <item h="1" m="1" x="6956"/>
        <item h="1" m="1" x="3950"/>
        <item h="1" m="1" x="6962"/>
        <item h="1" m="1" x="7085"/>
        <item h="1" m="1" x="6972"/>
        <item h="1" m="1" x="4004"/>
        <item h="1" m="1" x="6975"/>
        <item h="1" m="1" x="6978"/>
        <item h="1" m="1" x="6983"/>
        <item h="1" m="1" x="6977"/>
        <item h="1" m="1" x="7088"/>
        <item h="1" m="1" x="7091"/>
        <item h="1" m="1" x="6990"/>
        <item h="1" m="1" x="7092"/>
        <item h="1" m="1" x="7093"/>
        <item h="1" m="1" x="7095"/>
        <item h="1" m="1" x="7096"/>
        <item h="1" m="1" x="7098"/>
        <item h="1" m="1" x="7099"/>
        <item h="1" m="1" x="7100"/>
        <item h="1" m="1" x="7101"/>
        <item h="1" m="1" x="7103"/>
        <item h="1" m="1" x="6998"/>
        <item h="1" m="1" x="1616"/>
        <item h="1" m="1" x="7104"/>
        <item h="1" m="1" x="5990"/>
        <item h="1" m="1" x="7007"/>
        <item h="1" m="1" x="7018"/>
        <item h="1" m="1" x="7016"/>
        <item h="1" m="1" x="7015"/>
        <item h="1" m="1" x="7011"/>
        <item h="1" m="1" x="7112"/>
        <item h="1" m="1" x="7023"/>
        <item h="1" m="1" x="5750"/>
        <item h="1" m="1" x="4896"/>
        <item h="1" m="1" x="7024"/>
        <item h="1" m="1" x="6191"/>
        <item h="1" m="1" x="6785"/>
        <item h="1" m="1" x="6787"/>
        <item h="1" m="1" x="6788"/>
        <item h="1" m="1" x="6789"/>
        <item h="1" m="1" x="6790"/>
        <item h="1" m="1" x="6793"/>
        <item h="1" m="1" x="6796"/>
        <item h="1" m="1" x="6797"/>
        <item h="1" m="1" x="6205"/>
        <item h="1" m="1" x="6808"/>
        <item h="1" m="1" x="6816"/>
        <item h="1" m="1" x="6817"/>
        <item h="1" m="1" x="6293"/>
        <item h="1" m="1" x="6858"/>
        <item h="1" m="1" x="6110"/>
        <item h="1" m="1" x="6862"/>
        <item h="1" m="1" x="6863"/>
        <item h="1" m="1" x="6864"/>
        <item h="1" m="1" x="5552"/>
        <item h="1" m="1" x="6427"/>
        <item h="1" m="1" x="6869"/>
        <item h="1" m="1" x="4717"/>
        <item h="1" m="1" x="6871"/>
        <item h="1" m="1" x="6872"/>
        <item h="1" m="1" x="6701"/>
        <item h="1" m="1" x="5828"/>
        <item h="1" m="1" x="6873"/>
        <item h="1" m="1" x="6874"/>
        <item h="1" m="1" x="6875"/>
        <item h="1" m="1" x="6878"/>
        <item h="1" m="1" x="6879"/>
        <item h="1" m="1" x="6703"/>
        <item h="1" m="1" x="6717"/>
        <item h="1" m="1" x="6716"/>
        <item h="1" m="1" x="6715"/>
        <item h="1" m="1" x="6718"/>
        <item h="1" m="1" x="6590"/>
        <item h="1" m="1" x="6720"/>
        <item h="1" m="1" x="6883"/>
        <item h="1" m="1" x="6884"/>
        <item h="1" m="1" x="5554"/>
        <item h="1" m="1" x="6885"/>
        <item h="1" m="1" x="6894"/>
        <item h="1" m="1" x="6895"/>
        <item h="1" m="1" x="6896"/>
        <item h="1" m="1" x="6897"/>
        <item h="1" m="1" x="6902"/>
        <item h="1" m="1" x="6903"/>
        <item h="1" m="1" x="6906"/>
        <item h="1" m="1" x="6501"/>
        <item h="1" m="1" x="6503"/>
        <item h="1" m="1" x="6502"/>
        <item h="1" m="1" x="6908"/>
        <item h="1" m="1" x="6731"/>
        <item h="1" m="1" x="6911"/>
        <item h="1" m="1" x="4901"/>
        <item h="1" m="1" x="6922"/>
        <item h="1" m="1" x="6924"/>
        <item h="1" m="1" x="6925"/>
        <item h="1" m="1" x="6926"/>
        <item h="1" m="1" x="6739"/>
        <item h="1" m="1" x="2415"/>
        <item h="1" m="1" x="6929"/>
        <item h="1" m="1" x="6930"/>
        <item h="1" m="1" x="5218"/>
        <item h="1" m="1" x="6932"/>
        <item h="1" m="1" x="6744"/>
        <item h="1" m="1" x="6933"/>
        <item h="1" m="1" x="771"/>
        <item h="1" m="1" x="6934"/>
        <item h="1" m="1" x="6935"/>
        <item h="1" m="1" x="6937"/>
        <item h="1" m="1" x="6940"/>
        <item h="1" m="1" x="6942"/>
        <item h="1" m="1" x="6943"/>
        <item h="1" m="1" x="6944"/>
        <item h="1" m="1" x="6945"/>
        <item h="1" m="1" x="6946"/>
        <item h="1" m="1" x="6947"/>
        <item h="1" m="1" x="6948"/>
        <item h="1" m="1" x="6949"/>
        <item h="1" m="1" x="6950"/>
        <item h="1" m="1" x="6951"/>
        <item h="1" m="1" x="6952"/>
        <item h="1" m="1" x="6355"/>
        <item h="1" m="1" x="6354"/>
        <item h="1" m="1" x="6953"/>
        <item h="1" m="1" x="6964"/>
        <item h="1" m="1" x="6965"/>
        <item h="1" m="1" x="6966"/>
        <item h="1" m="1" x="6967"/>
        <item h="1" m="1" x="6968"/>
        <item h="1" m="1" x="6969"/>
        <item h="1" m="1" x="6970"/>
        <item h="1" m="1" x="6971"/>
        <item h="1" m="1" x="4026"/>
        <item h="1" m="1" x="6984"/>
        <item h="1" m="1" x="6985"/>
        <item h="1" m="1" x="6986"/>
        <item h="1" m="1" x="6987"/>
        <item h="1" m="1" x="6991"/>
        <item h="1" m="1" x="6993"/>
        <item h="1" m="1" x="6995"/>
        <item h="1" m="1" x="5985"/>
        <item h="1" m="1" x="6767"/>
        <item h="1" m="1" x="6462"/>
        <item h="1" m="1" x="4527"/>
        <item h="1" m="1" x="7001"/>
        <item h="1" m="1" x="7002"/>
        <item h="1" m="1" x="7003"/>
        <item h="1" m="1" x="7004"/>
        <item h="1" m="1" x="7005"/>
        <item h="1" m="1" x="7006"/>
        <item h="1" m="1" x="7017"/>
        <item h="1" m="1" x="7019"/>
        <item h="1" m="1" x="7020"/>
        <item h="1" m="1" x="7021"/>
        <item h="1" m="1" x="5999"/>
        <item h="1" m="1" x="6272"/>
        <item h="1" m="1" x="6273"/>
        <item h="1" m="1" x="5431"/>
        <item h="1" m="1" x="7022"/>
        <item h="1" m="1" x="6778"/>
        <item h="1" m="1" x="6779"/>
        <item h="1" m="1" x="6559"/>
        <item h="1" m="1" x="6023"/>
        <item h="1" m="1" x="7029"/>
        <item h="1" m="1" x="5756"/>
        <item h="1" m="1" x="6674"/>
        <item h="1" m="1" x="6675"/>
        <item h="1" m="1" x="6676"/>
        <item h="1" m="1" x="6677"/>
        <item h="1" m="1" x="6678"/>
        <item h="1" m="1" x="6680"/>
        <item h="1" m="1" x="6681"/>
        <item h="1" m="1" x="4425"/>
        <item h="1" m="1" x="3964"/>
        <item h="1" m="1" x="3965"/>
        <item h="1" m="1" x="3966"/>
        <item h="1" m="1" x="5782"/>
        <item h="1" m="1" x="5783"/>
        <item h="1" m="1" x="4424"/>
        <item h="1" m="1" x="5148"/>
        <item h="1" m="1" x="6568"/>
        <item h="1" m="1" x="4389"/>
        <item h="1" m="1" x="3969"/>
        <item h="1" m="1" x="6694"/>
        <item h="1" m="1" x="6212"/>
        <item h="1" m="1" x="6695"/>
        <item h="1" m="1" x="6696"/>
        <item h="1" m="1" x="6697"/>
        <item h="1" m="1" x="5809"/>
        <item h="1" m="1" x="4521"/>
        <item h="1" m="1" x="5177"/>
        <item h="1" m="1" x="5560"/>
        <item h="1" m="1" x="6480"/>
        <item h="1" m="1" x="6294"/>
        <item h="1" m="1" x="6699"/>
        <item h="1" m="1" x="6700"/>
        <item h="1" m="1" x="1838"/>
        <item h="1" m="1" x="1839"/>
        <item h="1" m="1" x="722"/>
        <item h="1" m="1" x="6704"/>
        <item h="1" m="1" x="6705"/>
        <item h="1" m="1" x="6706"/>
        <item h="1" m="1" x="6707"/>
        <item h="1" m="1" x="1461"/>
        <item h="1" m="1" x="6709"/>
        <item h="1" m="1" x="6710"/>
        <item h="1" m="1" x="6711"/>
        <item h="1" m="1" x="6712"/>
        <item h="1" m="1" x="6713"/>
        <item h="1" m="1" x="6714"/>
        <item h="1" m="1" x="6719"/>
        <item h="1" m="1" x="5852"/>
        <item h="1" m="1" x="2197"/>
        <item h="1" m="1" x="5178"/>
        <item h="1" m="1" x="5175"/>
        <item h="1" m="1" x="5853"/>
        <item h="1" m="1" x="5432"/>
        <item h="1" m="1" x="5427"/>
        <item h="1" m="1" x="5425"/>
        <item h="1" m="1" x="6721"/>
        <item h="1" m="1" x="6321"/>
        <item h="1" m="1" x="6722"/>
        <item h="1" m="1" x="6723"/>
        <item h="1" m="1" x="6724"/>
        <item h="1" m="1" x="6725"/>
        <item h="1" m="1" x="6727"/>
        <item h="1" m="1" x="6728"/>
        <item h="1" m="1" x="5866"/>
        <item h="1" m="1" x="6729"/>
        <item h="1" m="1" x="6732"/>
        <item h="1" m="1" x="6600"/>
        <item h="1" m="1" x="6601"/>
        <item h="1" m="1" x="6602"/>
        <item h="1" m="1" x="6603"/>
        <item h="1" m="1" x="5897"/>
        <item h="1" m="1" x="6231"/>
        <item h="1" m="1" x="6524"/>
        <item h="1" m="1" x="5908"/>
        <item h="1" m="1" x="6734"/>
        <item h="1" m="1" x="5907"/>
        <item h="1" m="1" x="5906"/>
        <item h="1" m="1" x="5909"/>
        <item h="1" m="1" x="6737"/>
        <item h="1" m="1" x="6443"/>
        <item h="1" m="1" x="6740"/>
        <item h="1" m="1" x="6741"/>
        <item h="1" m="1" x="6742"/>
        <item h="1" m="1" x="5543"/>
        <item h="1" m="1" x="6452"/>
        <item h="1" m="1" x="6745"/>
        <item h="1" m="1" x="5547"/>
        <item h="1" m="1" x="6628"/>
        <item h="1" m="1" x="6629"/>
        <item h="1" m="1" x="5544"/>
        <item h="1" m="1" x="5548"/>
        <item h="1" m="1" x="6746"/>
        <item h="1" m="1" x="6747"/>
        <item h="1" m="1" x="6749"/>
        <item h="1" m="1" x="6627"/>
        <item h="1" m="1" x="6750"/>
        <item h="1" m="1" x="6630"/>
        <item h="1" m="1" x="6754"/>
        <item h="1" m="1" x="1845"/>
        <item h="1" m="1" x="6066"/>
        <item h="1" m="1" x="5935"/>
        <item h="1" m="1" x="5426"/>
        <item h="1" m="1" x="5159"/>
        <item h="1" m="1" x="6453"/>
        <item h="1" m="1" x="6755"/>
        <item h="1" m="1" x="471"/>
        <item h="1" m="1" x="6756"/>
        <item h="1" m="1" x="485"/>
        <item h="1" m="1" x="6637"/>
        <item h="1" m="1" x="5160"/>
        <item h="1" m="1" x="5549"/>
        <item h="1" m="1" x="5176"/>
        <item h="1" m="1" x="5162"/>
        <item h="1" m="1" x="5550"/>
        <item h="1" m="1" x="6757"/>
        <item h="1" m="1" x="6640"/>
        <item h="1" m="1" x="2634"/>
        <item h="1" m="1" x="6758"/>
        <item h="1" m="1" x="5969"/>
        <item h="1" m="1" x="6646"/>
        <item h="1" m="1" x="6647"/>
        <item h="1" m="1" x="6760"/>
        <item h="1" m="1" x="6648"/>
        <item h="1" m="1" x="6169"/>
        <item h="1" m="1" x="6762"/>
        <item h="1" m="1" x="3813"/>
        <item h="1" m="1" x="6763"/>
        <item h="1" m="1" x="5982"/>
        <item h="1" m="1" x="5983"/>
        <item h="1" m="1" x="6764"/>
        <item h="1" m="1" x="6765"/>
        <item h="1" m="1" x="6766"/>
        <item h="1" m="1" x="6768"/>
        <item h="1" m="1" x="5987"/>
        <item h="1" m="1" x="6769"/>
        <item h="1" m="1" x="6770"/>
        <item h="1" m="1" x="6771"/>
        <item h="1" m="1" x="6772"/>
        <item h="1" m="1" x="6774"/>
        <item h="1" m="1" x="6775"/>
        <item h="1" m="1" x="6777"/>
        <item h="1" m="1" x="6102"/>
        <item h="1" m="1" x="6103"/>
        <item h="1" m="1" x="6781"/>
        <item h="1" m="1" x="6782"/>
        <item h="1" m="1" x="1590"/>
        <item h="1" m="1" x="6022"/>
        <item h="1" m="1" x="6026"/>
        <item h="1" m="1" x="6560"/>
        <item h="1" m="1" x="6561"/>
        <item h="1" m="1" x="6469"/>
        <item h="1" m="1" x="4318"/>
        <item h="1" m="1" x="1771"/>
        <item h="1" m="1" x="6581"/>
        <item h="1" m="1" x="6582"/>
        <item h="1" m="1" x="6583"/>
        <item h="1" m="1" x="6472"/>
        <item h="1" m="1" x="6473"/>
        <item h="1" m="1" x="6586"/>
        <item h="1" m="1" x="5821"/>
        <item h="1" m="1" x="4516"/>
        <item h="1" m="1" x="6483"/>
        <item h="1" m="1" x="6482"/>
        <item h="1" m="1" x="6481"/>
        <item h="1" m="1" x="807"/>
        <item h="1" m="1" x="6121"/>
        <item h="1" m="1" x="6485"/>
        <item h="1" m="1" x="6588"/>
        <item h="1" m="1" x="6589"/>
        <item h="1" m="1" x="6491"/>
        <item h="1" m="1" x="5864"/>
        <item h="1" m="1" x="6489"/>
        <item h="1" m="1" x="6490"/>
        <item h="1" m="1" x="5341"/>
        <item h="1" m="1" x="5851"/>
        <item h="1" m="1" x="6494"/>
        <item h="1" m="1" x="6498"/>
        <item h="1" m="1" x="6132"/>
        <item h="1" m="1" x="4345"/>
        <item h="1" m="1" x="5862"/>
        <item h="1" m="1" x="5863"/>
        <item h="1" m="1" x="6593"/>
        <item h="1" m="1" x="6595"/>
        <item h="1" m="1" x="3415"/>
        <item h="1" m="1" x="6596"/>
        <item h="1" m="1" x="6597"/>
        <item h="1" m="1" x="6598"/>
        <item h="1" m="1" x="6504"/>
        <item h="1" m="1" x="6599"/>
        <item h="1" m="1" x="6604"/>
        <item h="1" m="1" x="6606"/>
        <item h="1" m="1" x="6608"/>
        <item h="1" m="1" x="4926"/>
        <item h="1" m="1" x="4872"/>
        <item h="1" m="1" x="6613"/>
        <item h="1" m="1" x="5904"/>
        <item h="1" m="1" x="5905"/>
        <item h="1" m="1" x="6615"/>
        <item h="1" m="1" x="6616"/>
        <item h="1" m="1" x="2154"/>
        <item h="1" m="1" x="6617"/>
        <item h="1" m="1" x="6440"/>
        <item h="1" m="1" x="6618"/>
        <item h="1" m="1" x="6619"/>
        <item h="1" m="1" x="3937"/>
        <item h="1" m="1" x="6064"/>
        <item h="1" m="1" x="6065"/>
        <item h="1" m="1" x="2139"/>
        <item h="1" m="1" x="6620"/>
        <item h="1" m="1" x="6621"/>
        <item h="1" m="1" x="5561"/>
        <item h="1" m="1" x="5568"/>
        <item h="1" m="1" x="5557"/>
        <item h="1" m="1" x="5558"/>
        <item h="1" m="1" x="5559"/>
        <item h="1" m="1" x="6623"/>
        <item h="1" m="1" x="5433"/>
        <item h="1" m="1" x="6086"/>
        <item h="1" m="1" x="2216"/>
        <item h="1" m="1" x="6626"/>
        <item h="1" m="1" x="2317"/>
        <item h="1" m="1" x="2670"/>
        <item h="1" m="1" x="2222"/>
        <item h="1" m="1" x="6450"/>
        <item h="1" m="1" x="6451"/>
        <item h="1" m="1" x="5179"/>
        <item h="1" m="1" x="5180"/>
        <item h="1" m="1" x="6632"/>
        <item h="1" m="1" x="5495"/>
        <item h="1" m="1" x="5958"/>
        <item h="1" m="1" x="5181"/>
        <item h="1" m="1" x="6635"/>
        <item h="1" m="1" x="6636"/>
        <item h="1" m="1" x="5563"/>
        <item h="1" m="1" x="6527"/>
        <item h="1" m="1" x="6639"/>
        <item h="1" m="1" x="6641"/>
        <item h="1" m="1" x="6642"/>
        <item h="1" m="1" x="2062"/>
        <item h="1" m="1" x="6643"/>
        <item h="1" m="1" x="6644"/>
        <item h="1" m="1" x="6645"/>
        <item h="1" m="1" x="6649"/>
        <item h="1" m="1" x="6650"/>
        <item h="1" m="1" x="6651"/>
        <item h="1" m="1" x="5794"/>
        <item h="1" m="1" x="1205"/>
        <item h="1" m="1" x="623"/>
        <item h="1" m="1" x="5978"/>
        <item h="1" m="1" x="6653"/>
        <item h="1" m="1" x="6655"/>
        <item h="1" m="1" x="6536"/>
        <item h="1" m="1" x="6657"/>
        <item h="1" m="1" x="6658"/>
        <item h="1" m="1" x="6659"/>
        <item h="1" m="1" x="6539"/>
        <item h="1" m="1" x="6660"/>
        <item h="1" m="1" x="6661"/>
        <item h="1" m="1" x="6662"/>
        <item h="1" m="1" x="6663"/>
        <item h="1" m="1" x="6664"/>
        <item h="1" m="1" x="6666"/>
        <item h="1" m="1" x="6667"/>
        <item h="1" m="1" x="6668"/>
        <item h="1" m="1" x="6669"/>
        <item h="1" m="1" x="6540"/>
        <item h="1" m="1" x="6671"/>
        <item h="1" m="1" x="5343"/>
        <item h="1" m="1" x="4979"/>
        <item h="1" m="1" x="6546"/>
        <item h="1" m="1" x="6549"/>
        <item h="1" m="1" x="6266"/>
        <item h="1" m="1" x="6545"/>
        <item h="1" m="1" x="6000"/>
        <item h="1" m="1" x="6274"/>
        <item h="1" m="1" x="6186"/>
        <item h="1" m="1" x="6187"/>
        <item h="1" m="1" x="6558"/>
        <item h="1" m="1" x="6554"/>
        <item h="1" m="1" x="6555"/>
        <item h="1" m="1" x="6556"/>
        <item h="1" m="1" x="6557"/>
        <item h="1" m="1" x="6467"/>
        <item h="1" m="1" x="5165"/>
        <item h="1" m="1" x="6672"/>
        <item h="1" m="1" x="6034"/>
        <item h="1" m="1" x="5755"/>
        <item h="1" m="1" x="6104"/>
        <item h="1" m="1" x="5761"/>
        <item h="1" m="1" x="6471"/>
        <item h="1" m="1" x="5647"/>
        <item h="1" m="1" x="6474"/>
        <item h="1" m="1" x="6476"/>
        <item h="1" m="1" x="6477"/>
        <item h="1" m="1" x="6478"/>
        <item h="1" m="1" x="6479"/>
        <item h="1" m="1" x="5834"/>
        <item h="1" m="1" x="5839"/>
        <item h="1" m="1" x="6487"/>
        <item h="1" m="1" x="6492"/>
        <item h="1" m="1" x="6493"/>
        <item h="1" m="1" x="5183"/>
        <item h="1" m="1" x="6495"/>
        <item h="1" m="1" x="6320"/>
        <item h="1" m="1" x="6496"/>
        <item h="1" m="1" x="6497"/>
        <item h="1" m="1" x="6499"/>
        <item h="1" m="1" x="6500"/>
        <item h="1" m="1" x="5677"/>
        <item h="1" m="1" x="6505"/>
        <item h="1" m="1" x="2635"/>
        <item h="1" m="1" x="5890"/>
        <item h="1" m="1" x="6506"/>
        <item h="1" m="1" x="6507"/>
        <item h="1" m="1" x="6508"/>
        <item h="1" m="1" x="5899"/>
        <item h="1" m="1" x="6438"/>
        <item h="1" m="1" x="5910"/>
        <item h="1" m="1" x="3353"/>
        <item h="1" m="1" x="6145"/>
        <item h="1" m="1" x="6144"/>
        <item h="1" m="1" x="6329"/>
        <item h="1" m="1" x="5918"/>
        <item h="1" m="1" x="6512"/>
        <item h="1" m="1" x="6513"/>
        <item h="1" m="1" x="6514"/>
        <item h="1" m="1" x="6515"/>
        <item h="1" m="1" x="6445"/>
        <item h="1" m="1" x="6516"/>
        <item h="1" m="1" x="6517"/>
        <item h="1" m="1" x="6518"/>
        <item h="1" m="1" x="6519"/>
        <item h="1" m="1" x="6449"/>
        <item h="1" m="1" x="5564"/>
        <item h="1" m="1" x="6520"/>
        <item h="1" m="1" x="6523"/>
        <item h="1" m="1" x="6081"/>
        <item h="1" m="1" x="6351"/>
        <item h="1" m="1" x="5954"/>
        <item h="1" m="1" x="5957"/>
        <item h="1" m="1" x="5956"/>
        <item h="1" m="1" x="5951"/>
        <item h="1" m="1" x="5955"/>
        <item h="1" m="1" x="6525"/>
        <item h="1" m="1" x="6526"/>
        <item h="1" m="1" x="4967"/>
        <item h="1" m="1" x="6528"/>
        <item h="1" m="1" x="6529"/>
        <item h="1" m="1" x="6163"/>
        <item h="1" m="1" x="5964"/>
        <item h="1" m="1" x="6359"/>
        <item h="1" m="1" x="6360"/>
        <item h="1" m="1" x="6361"/>
        <item h="1" m="1" x="5966"/>
        <item h="1" m="1" x="5967"/>
        <item h="1" m="1" x="6458"/>
        <item h="1" m="1" x="6168"/>
        <item h="1" m="1" x="6530"/>
        <item h="1" m="1" x="6171"/>
        <item h="1" m="1" x="6531"/>
        <item h="1" m="1" x="6532"/>
        <item h="1" m="1" x="4951"/>
        <item h="1" m="1" x="6534"/>
        <item h="1" m="1" x="5083"/>
        <item h="1" m="1" x="6537"/>
        <item h="1" m="1" x="5984"/>
        <item h="1" m="1" x="6463"/>
        <item h="1" m="1" x="5986"/>
        <item h="1" m="1" x="6541"/>
        <item h="1" m="1" x="6180"/>
        <item h="1" m="1" x="6542"/>
        <item h="1" m="1" x="6543"/>
        <item h="1" m="1" x="6544"/>
        <item h="1" m="1" x="6391"/>
        <item h="1" m="1" x="6550"/>
        <item h="1" m="1" x="6551"/>
        <item h="1" m="1" x="4091"/>
        <item h="1" m="1" x="6552"/>
        <item h="1" m="1" x="6188"/>
        <item h="1" m="1" x="6031"/>
        <item h="1" m="1" x="6032"/>
        <item h="1" m="1" x="6033"/>
        <item h="1" m="1" x="6192"/>
        <item h="1" m="1" x="2053"/>
        <item h="1" m="1" x="6406"/>
        <item h="1" m="1" x="6289"/>
        <item h="1" m="1" x="6041"/>
        <item h="1" m="1" x="6042"/>
        <item h="1" m="1" x="6419"/>
        <item h="1" m="1" x="6420"/>
        <item h="1" m="1" x="6421"/>
        <item h="1" m="1" x="5651"/>
        <item h="1" m="1" x="5173"/>
        <item h="1" m="1" x="1603"/>
        <item h="1" m="1" x="5805"/>
        <item h="1" m="1" x="5802"/>
        <item h="1" m="1" x="5797"/>
        <item h="1" m="1" x="5796"/>
        <item h="1" m="1" x="972"/>
        <item h="1" m="1" x="5646"/>
        <item h="1" m="1" x="6214"/>
        <item h="1" m="1" x="6074"/>
        <item h="1" m="1" x="5815"/>
        <item h="1" m="1" x="5816"/>
        <item h="1" m="1" x="6422"/>
        <item h="1" m="1" x="6423"/>
        <item h="1" m="1" x="6424"/>
        <item h="1" m="1" x="6425"/>
        <item h="1" m="1" x="6426"/>
        <item h="1" m="1" x="6114"/>
        <item h="1" m="1" x="6295"/>
        <item h="1" m="1" x="6433"/>
        <item h="1" m="1" x="5827"/>
        <item h="1" m="1" x="4665"/>
        <item h="1" m="1" x="5838"/>
        <item h="1" m="1" x="6298"/>
        <item h="1" m="1" x="6122"/>
        <item h="1" m="1" x="6434"/>
        <item h="1" m="1" x="6060"/>
        <item h="1" m="1" x="6304"/>
        <item h="1" m="1" x="2941"/>
        <item h="1" m="1" x="2014"/>
        <item h="1" m="1" x="6305"/>
        <item h="1" m="1" x="6303"/>
        <item h="1" m="1" x="6301"/>
        <item h="1" m="1" x="6302"/>
        <item h="1" m="1" x="6435"/>
        <item h="1" m="1" x="6068"/>
        <item h="1" m="1" x="6310"/>
        <item h="1" m="1" x="6436"/>
        <item h="1" m="1" x="6309"/>
        <item h="1" m="1" x="6306"/>
        <item h="1" m="1" x="6307"/>
        <item h="1" m="1" x="6308"/>
        <item h="1" m="1" x="990"/>
        <item h="1" m="1" x="6315"/>
        <item h="1" m="1" x="6316"/>
        <item h="1" m="1" x="6437"/>
        <item h="1" m="1" x="6069"/>
        <item h="1" m="1" x="3882"/>
        <item h="1" m="1" x="4063"/>
        <item h="1" m="1" x="6326"/>
        <item h="1" m="1" x="6327"/>
        <item h="1" m="1" x="6233"/>
        <item h="1" m="1" x="6439"/>
        <item h="1" m="1" x="569"/>
        <item h="1" m="1" x="6330"/>
        <item h="1" m="1" x="6332"/>
        <item h="1" m="1" x="6441"/>
        <item h="1" m="1" x="6442"/>
        <item h="1" m="1" x="6336"/>
        <item h="1" m="1" x="6337"/>
        <item h="1" m="1" x="6333"/>
        <item h="1" m="1" x="6444"/>
        <item h="1" m="1" x="6446"/>
        <item h="1" m="1" x="5567"/>
        <item h="1" m="1" x="6343"/>
        <item h="1" m="1" x="6344"/>
        <item h="1" m="1" x="2920"/>
        <item h="1" m="1" x="2219"/>
        <item h="1" m="1" x="6339"/>
        <item h="1" m="1" x="5565"/>
        <item h="1" m="1" x="6338"/>
        <item h="1" m="1" x="6153"/>
        <item h="1" m="1" x="5186"/>
        <item h="1" m="1" x="5562"/>
        <item h="1" m="1" x="6089"/>
        <item h="1" m="1" x="6350"/>
        <item h="1" m="1" x="5171"/>
        <item h="1" m="1" x="5184"/>
        <item h="1" m="1" x="5948"/>
        <item h="1" m="1" x="5185"/>
        <item h="1" m="1" x="5949"/>
        <item h="1" m="1" x="6454"/>
        <item h="1" m="1" x="6353"/>
        <item h="1" m="1" x="6082"/>
        <item h="1" m="1" x="6455"/>
        <item h="1" m="1" x="6456"/>
        <item h="1" m="1" x="6457"/>
        <item h="1" m="1" x="3993"/>
        <item h="1" m="1" x="3994"/>
        <item h="1" m="1" x="6358"/>
        <item h="1" m="1" x="6362"/>
        <item h="1" m="1" x="6164"/>
        <item h="1" m="1" x="6093"/>
        <item h="1" m="1" x="5968"/>
        <item h="1" m="1" x="6370"/>
        <item h="1" m="1" x="6371"/>
        <item h="1" m="1" x="6170"/>
        <item h="1" m="1" x="6367"/>
        <item h="1" m="1" x="6368"/>
        <item h="1" m="1" x="4952"/>
        <item h="1" m="1" x="6369"/>
        <item h="1" m="1" x="2565"/>
        <item h="1" m="1" x="4862"/>
        <item h="1" m="1" x="4864"/>
        <item h="1" m="1" x="6375"/>
        <item h="1" m="1" x="6460"/>
        <item h="1" m="1" x="6379"/>
        <item h="1" m="1" x="6461"/>
        <item h="1" m="1" x="6464"/>
        <item h="1" m="1" x="6179"/>
        <item h="1" m="1" x="6385"/>
        <item h="1" m="1" x="6384"/>
        <item h="1" m="1" x="6390"/>
        <item h="1" m="1" x="6393"/>
        <item h="1" m="1" x="5122"/>
        <item h="1" m="1" x="5994"/>
        <item h="1" m="1" x="5996"/>
        <item h="1" m="1" x="5995"/>
        <item h="1" m="1" x="5992"/>
        <item h="1" m="1" x="5998"/>
        <item h="1" m="1" x="5997"/>
        <item h="1" m="1" x="6002"/>
        <item h="1" m="1" x="5434"/>
        <item h="1" m="1" x="6276"/>
        <item h="1" m="1" x="6277"/>
        <item h="1" m="1" x="6101"/>
        <item h="1" m="1" x="6400"/>
        <item h="1" m="1" x="6280"/>
        <item h="1" m="1" x="1064"/>
        <item h="1" m="1" x="6465"/>
        <item h="1" m="1" x="6466"/>
        <item h="1" m="1" x="5187"/>
        <item h="1" m="1" x="6404"/>
        <item h="1" m="1" x="6403"/>
        <item h="1" m="1" x="6402"/>
        <item h="1" m="1" x="6020"/>
        <item h="1" m="1" x="6285"/>
        <item h="1" m="1" x="6286"/>
        <item h="1" m="1" x="6287"/>
        <item h="1" m="1" x="6288"/>
        <item h="1" m="1" x="6290"/>
        <item h="1" m="1" x="6210"/>
        <item h="1" m="1" x="5799"/>
        <item h="1" m="1" x="6109"/>
        <item h="1" m="1" x="6292"/>
        <item h="1" m="1" x="5800"/>
        <item h="1" m="1" x="6213"/>
        <item h="1" m="1" x="6211"/>
        <item h="1" m="1" x="5435"/>
        <item h="1" m="1" x="5349"/>
        <item h="1" m="1" x="6057"/>
        <item h="1" m="1" x="6049"/>
        <item h="1" m="1" x="5190"/>
        <item h="1" m="1" x="5502"/>
        <item h="1" m="1" x="6296"/>
        <item h="1" m="1" x="6297"/>
        <item h="1" m="1" x="6299"/>
        <item h="1" m="1" x="6300"/>
        <item h="1" m="1" x="5347"/>
        <item h="1" m="1" x="5355"/>
        <item h="1" m="1" x="6131"/>
        <item h="1" m="1" x="6134"/>
        <item h="1" m="1" x="6313"/>
        <item h="1" m="1" x="6135"/>
        <item h="1" m="1" x="6317"/>
        <item h="1" m="1" x="6139"/>
        <item h="1" m="1" x="6318"/>
        <item h="1" m="1" x="6319"/>
        <item h="1" m="1" x="5881"/>
        <item h="1" m="1" x="5571"/>
        <item h="1" m="1" x="5879"/>
        <item h="1" m="1" x="5880"/>
        <item h="1" m="1" x="5878"/>
        <item h="1" m="1" x="6323"/>
        <item h="1" m="1" x="6325"/>
        <item h="1" m="1" x="5348"/>
        <item h="1" m="1" x="1477"/>
        <item h="1" m="1" x="6331"/>
        <item h="1" m="1" x="6334"/>
        <item h="1" m="1" x="6335"/>
        <item h="1" x="109"/>
        <item h="1" m="1" x="6154"/>
        <item h="1" m="1" x="6340"/>
        <item h="1" m="1" x="6341"/>
        <item h="1" m="1" x="6151"/>
        <item h="1" m="1" x="6342"/>
        <item h="1" m="1" x="6345"/>
        <item h="1" m="1" x="5566"/>
        <item h="1" m="1" x="6346"/>
        <item h="1" m="1" x="6347"/>
        <item h="1" m="1" x="6348"/>
        <item h="1" m="1" x="2319"/>
        <item h="1" m="1" x="4535"/>
        <item h="1" m="1" x="6349"/>
        <item h="1" m="1" x="5197"/>
        <item h="1" m="1" x="5947"/>
        <item h="1" m="1" x="5950"/>
        <item h="1" m="1" x="6352"/>
        <item h="1" m="1" x="6243"/>
        <item h="1" m="1" x="6242"/>
        <item h="1" m="1" x="5961"/>
        <item h="1" m="1" x="6356"/>
        <item h="1" m="1" x="6357"/>
        <item h="1" m="1" x="6165"/>
        <item h="1" m="1" x="1416"/>
        <item h="1" m="1" x="6365"/>
        <item h="1" m="1" x="6366"/>
        <item h="1" m="1" x="6372"/>
        <item h="1" m="1" x="2383"/>
        <item h="1" m="1" x="6176"/>
        <item h="1" m="1" x="6175"/>
        <item h="1" m="1" x="2096"/>
        <item h="1" m="1" x="6373"/>
        <item h="1" m="1" x="6374"/>
        <item h="1" m="1" x="6376"/>
        <item h="1" m="1" x="6377"/>
        <item h="1" m="1" x="6178"/>
        <item h="1" m="1" x="6378"/>
        <item h="1" m="1" x="5107"/>
        <item h="1" m="1" x="6380"/>
        <item h="1" m="1" x="6382"/>
        <item h="1" m="1" x="6383"/>
        <item h="1" m="1" x="4888"/>
        <item h="1" m="1" x="6386"/>
        <item h="1" m="1" x="6387"/>
        <item h="1" m="1" x="6388"/>
        <item h="1" m="1" x="6389"/>
        <item h="1" m="1" x="6392"/>
        <item h="1" m="1" x="6070"/>
        <item h="1" m="1" x="6185"/>
        <item h="1" m="1" x="6003"/>
        <item h="1" m="1" x="6004"/>
        <item h="1" m="1" x="5345"/>
        <item h="1" m="1" x="6394"/>
        <item h="1" m="1" x="6011"/>
        <item h="1" m="1" x="6397"/>
        <item h="1" m="1" x="6398"/>
        <item h="1" m="1" x="6399"/>
        <item h="1" m="1" x="6401"/>
        <item h="1" m="1" x="6028"/>
        <item h="1" m="1" x="6027"/>
        <item h="1" m="1" x="6405"/>
        <item h="1" m="1" x="6194"/>
        <item h="1" m="1" x="6195"/>
        <item h="1" m="1" x="6196"/>
        <item h="1" m="1" x="6197"/>
        <item h="1" m="1" x="6198"/>
        <item h="1" m="1" x="6199"/>
        <item h="1" m="1" x="6106"/>
        <item h="1" m="1" x="6200"/>
        <item h="1" m="1" x="6202"/>
        <item h="1" m="1" x="6203"/>
        <item h="1" m="1" x="2857"/>
        <item h="1" m="1" x="1311"/>
        <item h="1" m="1" x="6206"/>
        <item h="1" m="1" x="6208"/>
        <item h="1" m="1" x="6209"/>
        <item h="1" m="1" x="5436"/>
        <item h="1" m="1" x="6216"/>
        <item h="1" m="1" x="5534"/>
        <item h="1" m="1" x="6217"/>
        <item h="1" m="1" x="6218"/>
        <item h="1" m="1" x="6219"/>
        <item h="1" m="1" x="6220"/>
        <item h="1" m="1" x="5842"/>
        <item h="1" m="1" x="6059"/>
        <item h="1" x="128"/>
        <item h="1" m="1" x="6128"/>
        <item h="1" m="1" x="6130"/>
        <item h="1" m="1" x="6067"/>
        <item h="1" m="1" x="6222"/>
        <item h="1" m="1" x="6223"/>
        <item h="1" m="1" x="6224"/>
        <item h="1" m="1" x="5669"/>
        <item h="1" m="1" x="5874"/>
        <item h="1" m="1" x="5873"/>
        <item h="1" m="1" x="5570"/>
        <item h="1" m="1" x="6227"/>
        <item h="1" m="1" x="6072"/>
        <item h="1" m="1" x="6073"/>
        <item h="1" m="1" x="6228"/>
        <item h="1" m="1" x="6229"/>
        <item h="1" m="1" x="6143"/>
        <item h="1" m="1" x="5900"/>
        <item h="1" m="1" x="3641"/>
        <item h="1" m="1" x="6234"/>
        <item h="1" m="1" x="6235"/>
        <item h="1" m="1" x="6236"/>
        <item h="1" m="1" x="6238"/>
        <item h="1" m="1" x="5920"/>
        <item h="1" m="1" x="4422"/>
        <item h="1" m="1" x="5924"/>
        <item h="1" m="1" x="5923"/>
        <item h="1" m="1" x="6149"/>
        <item h="1" m="1" x="6239"/>
        <item h="1" m="1" x="3458"/>
        <item h="1" m="1" x="2218"/>
        <item h="1" m="1" x="6087"/>
        <item h="1" m="1" x="5200"/>
        <item h="1" m="1" x="5065"/>
        <item h="1" m="1" x="5946"/>
        <item h="1" m="1" x="5068"/>
        <item h="1" m="1" x="3229"/>
        <item h="1" m="1" x="6241"/>
        <item h="1" m="1" x="5198"/>
        <item h="1" m="1" x="6091"/>
        <item h="1" m="1" x="4989"/>
        <item h="1" m="1" x="6246"/>
        <item h="1" m="1" x="6247"/>
        <item h="1" m="1" x="6248"/>
        <item h="1" m="1" x="5962"/>
        <item h="1" m="1" x="6249"/>
        <item h="1" m="1" x="4432"/>
        <item h="1" m="1" x="6096"/>
        <item h="1" m="1" x="6250"/>
        <item h="1" m="1" x="6166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5980"/>
        <item h="1" m="1" x="5979"/>
        <item h="1" m="1" x="6258"/>
        <item h="1" m="1" x="6259"/>
        <item h="1" m="1" x="5569"/>
        <item h="1" m="1" x="6260"/>
        <item h="1" m="1" x="6261"/>
        <item h="1" m="1" x="6262"/>
        <item h="1" m="1" x="6100"/>
        <item h="1" m="1" x="5721"/>
        <item h="1" m="1" x="1561"/>
        <item h="1" m="1" x="6263"/>
        <item h="1" m="1" x="6264"/>
        <item h="1" m="1" x="6265"/>
        <item h="1" m="1" x="5437"/>
        <item h="1" m="1" x="6267"/>
        <item h="1" m="1" x="6268"/>
        <item h="1" m="1" x="6269"/>
        <item h="1" m="1" x="6270"/>
        <item h="1" m="1" x="6010"/>
        <item h="1" m="1" x="6009"/>
        <item h="1" m="1" x="5739"/>
        <item h="1" m="1" x="6278"/>
        <item h="1" m="1" x="6279"/>
        <item h="1" m="1" x="6281"/>
        <item h="1" m="1" x="5346"/>
        <item h="1" m="1" x="6282"/>
        <item h="1" m="1" x="6283"/>
        <item h="1" m="1" x="6284"/>
        <item h="1" m="1" x="6025"/>
        <item h="1" m="1" x="6024"/>
        <item h="1" m="1" x="6029"/>
        <item h="1" m="1" x="6105"/>
        <item h="1" m="1" x="6107"/>
        <item h="1" m="1" x="4938"/>
        <item h="1" m="1" x="6108"/>
        <item h="1" m="1" x="5806"/>
        <item h="1" m="1" x="5807"/>
        <item h="1" m="1" x="5808"/>
        <item h="1" m="1" x="5811"/>
        <item h="1" m="1" x="6111"/>
        <item h="1" m="1" x="6051"/>
        <item h="1" m="1" x="6052"/>
        <item h="1" m="1" x="6112"/>
        <item h="1" m="1" x="6113"/>
        <item h="1" m="1" x="6115"/>
        <item h="1" m="1" x="6116"/>
        <item h="1" m="1" x="6117"/>
        <item h="1" m="1" x="6118"/>
        <item h="1" m="1" x="6119"/>
        <item h="1" m="1" x="6120"/>
        <item h="1" m="1" x="6058"/>
        <item h="1" m="1" x="6063"/>
        <item h="1" m="1" x="6123"/>
        <item h="1" m="1" x="6124"/>
        <item h="1" m="1" x="6125"/>
        <item h="1" m="1" x="6126"/>
        <item h="1" m="1" x="6127"/>
        <item h="1" m="1" x="6129"/>
        <item h="1" m="1" x="6133"/>
        <item h="1" m="1" x="5438"/>
        <item h="1" m="1" x="6136"/>
        <item h="1" m="1" x="6138"/>
        <item h="1" m="1" x="5868"/>
        <item h="1" m="1" x="5869"/>
        <item h="1" m="1" x="6142"/>
        <item h="1" m="1" x="5356"/>
        <item h="1" m="1" x="6077"/>
        <item h="1" m="1" x="5358"/>
        <item h="1" m="1" x="4616"/>
        <item h="1" m="1" x="6146"/>
        <item h="1" m="1" x="4849"/>
        <item h="1" m="1" x="6147"/>
        <item h="1" m="1" x="6148"/>
        <item h="1" m="1" x="4079"/>
        <item h="1" m="1" x="6085"/>
        <item h="1" m="1" x="6150"/>
        <item h="1" m="1" x="5695"/>
        <item h="1" m="1" x="6155"/>
        <item h="1" m="1" x="6156"/>
        <item h="1" m="1" x="5573"/>
        <item h="1" m="1" x="5574"/>
        <item h="1" m="1" x="5201"/>
        <item h="1" m="1" x="2217"/>
        <item h="1" m="1" x="6157"/>
        <item h="1" m="1" x="5196"/>
        <item h="1" m="1" x="4865"/>
        <item h="1" m="1" x="5202"/>
        <item h="1" m="1" x="5943"/>
        <item h="1" m="1" x="5944"/>
        <item h="1" m="1" x="5945"/>
        <item h="1" m="1" x="6159"/>
        <item h="1" m="1" x="6160"/>
        <item h="1" m="1" x="6161"/>
        <item h="1" m="1" x="6162"/>
        <item h="1" x="207"/>
        <item h="1" m="1" x="6094"/>
        <item h="1" m="1" x="5970"/>
        <item h="1" m="1" x="6167"/>
        <item h="1" m="1" x="5191"/>
        <item h="1" m="1" x="6172"/>
        <item h="1" m="1" x="6173"/>
        <item h="1" m="1" x="5974"/>
        <item h="1" m="1" x="6177"/>
        <item h="1" m="1" x="5106"/>
        <item h="1" m="1" x="6181"/>
        <item h="1" m="1" x="6182"/>
        <item h="1" m="1" x="6183"/>
        <item h="1" m="1" x="6184"/>
        <item h="1" m="1" x="5344"/>
        <item h="1" m="1" x="6013"/>
        <item h="1" m="1" x="6019"/>
        <item h="1" m="1" x="6021"/>
        <item h="1" m="1" x="6037"/>
        <item h="1" m="1" x="6038"/>
        <item h="1" m="1" x="6039"/>
        <item h="1" m="1" x="6040"/>
        <item h="1" m="1" x="6046"/>
        <item h="1" m="1" x="3953"/>
        <item h="1" m="1" x="3954"/>
        <item h="1" m="1" x="5801"/>
        <item h="1" m="1" x="6048"/>
        <item h="1" m="1" x="5648"/>
        <item h="1" m="1" x="6050"/>
        <item h="1" m="1" x="6053"/>
        <item h="1" m="1" x="6054"/>
        <item h="1" m="1" x="5195"/>
        <item h="1" m="1" x="5656"/>
        <item h="1" m="1" x="5825"/>
        <item h="1" m="1" x="5826"/>
        <item h="1" m="1" x="5659"/>
        <item h="1" m="1" x="5829"/>
        <item h="1" m="1" x="5841"/>
        <item h="1" m="1" x="6061"/>
        <item h="1" m="1" x="6062"/>
        <item h="1" m="1" x="5844"/>
        <item h="1" m="1" x="4617"/>
        <item h="1" m="1" x="5357"/>
        <item h="1" m="1" x="5350"/>
        <item h="1" m="1" x="5351"/>
        <item h="1" m="1" x="4529"/>
        <item h="1" m="1" x="5662"/>
        <item h="1" m="1" x="5860"/>
        <item h="1" m="1" x="5859"/>
        <item h="1" m="1" x="5670"/>
        <item h="1" m="1" x="5354"/>
        <item h="1" m="1" x="4135"/>
        <item h="1" m="1" x="5675"/>
        <item h="1" m="1" x="2292"/>
        <item h="1" m="1" x="5865"/>
        <item h="1" m="1" x="5576"/>
        <item h="1" m="1" x="5886"/>
        <item h="1" m="1" x="5885"/>
        <item h="1" m="1" x="6075"/>
        <item h="1" m="1" x="6076"/>
        <item h="1" m="1" x="6078"/>
        <item h="1" m="1" x="6079"/>
        <item h="1" m="1" x="6080"/>
        <item h="1" m="1" x="5352"/>
        <item h="1" m="1" x="5685"/>
        <item h="1" m="1" x="5914"/>
        <item h="1" m="1" x="6083"/>
        <item h="1" m="1" x="5915"/>
        <item h="1" m="1" x="5919"/>
        <item h="1" m="1" x="6084"/>
        <item h="1" m="1" x="5572"/>
        <item h="1" m="1" x="5439"/>
        <item h="1" m="1" x="2671"/>
        <item h="1" m="1" x="6088"/>
        <item h="1" m="1" x="6090"/>
        <item h="1" m="1" x="5042"/>
        <item h="1" m="1" x="5942"/>
        <item h="1" m="1" x="5940"/>
        <item h="1" m="1" x="5941"/>
        <item h="1" m="1" x="3848"/>
        <item h="1" m="1" x="3847"/>
        <item h="1" m="1" x="5217"/>
        <item h="1" m="1" x="6092"/>
        <item h="1" m="1" x="5965"/>
        <item h="1" m="1" x="2765"/>
        <item h="1" m="1" x="5971"/>
        <item h="1" m="1" x="2417"/>
        <item h="1" m="1" x="5710"/>
        <item h="1" m="1" x="5711"/>
        <item h="1" m="1" x="5712"/>
        <item h="1" m="1" x="5713"/>
        <item h="1" m="1" x="5193"/>
        <item h="1" m="1" x="6097"/>
        <item h="1" m="1" x="4038"/>
        <item h="1" m="1" x="6098"/>
        <item h="1" m="1" x="6099"/>
        <item h="1" m="1" x="5720"/>
        <item h="1" m="1" x="4887"/>
        <item h="1" m="1" x="5724"/>
        <item h="1" m="1" x="5725"/>
        <item h="1" m="1" x="5736"/>
        <item h="1" m="1" x="5737"/>
        <item h="1" m="1" x="5731"/>
        <item h="1" m="1" x="5732"/>
        <item h="1" m="1" x="5733"/>
        <item h="1" m="1" x="5993"/>
        <item h="1" m="1" x="5740"/>
        <item h="1" m="1" x="5741"/>
        <item h="1" m="1" x="5751"/>
        <item h="1" m="1" x="5752"/>
        <item h="1" m="1" x="5440"/>
        <item h="1" m="1" x="5441"/>
        <item h="1" m="1" x="6016"/>
        <item h="1" m="1" x="5192"/>
        <item h="1" m="1" x="5757"/>
        <item h="1" m="1" x="5758"/>
        <item h="1" m="1" x="5643"/>
        <item h="1" m="1" x="5644"/>
        <item h="1" m="1" x="1761"/>
        <item h="1" m="1" x="1781"/>
        <item h="1" m="1" x="1414"/>
        <item h="1" m="1" x="5810"/>
        <item h="1" m="1" x="5206"/>
        <item h="1" m="1" x="5817"/>
        <item h="1" m="1" x="5818"/>
        <item h="1" m="1" x="5820"/>
        <item h="1" m="1" x="2323"/>
        <item h="1" m="1" x="5657"/>
        <item h="1" m="1" x="5658"/>
        <item h="1" m="1" x="5049"/>
        <item h="1" m="1" x="5660"/>
        <item h="1" m="1" x="5836"/>
        <item h="1" m="1" x="5837"/>
        <item h="1" m="1" x="5840"/>
        <item h="1" m="1" x="5845"/>
        <item h="1" m="1" x="5846"/>
        <item h="1" m="1" x="5847"/>
        <item h="1" m="1" x="5848"/>
        <item h="1" m="1" x="5849"/>
        <item h="1" m="1" x="5207"/>
        <item h="1" m="1" x="5667"/>
        <item h="1" m="1" x="5668"/>
        <item h="1" m="1" x="5856"/>
        <item h="1" m="1" x="5861"/>
        <item h="1" m="1" x="4709"/>
        <item h="1" m="1" x="5674"/>
        <item h="1" m="1" x="5867"/>
        <item h="1" m="1" x="5875"/>
        <item h="1" m="1" x="5884"/>
        <item h="1" m="1" x="5129"/>
        <item h="1" m="1" x="5903"/>
        <item h="1" m="1" x="5682"/>
        <item h="1" m="1" x="5360"/>
        <item h="1" m="1" x="5911"/>
        <item h="1" m="1" x="5205"/>
        <item h="1" m="1" x="5912"/>
        <item h="1" m="1" x="5913"/>
        <item h="1" m="1" x="4826"/>
        <item h="1" m="1" x="5916"/>
        <item h="1" m="1" x="5917"/>
        <item h="1" m="1" x="5655"/>
        <item h="1" m="1" x="899"/>
        <item h="1" m="1" x="3662"/>
        <item h="1" m="1" x="5577"/>
        <item h="1" m="1" x="5928"/>
        <item h="1" m="1" x="5929"/>
        <item h="1" m="1" x="5442"/>
        <item h="1" m="1" x="5689"/>
        <item h="1" m="1" x="5931"/>
        <item h="1" m="1" x="5691"/>
        <item h="1" m="1" x="5692"/>
        <item h="1" m="1" x="5693"/>
        <item h="1" m="1" x="5697"/>
        <item h="1" m="1" x="5208"/>
        <item h="1" m="1" x="5938"/>
        <item h="1" m="1" x="5939"/>
        <item h="1" m="1" x="5959"/>
        <item h="1" m="1" x="5960"/>
        <item h="1" m="1" x="4326"/>
        <item h="1" m="1" x="5704"/>
        <item h="1" m="1" x="5708"/>
        <item h="1" m="1" x="5709"/>
        <item h="1" m="1" x="5581"/>
        <item h="1" m="1" x="5976"/>
        <item h="1" m="1" x="5718"/>
        <item h="1" m="1" x="5719"/>
        <item h="1" m="1" x="5981"/>
        <item h="1" m="1" x="5443"/>
        <item h="1" m="1" x="5722"/>
        <item h="1" m="1" x="5989"/>
        <item h="1" m="1" x="5727"/>
        <item h="1" m="1" x="5728"/>
        <item h="1" m="1" x="5729"/>
        <item h="1" m="1" x="5730"/>
        <item h="1" m="1" x="796"/>
        <item h="1" m="1" x="6005"/>
        <item h="1" m="1" x="6006"/>
        <item h="1" m="1" x="5748"/>
        <item h="1" m="1" x="5749"/>
        <item h="1" m="1" x="5742"/>
        <item h="1" m="1" x="5743"/>
        <item h="1" m="1" x="5744"/>
        <item h="1" m="1" x="5745"/>
        <item h="1" m="1" x="5746"/>
        <item h="1" m="1" x="5747"/>
        <item h="1" m="1" x="6015"/>
        <item h="1" m="1" x="6017"/>
        <item h="1" m="1" x="6018"/>
        <item h="1" m="1" x="6035"/>
        <item h="1" m="1" x="5209"/>
        <item h="1" m="1" x="3536"/>
        <item h="1" m="1" x="5145"/>
        <item h="1" m="1" x="5447"/>
        <item h="1" m="1" x="5226"/>
        <item h="1" m="1" x="5227"/>
        <item h="1" m="1" x="5649"/>
        <item h="1" m="1" x="5652"/>
        <item h="1" m="1" x="5653"/>
        <item h="1" m="1" x="5654"/>
        <item h="1" m="1" x="566"/>
        <item h="1" m="1" x="2646"/>
        <item h="1" m="1" x="3144"/>
        <item h="1" m="1" x="5583"/>
        <item h="1" m="1" x="5582"/>
        <item h="1" m="1" x="5591"/>
        <item h="1" m="1" x="5587"/>
        <item h="1" m="1" x="5661"/>
        <item h="1" m="1" x="5663"/>
        <item h="1" m="1" x="5664"/>
        <item h="1" m="1" x="5665"/>
        <item h="1" m="1" x="5666"/>
        <item h="1" m="1" x="4934"/>
        <item h="1" m="1" x="5673"/>
        <item h="1" m="1" x="3974"/>
        <item h="1" m="1" x="5448"/>
        <item h="1" m="1" x="5444"/>
        <item h="1" m="1" x="5446"/>
        <item h="1" m="1" x="5216"/>
        <item h="1" m="1" x="5678"/>
        <item h="1" m="1" x="5680"/>
        <item h="1" m="1" x="5210"/>
        <item h="1" m="1" x="5681"/>
        <item h="1" m="1" x="5594"/>
        <item h="1" m="1" x="5359"/>
        <item h="1" m="1" x="5683"/>
        <item h="1" m="1" x="5684"/>
        <item h="1" m="1" x="5687"/>
        <item h="1" m="1" x="5228"/>
        <item h="1" m="1" x="5219"/>
        <item h="1" m="1" x="5578"/>
        <item h="1" m="1" x="5593"/>
        <item h="1" m="1" x="608"/>
        <item h="1" m="1" x="5579"/>
        <item h="1" m="1" x="5688"/>
        <item h="1" m="1" x="5212"/>
        <item h="1" m="1" x="5213"/>
        <item h="1" m="1" x="5214"/>
        <item h="1" m="1" x="5590"/>
        <item h="1" m="1" x="5223"/>
        <item h="1" m="1" x="5224"/>
        <item h="1" m="1" x="5588"/>
        <item h="1" m="1" x="5589"/>
        <item h="1" m="1" x="5696"/>
        <item h="1" m="1" x="5220"/>
        <item h="1" m="1" x="5221"/>
        <item h="1" m="1" x="2403"/>
        <item h="1" m="1" x="5585"/>
        <item h="1" m="1" x="5066"/>
        <item h="1" m="1" x="5067"/>
        <item h="1" m="1" x="5698"/>
        <item h="1" m="1" x="5699"/>
        <item h="1" m="1" x="5215"/>
        <item h="1" m="1" x="5700"/>
        <item h="1" m="1" x="5702"/>
        <item h="1" m="1" x="5592"/>
        <item h="1" m="1" x="5703"/>
        <item h="1" m="1" x="2004"/>
        <item h="1" m="1" x="5706"/>
        <item h="1" m="1" x="5707"/>
        <item h="1" m="1" x="5714"/>
        <item h="1" m="1" x="5715"/>
        <item h="1" m="1" x="4467"/>
        <item h="1" m="1" x="5716"/>
        <item h="1" m="1" x="4956"/>
        <item h="1" m="1" x="2687"/>
        <item h="1" m="1" x="5449"/>
        <item h="1" m="1" x="5597"/>
        <item h="1" m="1" x="5723"/>
        <item h="1" m="1" x="5726"/>
        <item h="1" m="1" x="5734"/>
        <item h="1" m="1" x="5735"/>
        <item h="1" m="1" x="5229"/>
        <item h="1" m="1" x="5738"/>
        <item h="1" m="1" x="5211"/>
        <item h="1" m="1" x="5584"/>
        <item h="1" m="1" x="5753"/>
        <item h="1" m="1" x="5754"/>
        <item h="1" m="1" x="4232"/>
        <item h="1" m="1" x="4839"/>
        <item h="1" m="1" x="5596"/>
        <item h="1" m="1" x="4837"/>
        <item h="1" m="1" x="4840"/>
        <item h="1" m="1" x="5451"/>
        <item h="1" m="1" x="4978"/>
        <item h="1" m="1" x="5245"/>
        <item h="1" m="1" x="5598"/>
        <item h="1" m="1" x="5246"/>
        <item h="1" m="1" x="5599"/>
        <item h="1" m="1" x="5600"/>
        <item h="1" m="1" x="5247"/>
        <item h="1" m="1" x="5601"/>
        <item h="1" m="1" x="5454"/>
        <item h="1" m="1" x="5455"/>
        <item h="1" m="1" x="5086"/>
        <item h="1" m="1" x="5000"/>
        <item h="1" m="1" x="5602"/>
        <item h="1" m="1" x="5603"/>
        <item h="1" m="1" x="5456"/>
        <item h="1" m="1" x="2773"/>
        <item h="1" m="1" x="2779"/>
        <item h="1" m="1" x="4245"/>
        <item h="1" m="1" x="4125"/>
        <item h="1" m="1" x="5231"/>
        <item h="1" m="1" x="3137"/>
        <item h="1" m="1" x="5604"/>
        <item h="1" m="1" x="5457"/>
        <item h="1" m="1" x="5458"/>
        <item h="1" m="1" x="5232"/>
        <item h="1" m="1" x="5450"/>
        <item h="1" m="1" x="5606"/>
        <item h="1" x="270"/>
        <item h="1" m="1" x="5364"/>
        <item h="1" m="1" x="5365"/>
        <item h="1" m="1" x="5234"/>
        <item h="1" m="1" x="5361"/>
        <item h="1" m="1" x="5362"/>
        <item h="1" m="1" x="5222"/>
        <item h="1" m="1" x="5463"/>
        <item h="1" m="1" x="5464"/>
        <item h="1" m="1" x="5452"/>
        <item h="1" m="1" x="5235"/>
        <item h="1" m="1" x="5236"/>
        <item h="1" m="1" x="5237"/>
        <item h="1" m="1" x="5366"/>
        <item h="1" m="1" x="5453"/>
        <item h="1" m="1" x="5608"/>
        <item h="1" m="1" x="5465"/>
        <item h="1" m="1" x="5238"/>
        <item h="1" m="1" x="5239"/>
        <item h="1" m="1" x="5367"/>
        <item h="1" m="1" x="5610"/>
        <item h="1" m="1" x="5368"/>
        <item h="1" m="1" x="5468"/>
        <item h="1" m="1" x="4957"/>
        <item h="1" m="1" x="5611"/>
        <item h="1" m="1" x="5612"/>
        <item h="1" m="1" x="5613"/>
        <item h="1" m="1" x="5371"/>
        <item h="1" m="1" x="5614"/>
        <item h="1" m="1" x="5469"/>
        <item h="1" m="1" x="5615"/>
        <item h="1" m="1" x="5470"/>
        <item h="1" m="1" x="5616"/>
        <item h="1" m="1" x="5617"/>
        <item h="1" m="1" x="5618"/>
        <item h="1" m="1" x="5619"/>
        <item h="1" m="1" x="5471"/>
        <item h="1" m="1" x="5620"/>
        <item h="1" m="1" x="5241"/>
        <item h="1" m="1" x="5230"/>
        <item h="1" m="1" x="5621"/>
        <item h="1" m="1" x="5622"/>
        <item h="1" m="1" x="5623"/>
        <item h="1" m="1" x="5624"/>
        <item h="1" m="1" x="5625"/>
        <item h="1" m="1" x="5626"/>
        <item h="1" m="1" x="5459"/>
        <item h="1" m="1" x="5627"/>
        <item h="1" m="1" x="5628"/>
        <item h="1" m="1" x="5629"/>
        <item h="1" m="1" x="5473"/>
        <item h="1" m="1" x="5258"/>
        <item h="1" m="1" x="4935"/>
        <item h="1" m="1" x="5461"/>
        <item h="1" m="1" x="5631"/>
        <item h="1" m="1" x="5462"/>
        <item h="1" m="1" x="5632"/>
        <item h="1" m="1" x="5474"/>
        <item h="1" m="1" x="5475"/>
        <item h="1" m="1" x="5052"/>
        <item h="1" m="1" x="5248"/>
        <item h="1" m="1" x="5633"/>
        <item h="1" m="1" x="5634"/>
        <item h="1" m="1" x="3904"/>
        <item h="1" m="1" x="4930"/>
        <item h="1" m="1" x="5369"/>
        <item h="1" m="1" x="4931"/>
        <item h="1" m="1" x="5370"/>
        <item h="1" m="1" x="5466"/>
        <item h="1" m="1" x="5635"/>
        <item h="1" m="1" x="5477"/>
        <item h="1" m="1" x="5478"/>
        <item h="1" m="1" x="4875"/>
        <item h="1" m="1" x="5467"/>
        <item h="1" m="1" x="5637"/>
        <item h="1" m="1" x="5480"/>
        <item h="1" m="1" x="4899"/>
        <item h="1" m="1" x="5639"/>
        <item h="1" m="1" x="5481"/>
        <item h="1" m="1" x="5640"/>
        <item h="1" m="1" x="5259"/>
        <item h="1" m="1" x="5641"/>
        <item h="1" m="1" x="5482"/>
        <item h="1" m="1" x="5149"/>
        <item h="1" m="1" x="5152"/>
        <item h="1" m="1" x="5363"/>
        <item h="1" m="1" x="5483"/>
        <item h="1" m="1" x="5249"/>
        <item h="1" m="1" x="5484"/>
        <item h="1" m="1" x="2662"/>
        <item h="1" m="1" x="5250"/>
        <item h="1" m="1" x="5485"/>
        <item h="1" m="1" x="5108"/>
        <item h="1" m="1" x="5486"/>
        <item h="1" m="1" x="5487"/>
        <item h="1" m="1" x="5374"/>
        <item h="1" m="1" x="5375"/>
        <item h="1" m="1" x="5376"/>
        <item h="1" m="1" x="5253"/>
        <item h="1" m="1" x="5488"/>
        <item h="1" m="1" x="5489"/>
        <item h="1" m="1" x="5382"/>
        <item h="1" m="1" x="5053"/>
        <item h="1" m="1" x="5490"/>
        <item h="1" m="1" x="5491"/>
        <item h="1" m="1" x="5492"/>
        <item h="1" m="1" x="5493"/>
        <item h="1" m="1" x="5383"/>
        <item h="1" m="1" x="5254"/>
        <item h="1" m="1" x="5494"/>
        <item h="1" m="1" x="5112"/>
        <item h="1" m="1" x="5496"/>
        <item h="1" m="1" x="5497"/>
        <item h="1" m="1" x="4932"/>
        <item h="1" m="1" x="5498"/>
        <item h="1" m="1" x="5499"/>
        <item h="1" m="1" x="5500"/>
        <item h="1" m="1" x="5501"/>
        <item h="1" m="1" x="5062"/>
        <item h="1" m="1" x="1135"/>
        <item h="1" m="1" x="5384"/>
        <item h="1" m="1" x="3767"/>
        <item h="1" m="1" x="5503"/>
        <item h="1" m="1" x="567"/>
        <item h="1" m="1" x="5504"/>
        <item h="1" m="1" x="5505"/>
        <item h="1" m="1" x="5506"/>
        <item h="1" m="1" x="5507"/>
        <item h="1" m="1" x="5508"/>
        <item h="1" m="1" x="5509"/>
        <item h="1" m="1" x="5510"/>
        <item h="1" m="1" x="5511"/>
        <item h="1" m="1" x="5372"/>
        <item h="1" m="1" x="5512"/>
        <item h="1" m="1" x="5513"/>
        <item h="1" m="1" x="5385"/>
        <item h="1" m="1" x="5260"/>
        <item h="1" m="1" x="5386"/>
        <item h="1" m="1" x="5387"/>
        <item h="1" m="1" x="5388"/>
        <item h="1" m="1" x="5515"/>
        <item h="1" m="1" x="5517"/>
        <item h="1" m="1" x="5262"/>
        <item h="1" m="1" x="5373"/>
        <item h="1" m="1" x="5519"/>
        <item h="1" m="1" x="4343"/>
        <item h="1" m="1" x="5033"/>
        <item h="1" m="1" x="5521"/>
        <item h="1" m="1" x="5522"/>
        <item h="1" m="1" x="5524"/>
        <item h="1" m="1" x="344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4612"/>
        <item h="1" m="1" x="5533"/>
        <item h="1" m="1" x="5272"/>
        <item h="1" m="1" x="2182"/>
        <item h="1" m="1" x="5535"/>
        <item h="1" m="1" x="5377"/>
        <item h="1" m="1" x="5379"/>
        <item h="1" m="1" x="5380"/>
        <item h="1" m="1" x="4973"/>
        <item h="1" m="1" x="5381"/>
        <item h="1" m="1" x="4618"/>
        <item h="1" m="1" x="5271"/>
        <item h="1" m="1" x="5252"/>
        <item h="1" m="1" x="5058"/>
        <item h="1" m="1" x="4811"/>
        <item h="1" m="1" x="4996"/>
        <item h="1" m="1" x="4997"/>
        <item h="1" m="1" x="4998"/>
        <item h="1" m="1" x="5273"/>
        <item h="1" m="1" x="5274"/>
        <item h="1" m="1" x="5255"/>
        <item h="1" m="1" x="5256"/>
        <item h="1" m="1" x="5389"/>
        <item h="1" m="1" x="5390"/>
        <item h="1" m="1" x="5391"/>
        <item h="1" m="1" x="5392"/>
        <item h="1" m="1" x="5393"/>
        <item h="1" m="1" x="5257"/>
        <item h="1" m="1" x="5275"/>
        <item h="1" m="1" x="5276"/>
        <item h="1" m="1" x="5048"/>
        <item h="1" m="1" x="5277"/>
        <item h="1" m="1" x="5395"/>
        <item h="1" m="1" x="5396"/>
        <item h="1" m="1" x="5397"/>
        <item h="1" m="1" x="5398"/>
        <item h="1" m="1" x="3618"/>
        <item h="1" m="1" x="5261"/>
        <item h="1" m="1" x="5013"/>
        <item h="1" m="1" x="5399"/>
        <item h="1" m="1" x="5263"/>
        <item h="1" m="1" x="5400"/>
        <item h="1" m="1" x="5121"/>
        <item h="1" m="1" x="5001"/>
        <item h="1" m="1" x="5002"/>
        <item h="1" m="1" x="5264"/>
        <item h="1" m="1" x="5265"/>
        <item h="1" m="1" x="5401"/>
        <item h="1" m="1" x="5402"/>
        <item h="1" m="1" x="5102"/>
        <item h="1" m="1" x="5403"/>
        <item h="1" m="1" x="2312"/>
        <item h="1" m="1" x="1014"/>
        <item h="1" m="1" x="5140"/>
        <item h="1" m="1" x="5404"/>
        <item h="1" m="1" x="5278"/>
        <item h="1" m="1" x="5405"/>
        <item h="1" m="1" x="5406"/>
        <item h="1" m="1" x="5407"/>
        <item h="1" m="1" x="4981"/>
        <item h="1" m="1" x="5087"/>
        <item h="1" m="1" x="5279"/>
        <item h="1" m="1" x="4427"/>
        <item h="1" m="1" x="5267"/>
        <item h="1" m="1" x="4912"/>
        <item h="1" m="1" x="5408"/>
        <item h="1" m="1" x="5409"/>
        <item h="1" m="1" x="5410"/>
        <item h="1" m="1" x="5280"/>
        <item h="1" m="1" x="5411"/>
        <item h="1" m="1" x="5412"/>
        <item h="1" m="1" x="5413"/>
        <item h="1" m="1" x="5414"/>
        <item h="1" m="1" x="5268"/>
        <item h="1" m="1" x="5269"/>
        <item h="1" m="1" x="5270"/>
        <item h="1" m="1" x="5415"/>
        <item h="1" m="1" x="5281"/>
        <item h="1" m="1" x="5117"/>
        <item h="1" m="1" x="5282"/>
        <item h="1" m="1" x="5416"/>
        <item h="1" m="1" x="5009"/>
        <item h="1" m="1" x="5418"/>
        <item h="1" m="1" x="5131"/>
        <item h="1" m="1" x="5132"/>
        <item h="1" m="1" x="5133"/>
        <item h="1" m="1" x="4388"/>
        <item h="1" m="1" x="5147"/>
        <item h="1" m="1" x="5150"/>
        <item h="1" m="1" x="5151"/>
        <item h="1" m="1" x="5233"/>
        <item h="1" m="1" x="5283"/>
        <item h="1" m="1" x="5284"/>
        <item h="1" m="1" x="5285"/>
        <item h="1" m="1" x="5286"/>
        <item h="1" m="1" x="5054"/>
        <item h="1" m="1" x="4619"/>
        <item h="1" m="1" x="5057"/>
        <item h="1" m="1" x="2667"/>
        <item h="1" m="1" x="5287"/>
        <item h="1" m="1" x="5288"/>
        <item h="1" m="1" x="5289"/>
        <item h="1" m="1" x="5290"/>
        <item h="1" m="1" x="5113"/>
        <item h="1" m="1" x="5081"/>
        <item h="1" m="1" x="5291"/>
        <item h="1" m="1" x="571"/>
        <item h="1" m="1" x="5292"/>
        <item h="1" m="1" x="5088"/>
        <item h="1" m="1" x="4620"/>
        <item h="1" m="1" x="5293"/>
        <item h="1" m="1" x="5294"/>
        <item h="1" m="1" x="5295"/>
        <item h="1" m="1" x="5296"/>
        <item h="1" m="1" x="4999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118"/>
        <item h="1" m="1" x="5119"/>
        <item h="1" m="1" x="4750"/>
        <item h="1" m="1" x="5312"/>
        <item h="1" m="1" x="5313"/>
        <item h="1" m="1" x="5314"/>
        <item h="1" m="1" x="5315"/>
        <item h="1" m="1" x="4914"/>
        <item h="1" m="1" x="5141"/>
        <item h="1" m="1" x="5316"/>
        <item h="1" m="1" x="5317"/>
        <item h="1" m="1" x="5101"/>
        <item h="1" m="1" x="5319"/>
        <item h="1" m="1" x="4858"/>
        <item h="1" m="1" x="5320"/>
        <item h="1" m="1" x="5321"/>
        <item h="1" m="1" x="5134"/>
        <item h="1" m="1" x="5135"/>
        <item h="1" m="1" x="5136"/>
        <item h="1" m="1" x="5137"/>
        <item h="1" m="1" x="5138"/>
        <item h="1" m="1" x="5139"/>
        <item h="1" m="1" x="5041"/>
        <item h="1" m="1" x="5085"/>
        <item h="1" m="1" x="5069"/>
        <item h="1" m="1" x="5322"/>
        <item h="1" m="1" x="5323"/>
        <item h="1" m="1" x="5324"/>
        <item h="1" m="1" x="4530"/>
        <item h="1" m="1" x="4539"/>
        <item h="1" m="1" x="4531"/>
        <item h="1" m="1" x="5325"/>
        <item h="1" m="1" x="5326"/>
        <item h="1" m="1" x="5327"/>
        <item h="1" m="1" x="4929"/>
        <item h="1" m="1" x="5328"/>
        <item h="1" m="1" x="5329"/>
        <item h="1" m="1" x="5330"/>
        <item h="1" m="1" x="5331"/>
        <item h="1" m="1" x="5073"/>
        <item h="1" m="1" x="5044"/>
        <item h="1" m="1" x="5332"/>
        <item h="1" m="1" x="5333"/>
        <item h="1" m="1" x="5043"/>
        <item h="1" m="1" x="5334"/>
        <item h="1" m="1" x="5335"/>
        <item h="1" m="1" x="5336"/>
        <item h="1" m="1" x="5337"/>
        <item h="1" m="1" x="5338"/>
        <item h="1" m="1" x="5030"/>
        <item h="1" m="1" x="5031"/>
        <item h="1" m="1" x="5032"/>
        <item h="1" m="1" x="2778"/>
        <item h="1" m="1" x="5036"/>
        <item h="1" m="1" x="3028"/>
        <item h="1" m="1" x="4707"/>
        <item h="1" m="1" x="4631"/>
        <item h="1" m="1" x="3518"/>
        <item h="1" m="1" x="5038"/>
        <item h="1" m="1" x="5039"/>
        <item h="1" m="1" x="5040"/>
        <item h="1" m="1" x="5075"/>
        <item h="1" m="1" x="5339"/>
        <item h="1" m="1" x="5340"/>
        <item h="1" m="1" x="5006"/>
        <item h="1" m="1" x="3938"/>
        <item h="1" m="1" x="5128"/>
        <item h="1" m="1" x="4982"/>
        <item h="1" m="1" x="4908"/>
        <item h="1" m="1" x="4984"/>
        <item h="1" m="1" x="4985"/>
        <item h="1" m="1" x="4986"/>
        <item h="1" m="1" x="4987"/>
        <item h="1" m="1" x="4728"/>
        <item h="1" m="1" x="4988"/>
        <item h="1" m="1" x="4990"/>
        <item h="1" m="1" x="4991"/>
        <item h="1" m="1" x="4992"/>
        <item h="1" m="1" x="4993"/>
        <item h="1" m="1" x="4994"/>
        <item h="1" m="1" x="4995"/>
        <item h="1" m="1" x="4532"/>
        <item h="1" m="1" x="4622"/>
        <item h="1" m="1" x="1298"/>
        <item h="1" m="1" x="5003"/>
        <item h="1" m="1" x="4611"/>
        <item h="1" m="1" x="5004"/>
        <item h="1" m="1" x="5005"/>
        <item h="1" m="1" x="4812"/>
        <item h="1" m="1" x="5007"/>
        <item h="1" m="1" x="5008"/>
        <item h="1" m="1" x="5010"/>
        <item h="1" m="1" x="5012"/>
        <item h="1" m="1" x="5011"/>
        <item h="1" m="1" x="5014"/>
        <item h="1" m="1" x="5018"/>
        <item h="1" m="1" x="5017"/>
        <item h="1" m="1" x="5015"/>
        <item h="1" m="1" x="5016"/>
        <item h="1" m="1" x="4066"/>
        <item h="1" m="1" x="5019"/>
        <item h="1" m="1" x="5020"/>
        <item h="1" m="1" x="5022"/>
        <item h="1" m="1" x="4137"/>
        <item h="1" m="1" x="4632"/>
        <item h="1" m="1" x="5023"/>
        <item h="1" m="1" x="5024"/>
        <item h="1" m="1" x="5027"/>
        <item h="1" m="1" x="5026"/>
        <item h="1" m="1" x="2913"/>
        <item h="1" m="1" x="4537"/>
        <item h="1" m="1" x="5045"/>
        <item h="1" m="1" x="3703"/>
        <item h="1" m="1" x="4937"/>
        <item h="1" m="1" x="4945"/>
        <item h="1" m="1" x="5046"/>
        <item h="1" m="1" x="5047"/>
        <item h="1" m="1" x="5051"/>
        <item h="1" m="1" x="4948"/>
        <item h="1" m="1" x="4754"/>
        <item h="1" m="1" x="4197"/>
        <item h="1" m="1" x="4621"/>
        <item h="1" m="1" x="2299"/>
        <item h="1" m="1" x="4759"/>
        <item h="1" m="1" x="5060"/>
        <item h="1" m="1" x="5072"/>
        <item h="1" m="1" x="5071"/>
        <item h="1" m="1" x="5074"/>
        <item h="1" m="1" x="5076"/>
        <item h="1" m="1" x="5077"/>
        <item h="1" m="1" x="5078"/>
        <item h="1" m="1" x="4954"/>
        <item h="1" m="1" x="4955"/>
        <item h="1" m="1" x="4953"/>
        <item h="1" m="1" x="5079"/>
        <item h="1" m="1" x="5080"/>
        <item h="1" m="1" x="5084"/>
        <item h="1" m="1" x="4960"/>
        <item h="1" m="1" x="2579"/>
        <item h="1" m="1" x="4966"/>
        <item h="1" m="1" x="5089"/>
        <item h="1" m="1" x="5090"/>
        <item h="1" m="1" x="5091"/>
        <item h="1" m="1" x="5092"/>
        <item h="1" m="1" x="5096"/>
        <item h="1" m="1" x="4974"/>
        <item h="1" m="1" x="5095"/>
        <item h="1" m="1" x="5093"/>
        <item h="1" m="1" x="5094"/>
        <item h="1" m="1" x="5097"/>
        <item h="1" m="1" x="5099"/>
        <item h="1" m="1" x="5100"/>
        <item h="1" m="1" x="5098"/>
        <item h="1" x="14"/>
        <item h="1" m="1" x="5103"/>
        <item h="1" m="1" x="5104"/>
        <item h="1" m="1" x="5105"/>
        <item h="1" m="1" x="4975"/>
        <item h="1" m="1" x="4976"/>
        <item h="1" m="1" x="4883"/>
        <item h="1" m="1" x="5110"/>
        <item h="1" m="1" x="4853"/>
        <item h="1" m="1" x="5111"/>
        <item h="1" m="1" x="4623"/>
        <item h="1" m="1" x="5114"/>
        <item h="1" m="1" x="5115"/>
        <item h="1" m="1" x="1522"/>
        <item h="1" m="1" x="5120"/>
        <item h="1" m="1" x="5116"/>
        <item h="1" m="1" x="5130"/>
        <item h="1" m="1" x="5124"/>
        <item h="1" m="1" x="5125"/>
        <item h="1" m="1" x="5126"/>
        <item h="1" m="1" x="5127"/>
        <item h="1" m="1" x="4902"/>
        <item h="1" m="1" x="4903"/>
        <item h="1" m="1" x="4904"/>
        <item h="1" m="1" x="4907"/>
        <item h="1" m="1" x="4909"/>
        <item h="1" m="1" x="4910"/>
        <item h="1" m="1" x="4913"/>
        <item h="1" m="1" x="4797"/>
        <item h="1" m="1" x="4916"/>
        <item h="1" m="1" x="4917"/>
        <item h="1" m="1" x="4918"/>
        <item h="1" m="1" x="4919"/>
        <item h="1" m="1" x="4920"/>
        <item h="1" m="1" x="4921"/>
        <item h="1" m="1" x="4922"/>
        <item h="1" m="1" x="4923"/>
        <item h="1" m="1" x="4924"/>
        <item h="1" m="1" x="4925"/>
        <item h="1" m="1" x="4431"/>
        <item h="1" m="1" x="4927"/>
        <item h="1" m="1" x="4844"/>
        <item h="1" m="1" x="4817"/>
        <item h="1" m="1" x="4816"/>
        <item h="1" m="1" x="4928"/>
        <item h="1" m="1" x="4430"/>
        <item h="1" m="1" x="4830"/>
        <item h="1" m="1" x="4835"/>
        <item h="1" m="1" x="4936"/>
        <item h="1" m="1" x="4939"/>
        <item h="1" m="1" x="4436"/>
        <item h="1" m="1" x="4940"/>
        <item h="1" m="1" x="4941"/>
        <item h="1" m="1" x="4942"/>
        <item h="1" m="1" x="4943"/>
        <item h="1" m="1" x="4944"/>
        <item h="1" m="1" x="4434"/>
        <item h="1" m="1" x="4423"/>
        <item h="1" m="1" x="4946"/>
        <item h="1" m="1" x="4947"/>
        <item h="1" m="1" x="4846"/>
        <item h="1" m="1" x="4230"/>
        <item h="1" m="1" x="4324"/>
        <item h="1" m="1" x="4949"/>
        <item h="1" m="1" x="4196"/>
        <item h="1" m="1" x="4540"/>
        <item h="1" m="1" x="4845"/>
        <item h="1" m="1" x="4624"/>
        <item h="1" m="1" x="4534"/>
        <item h="1" m="1" x="4950"/>
        <item h="1" m="1" x="4852"/>
        <item h="1" m="1" x="3577"/>
        <item h="1" m="1" x="4428"/>
        <item h="1" m="1" x="4959"/>
        <item h="1" m="1" x="4961"/>
        <item h="1" m="1" x="4962"/>
        <item h="1" m="1" x="4963"/>
        <item h="1" m="1" x="4964"/>
        <item h="1" m="1" x="4965"/>
        <item h="1" m="1" x="4538"/>
        <item h="1" m="1" x="4533"/>
        <item h="1" m="1" x="4553"/>
        <item h="1" m="1" x="4968"/>
        <item h="1" m="1" x="472"/>
        <item h="1" m="1" x="4969"/>
        <item h="1" m="1" x="4970"/>
        <item h="1" m="1" x="4971"/>
        <item h="1" m="1" x="4972"/>
        <item h="1" m="1" x="4769"/>
        <item h="1" m="1" x="4156"/>
        <item h="1" m="1" x="4770"/>
        <item h="1" m="1" x="3667"/>
        <item h="1" m="1" x="4327"/>
        <item h="1" m="1" x="3051"/>
        <item h="1" m="1" x="4885"/>
        <item h="1" m="1" x="4889"/>
        <item h="1" m="1" x="4894"/>
        <item h="1" m="1" x="4895"/>
        <item h="1" m="1" x="4892"/>
        <item h="1" m="1" x="4980"/>
        <item h="1" m="1" x="4900"/>
        <item h="1" m="1" x="4780"/>
        <item h="1" m="1" x="4781"/>
        <item h="1" m="1" x="4782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1669"/>
        <item h="1" m="1" x="4793"/>
        <item h="1" m="1" x="4700"/>
        <item h="1" m="1" x="4794"/>
        <item h="1" m="1" x="4795"/>
        <item h="1" m="1" x="3769"/>
        <item h="1" m="1" x="4796"/>
        <item h="1" m="1" x="4626"/>
        <item h="1" m="1" x="4727"/>
        <item h="1" m="1" x="4799"/>
        <item h="1" m="1" x="4800"/>
        <item h="1" m="1" x="4802"/>
        <item h="1" m="1" x="4803"/>
        <item h="1" m="1" x="4446"/>
        <item h="1" m="1" x="4732"/>
        <item h="1" m="1" x="4731"/>
        <item h="1" m="1" x="4804"/>
        <item h="1" m="1" x="3184"/>
        <item h="1" m="1" x="4737"/>
        <item h="1" m="1" x="4805"/>
        <item h="1" m="1" x="4806"/>
        <item h="1" m="1" x="4807"/>
        <item h="1" m="1" x="4808"/>
        <item h="1" m="1" x="4809"/>
        <item h="1" m="1" x="4421"/>
        <item h="1" m="1" x="3240"/>
        <item h="1" m="1" x="4818"/>
        <item h="1" m="1" x="4819"/>
        <item h="1" m="1" x="4820"/>
        <item h="1" m="1" x="4821"/>
        <item h="1" m="1" x="4823"/>
        <item h="1" m="1" x="4824"/>
        <item h="1" m="1" x="4825"/>
        <item h="1" m="1" x="4827"/>
        <item h="1" m="1" x="4828"/>
        <item h="1" m="1" x="4829"/>
        <item h="1" m="1" x="4833"/>
        <item h="1" m="1" x="4630"/>
        <item h="1" m="1" x="4834"/>
        <item h="1" m="1" x="4836"/>
        <item h="1" m="1" x="4625"/>
        <item h="1" m="1" x="4838"/>
        <item h="1" m="1" x="4841"/>
        <item h="1" m="1" x="4842"/>
        <item h="1" m="1" x="4843"/>
        <item h="1" m="1" x="3113"/>
        <item h="1" m="1" x="4149"/>
        <item h="1" m="1" x="4150"/>
        <item h="1" m="1" x="2804"/>
        <item h="1" m="1" x="4758"/>
        <item h="1" m="1" x="4847"/>
        <item h="1" m="1" x="1899"/>
        <item h="1" m="1" x="4848"/>
        <item h="1" m="1" x="4760"/>
        <item h="1" m="1" x="4851"/>
        <item h="1" m="1" x="4594"/>
        <item h="1" m="1" x="4854"/>
        <item h="1" m="1" x="4856"/>
        <item h="1" m="1" x="4857"/>
        <item h="1" m="1" x="4764"/>
        <item h="1" m="1" x="4860"/>
        <item h="1" m="1" x="4861"/>
        <item h="1" m="1" x="4771"/>
        <item h="1" m="1" x="4866"/>
        <item h="1" m="1" x="4867"/>
        <item h="1" m="1" x="4544"/>
        <item h="1" m="1" x="4868"/>
        <item h="1" m="1" x="4252"/>
        <item h="1" m="1" x="4450"/>
        <item h="1" m="1" x="4451"/>
        <item h="1" m="1" x="4766"/>
        <item h="1" m="1" x="4870"/>
        <item h="1" m="1" x="4871"/>
        <item h="1" m="1" x="4429"/>
        <item h="1" m="1" x="4873"/>
        <item h="1" m="1" x="4874"/>
        <item h="1" m="1" x="4876"/>
        <item h="1" m="1" x="621"/>
        <item h="1" m="1" x="4880"/>
        <item h="1" m="1" x="4881"/>
        <item h="1" m="1" x="4882"/>
        <item h="1" m="1" x="4890"/>
        <item h="1" m="1" x="4891"/>
        <item h="1" m="1" x="4897"/>
        <item h="1" m="1" x="4898"/>
        <item h="1" m="1" x="4325"/>
        <item h="1" m="1" x="3223"/>
        <item h="1" m="1" x="3608"/>
        <item h="1" m="1" x="4097"/>
        <item h="1" m="1" x="4549"/>
        <item h="1" m="1" x="4715"/>
        <item h="1" m="1" x="4716"/>
        <item h="1" m="1" x="4636"/>
        <item h="1" m="1" x="4637"/>
        <item h="1" m="1" x="4718"/>
        <item h="1" m="1" x="4719"/>
        <item h="1" m="1" x="4720"/>
        <item h="1" m="1" x="4721"/>
        <item h="1" m="1" x="4722"/>
        <item h="1" m="1" x="4723"/>
        <item h="1" m="1" x="4724"/>
        <item h="1" m="1" x="4725"/>
        <item h="1" m="1" x="4729"/>
        <item h="1" m="1" x="4730"/>
        <item h="1" m="1" x="4734"/>
        <item h="1" m="1" x="4735"/>
        <item h="1" m="1" x="4736"/>
        <item h="1" m="1" x="4738"/>
        <item h="1" m="1" x="4740"/>
        <item h="1" m="1" x="4741"/>
        <item h="1" m="1" x="4742"/>
        <item h="1" m="1" x="4448"/>
        <item h="1" m="1" x="4744"/>
        <item h="1" m="1" x="3932"/>
        <item h="1" m="1" x="3673"/>
        <item h="1" m="1" x="3933"/>
        <item h="1" m="1" x="3218"/>
        <item h="1" m="1" x="4745"/>
        <item h="1" m="1" x="4642"/>
        <item h="1" m="1" x="4643"/>
        <item h="1" m="1" x="3361"/>
        <item h="1" m="1" x="4644"/>
        <item h="1" m="1" x="4639"/>
        <item h="1" m="1" x="4640"/>
        <item h="1" m="1" x="4641"/>
        <item h="1" m="1" x="4633"/>
        <item h="1" m="1" x="4746"/>
        <item h="1" m="1" x="4747"/>
        <item h="1" m="1" x="4748"/>
        <item h="1" m="1" x="4749"/>
        <item h="1" m="1" x="4627"/>
        <item h="1" m="1" x="4227"/>
        <item h="1" m="1" x="4228"/>
        <item h="1" m="1" x="4229"/>
        <item h="1" m="1" x="3985"/>
        <item h="1" m="1" x="4234"/>
        <item h="1" m="1" x="4751"/>
        <item h="1" m="1" x="4231"/>
        <item h="1" m="1" x="4753"/>
        <item h="1" m="1" x="4755"/>
        <item h="1" m="1" x="4756"/>
        <item h="1" m="1" x="4757"/>
        <item h="1" m="1" x="4761"/>
        <item h="1" m="1" x="4762"/>
        <item h="1" m="1" x="4763"/>
        <item h="1" m="1" x="4001"/>
        <item h="1" m="1" x="4003"/>
        <item h="1" m="1" x="4005"/>
        <item h="1" m="1" x="3995"/>
        <item h="1" m="1" x="4635"/>
        <item h="1" m="1" x="4036"/>
        <item h="1" m="1" x="4442"/>
        <item h="1" m="1" x="4765"/>
        <item h="1" m="1" x="4634"/>
        <item h="1" m="1" x="4767"/>
        <item h="1" m="1" x="4768"/>
        <item h="1" m="1" x="4772"/>
        <item h="1" m="1" x="4773"/>
        <item h="1" m="1" x="4774"/>
        <item h="1" m="1" x="4054"/>
        <item h="1" m="1" x="4775"/>
        <item h="1" m="1" x="4776"/>
        <item h="1" x="77"/>
        <item h="1" m="1" x="3472"/>
        <item h="1" m="1" x="4638"/>
        <item h="1" m="1" x="4328"/>
        <item h="1" m="1" x="4190"/>
        <item h="1" m="1" x="4080"/>
        <item h="1" m="1" x="4191"/>
        <item h="1" m="1" x="4317"/>
        <item h="1" m="1" x="4192"/>
        <item h="1" m="1" x="4777"/>
        <item h="1" m="1" x="4268"/>
        <item h="1" m="1" x="4269"/>
        <item h="1" m="1" x="4778"/>
        <item h="1" m="1" x="3236"/>
        <item h="1" m="1" x="4319"/>
        <item h="1" m="1" x="4145"/>
        <item h="1" m="1" x="3122"/>
        <item h="1" m="1" x="3718"/>
        <item h="1" m="1" x="4615"/>
        <item h="1" m="1" x="2138"/>
        <item h="1" m="1" x="3194"/>
        <item h="1" m="1" x="3222"/>
        <item h="1" m="1" x="4435"/>
        <item h="1" m="1" x="2550"/>
        <item h="1" m="1" x="3117"/>
        <item h="1" m="1" x="4233"/>
        <item h="1" m="1" x="4449"/>
        <item h="1" m="1" x="4645"/>
        <item h="1" m="1" x="4646"/>
        <item h="1" m="1" x="4647"/>
        <item h="1" m="1" x="4649"/>
        <item h="1" m="1" x="4650"/>
        <item h="1" m="1" x="4443"/>
        <item h="1" m="1" x="4102"/>
        <item h="1" m="1" x="4651"/>
        <item h="1" m="1" x="4652"/>
        <item h="1" m="1" x="4653"/>
        <item h="1" m="1" x="4654"/>
        <item h="1" m="1" x="4597"/>
        <item h="1" m="1" x="4655"/>
        <item h="1" m="1" x="4656"/>
        <item h="1" m="1" x="4542"/>
        <item h="1" m="1" x="4657"/>
        <item h="1" m="1" x="4180"/>
        <item h="1" m="1" x="3241"/>
        <item h="1" m="1" x="4006"/>
        <item h="1" m="1" x="4658"/>
        <item h="1" m="1" x="3748"/>
        <item h="1" m="1" x="4659"/>
        <item h="1" m="1" x="4660"/>
        <item h="1" m="1" x="4661"/>
        <item h="1" m="1" x="4662"/>
        <item h="1" m="1" x="4552"/>
        <item h="1" m="1" x="4329"/>
        <item h="1" m="1" x="4330"/>
        <item h="1" m="1" x="4663"/>
        <item h="1" m="1" x="4664"/>
        <item h="1" m="1" x="3990"/>
        <item h="1" m="1" x="3991"/>
        <item h="1" m="1" x="4666"/>
        <item h="1" m="1" x="4667"/>
        <item h="1" m="1" x="4668"/>
        <item h="1" m="1" x="4669"/>
        <item h="1" m="1" x="4670"/>
        <item h="1" m="1" x="4671"/>
        <item h="1" m="1" x="4547"/>
        <item h="1" m="1" x="4672"/>
        <item h="1" m="1" x="4444"/>
        <item h="1" m="1" x="4673"/>
        <item h="1" m="1" x="4543"/>
        <item h="1" m="1" x="4439"/>
        <item h="1" m="1" x="4546"/>
        <item h="1" m="1" x="4675"/>
        <item h="1" m="1" x="4676"/>
        <item h="1" m="1" x="4677"/>
        <item h="1" m="1" x="4678"/>
        <item h="1" m="1" x="4679"/>
        <item h="1" m="1" x="4445"/>
        <item h="1" m="1" x="4551"/>
        <item h="1" m="1" x="4680"/>
        <item h="1" m="1" x="4447"/>
        <item h="1" m="1" x="4438"/>
        <item h="1" m="1" x="4541"/>
        <item h="1" m="1" x="4681"/>
        <item h="1" m="1" x="4683"/>
        <item h="1" m="1" x="4684"/>
        <item h="1" m="1" x="4685"/>
        <item h="1" m="1" x="4686"/>
        <item h="1" m="1" x="4332"/>
        <item h="1" m="1" x="4096"/>
        <item h="1" m="1" x="4331"/>
        <item h="1" m="1" x="4687"/>
        <item h="1" m="1" x="4688"/>
        <item h="1" m="1" x="4689"/>
        <item h="1" m="1" x="4690"/>
        <item h="1" m="1" x="4692"/>
        <item h="1" m="1" x="4179"/>
        <item h="1" m="1" x="4200"/>
        <item h="1" m="1" x="4693"/>
        <item h="1" m="1" x="4017"/>
        <item h="1" m="1" x="4545"/>
        <item h="1" m="1" x="4018"/>
        <item h="1" m="1" x="4019"/>
        <item h="1" m="1" x="3935"/>
        <item h="1" m="1" x="4694"/>
        <item h="1" m="1" x="4696"/>
        <item h="1" m="1" x="4697"/>
        <item h="1" m="1" x="4698"/>
        <item h="1" m="1" x="4699"/>
        <item h="1" m="1" x="4701"/>
        <item h="1" m="1" x="4702"/>
        <item h="1" m="1" x="4033"/>
        <item h="1" m="1" x="4440"/>
        <item h="1" m="1" x="4340"/>
        <item h="1" m="1" x="4703"/>
        <item h="1" m="1" x="4056"/>
        <item h="1" m="1" x="3939"/>
        <item h="1" x="88"/>
        <item h="1" m="1" x="3840"/>
        <item h="1" m="1" x="3691"/>
        <item h="1" m="1" x="4704"/>
        <item h="1" m="1" x="4705"/>
        <item h="1" m="1" x="4706"/>
        <item h="1" m="1" x="4708"/>
        <item h="1" m="1" x="4067"/>
        <item h="1" m="1" x="4068"/>
        <item h="1" m="1" x="4710"/>
        <item h="1" m="1" x="4178"/>
        <item h="1" m="1" x="3172"/>
        <item h="1" m="1" x="4035"/>
        <item h="1" m="1" x="3768"/>
        <item h="1" m="1" x="4235"/>
        <item h="1" m="1" x="4711"/>
        <item h="1" m="1" x="4712"/>
        <item h="1" m="1" x="4713"/>
        <item h="1" m="1" x="4714"/>
        <item h="1" m="1" x="3944"/>
        <item h="1" m="1" x="3843"/>
        <item h="1" m="1" x="4275"/>
        <item h="1" m="1" x="4276"/>
        <item h="1" m="1" x="4322"/>
        <item h="1" m="1" x="4323"/>
        <item h="1" m="1" x="4320"/>
        <item h="1" m="1" x="4321"/>
        <item h="1" m="1" x="4536"/>
        <item h="1" m="1" x="4310"/>
        <item h="1" m="1" x="3174"/>
        <item h="1" m="1" x="4285"/>
        <item h="1" m="1" x="4554"/>
        <item h="1" m="1" x="4555"/>
        <item h="1" m="1" x="4452"/>
        <item h="1" m="1" x="4453"/>
        <item h="1" m="1" x="3982"/>
        <item h="1" x="111"/>
        <item h="1" m="1" x="4055"/>
        <item h="1" m="1" x="3681"/>
        <item h="1" m="1" x="3682"/>
        <item h="1" m="1" x="3683"/>
        <item h="1" m="1" x="355"/>
        <item h="1" m="1" x="4556"/>
        <item h="1" m="1" x="4557"/>
        <item h="1" m="1" x="4558"/>
        <item h="1" m="1" x="4334"/>
        <item h="1" m="1" x="4559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570"/>
        <item h="1" m="1" x="4571"/>
        <item h="1" m="1" x="4572"/>
        <item h="1" m="1" x="4573"/>
        <item h="1" m="1" x="4574"/>
        <item h="1" m="1" x="4575"/>
        <item h="1" m="1" x="4459"/>
        <item h="1" m="1" x="4461"/>
        <item h="1" m="1" x="4462"/>
        <item h="1" m="1" x="4460"/>
        <item h="1" m="1" x="4477"/>
        <item h="1" m="1" x="4480"/>
        <item h="1" m="1" x="4481"/>
        <item h="1" m="1" x="4028"/>
        <item h="1" m="1" x="4479"/>
        <item h="1" m="1" x="4473"/>
        <item h="1" m="1" x="4032"/>
        <item h="1" m="1" x="3747"/>
        <item h="1" m="1" x="4576"/>
        <item h="1" m="1" x="4577"/>
        <item h="1" m="1" x="4578"/>
        <item h="1" m="1" x="4579"/>
        <item h="1" m="1" x="2306"/>
        <item h="1" m="1" x="4580"/>
        <item h="1" m="1" x="4177"/>
        <item h="1" m="1" x="4175"/>
        <item h="1" m="1" x="4181"/>
        <item h="1" m="1" x="4176"/>
        <item h="1" m="1" x="4201"/>
        <item h="1" m="1" x="4581"/>
        <item h="1" m="1" x="4582"/>
        <item h="1" m="1" x="4583"/>
        <item h="1" m="1" x="4584"/>
        <item h="1" m="1" x="2071"/>
        <item h="1" m="1" x="4585"/>
        <item h="1" m="1" x="4586"/>
        <item h="1" m="1" x="4491"/>
        <item h="1" m="1" x="4494"/>
        <item h="1" m="1" x="4588"/>
        <item h="1" m="1" x="4589"/>
        <item h="1" x="246"/>
        <item h="1" m="1" x="4499"/>
        <item h="1" m="1" x="4590"/>
        <item h="1" m="1" x="4335"/>
        <item h="1" m="1" x="3141"/>
        <item h="1" m="1" x="4591"/>
        <item h="1" m="1" x="4592"/>
        <item h="1" m="1" x="4593"/>
        <item h="1" m="1" x="4595"/>
        <item h="1" m="1" x="4596"/>
        <item h="1" m="1" x="4598"/>
        <item h="1" m="1" x="4599"/>
        <item h="1" m="1" x="2123"/>
        <item h="1" m="1" x="4600"/>
        <item h="1" m="1" x="4601"/>
        <item h="1" m="1" x="4501"/>
        <item h="1" m="1" x="4339"/>
        <item h="1" m="1" x="662"/>
        <item h="1" m="1" x="4602"/>
        <item h="1" m="1" x="4603"/>
        <item h="1" m="1" x="3266"/>
        <item h="1" m="1" x="4604"/>
        <item h="1" m="1" x="4605"/>
        <item h="1" m="1" x="3077"/>
        <item h="1" m="1" x="4606"/>
        <item h="1" m="1" x="4607"/>
        <item h="1" m="1" x="4608"/>
        <item h="1" m="1" x="4609"/>
        <item h="1" m="1" x="1262"/>
        <item h="1" m="1" x="1011"/>
        <item h="1" m="1" x="3744"/>
        <item h="1" m="1" x="3153"/>
        <item h="1" m="1" x="3742"/>
        <item h="1" m="1" x="3743"/>
        <item h="1" m="1" x="3832"/>
        <item h="1" m="1" x="3656"/>
        <item h="1" m="1" x="4342"/>
        <item h="1" m="1" x="4344"/>
        <item h="1" m="1" x="4454"/>
        <item h="1" m="1" x="3971"/>
        <item h="1" m="1" x="3972"/>
        <item h="1" m="1" x="4455"/>
        <item h="1" m="1" x="4456"/>
        <item h="1" m="1" x="4457"/>
        <item h="1" m="1" x="4458"/>
        <item h="1" m="1" x="4351"/>
        <item h="1" m="1" x="4463"/>
        <item h="1" m="1" x="4466"/>
        <item h="1" m="1" x="4468"/>
        <item h="1" m="1" x="4469"/>
        <item h="1" m="1" x="4470"/>
        <item h="1" m="1" x="4471"/>
        <item h="1" m="1" x="2497"/>
        <item h="1" m="1" x="4472"/>
        <item h="1" m="1" x="4474"/>
        <item h="1" m="1" x="4475"/>
        <item h="1" m="1" x="4482"/>
        <item h="1" m="1" x="4483"/>
        <item h="1" m="1" x="4485"/>
        <item h="1" m="1" x="4486"/>
        <item h="1" m="1" x="4488"/>
        <item h="1" m="1" x="4072"/>
        <item h="1" m="1" x="3930"/>
        <item h="1" m="1" x="4193"/>
        <item h="1" m="1" x="3815"/>
        <item h="1" m="1" x="4489"/>
        <item h="1" m="1" x="613"/>
        <item h="1" m="1" x="4492"/>
        <item h="1" m="1" x="4493"/>
        <item h="1" m="1" x="4495"/>
        <item h="1" m="1" x="3629"/>
        <item h="1" m="1" x="3148"/>
        <item h="1" m="1" x="4496"/>
        <item h="1" m="1" x="4303"/>
        <item h="1" m="1" x="4336"/>
        <item h="1" m="1" x="4337"/>
        <item h="1" m="1" x="4497"/>
        <item h="1" m="1" x="4498"/>
        <item h="1" m="1" x="3303"/>
        <item h="1" m="1" x="4500"/>
        <item h="1" m="1" x="3161"/>
        <item h="1" m="1" x="4338"/>
        <item h="1" m="1" x="3160"/>
        <item h="1" m="1" x="3166"/>
        <item h="1" m="1" x="3170"/>
        <item h="1" m="1" x="4502"/>
        <item h="1" m="1" x="4503"/>
        <item h="1" m="1" x="513"/>
        <item h="1" m="1" x="4504"/>
        <item h="1" m="1" x="4505"/>
        <item h="1" m="1" x="4506"/>
        <item h="1" m="1" x="4507"/>
        <item h="1" m="1" x="4508"/>
        <item h="1" m="1" x="4046"/>
        <item h="1" m="1" x="4510"/>
        <item h="1" m="1" x="2173"/>
        <item h="1" m="1" x="4511"/>
        <item h="1" m="1" x="4512"/>
        <item h="1" m="1" x="4048"/>
        <item h="1" m="1" x="4049"/>
        <item h="1" m="1" x="4346"/>
        <item h="1" m="1" x="4513"/>
        <item h="1" m="1" x="3999"/>
        <item h="1" m="1" x="4514"/>
        <item h="1" m="1" x="4515"/>
        <item h="1" m="1" x="4194"/>
        <item h="1" m="1" x="4316"/>
        <item h="1" m="1" x="4263"/>
        <item h="1" m="1" x="4517"/>
        <item h="1" m="1" x="4518"/>
        <item h="1" m="1" x="919"/>
        <item h="1" m="1" x="3133"/>
        <item h="1" m="1" x="3164"/>
        <item h="1" m="1" x="4519"/>
        <item h="1" m="1" x="3163"/>
        <item h="1" m="1" x="3167"/>
        <item h="1" m="1" x="3168"/>
        <item h="1" m="1" x="3198"/>
        <item h="1" m="1" x="4520"/>
        <item h="1" m="1" x="1794"/>
        <item h="1" m="1" x="3185"/>
        <item h="1" m="1" x="4366"/>
        <item h="1" m="1" x="3217"/>
        <item h="1" m="1" x="4369"/>
        <item h="1" m="1" x="4522"/>
        <item h="1" m="1" x="4523"/>
        <item h="1" m="1" x="4524"/>
        <item h="1" m="1" x="3239"/>
        <item h="1" m="1" x="4525"/>
        <item h="1" m="1" x="3894"/>
        <item h="1" m="1" x="3981"/>
        <item h="1" m="1" x="3402"/>
        <item h="1" m="1" x="3948"/>
        <item h="1" m="1" x="3062"/>
        <item h="1" m="1" x="4051"/>
        <item h="1" m="1" x="4052"/>
        <item h="1" m="1" x="4347"/>
        <item h="1" m="1" x="4348"/>
        <item h="1" m="1" x="3542"/>
        <item h="1" m="1" x="4349"/>
        <item h="1" m="1" x="4350"/>
        <item h="1" m="1" x="3719"/>
        <item h="1" m="1" x="4352"/>
        <item h="1" m="1" x="4353"/>
        <item h="1" m="1" x="4014"/>
        <item h="1" m="1" x="4015"/>
        <item h="1" m="1" x="4016"/>
        <item h="1" m="1" x="4009"/>
        <item h="1" m="1" x="4010"/>
        <item h="1" m="1" x="4011"/>
        <item h="1" m="1" x="4012"/>
        <item h="1" m="1" x="4013"/>
        <item h="1" m="1" x="4153"/>
        <item h="1" m="1" x="3570"/>
        <item h="1" m="1" x="3551"/>
        <item h="1" m="1" x="4025"/>
        <item h="1" m="1" x="3850"/>
        <item h="1" m="1" x="3851"/>
        <item h="1" m="1" x="4154"/>
        <item h="1" m="1" x="3314"/>
        <item h="1" m="1" x="3849"/>
        <item h="1" m="1" x="4037"/>
        <item h="1" m="1" x="4034"/>
        <item h="1" m="1" x="4354"/>
        <item h="1" x="66"/>
        <item h="1" m="1" x="3921"/>
        <item h="1" m="1" x="4355"/>
        <item h="1" m="1" x="3670"/>
        <item h="1" m="1" x="3929"/>
        <item h="1" m="1" x="3671"/>
        <item h="1" m="1" x="3931"/>
        <item h="1" m="1" x="4081"/>
        <item h="1" m="1" x="4070"/>
        <item h="1" m="1" x="4198"/>
        <item h="1" m="1" x="4195"/>
        <item h="1" m="1" x="4356"/>
        <item h="1" m="1" x="4265"/>
        <item h="1" m="1" x="4264"/>
        <item h="1" m="1" x="4094"/>
        <item h="1" m="1" x="4357"/>
        <item h="1" m="1" x="4243"/>
        <item h="1" m="1" x="3134"/>
        <item h="1" m="1" x="4301"/>
        <item h="1" m="1" x="3136"/>
        <item h="1" m="1" x="3139"/>
        <item h="1" m="1" x="3173"/>
        <item h="1" m="1" x="3529"/>
        <item h="1" m="1" x="4358"/>
        <item h="1" m="1" x="1354"/>
        <item h="1" m="1" x="4359"/>
        <item h="1" m="1" x="4360"/>
        <item h="1" m="1" x="4361"/>
        <item h="1" m="1" x="4362"/>
        <item h="1" m="1" x="3201"/>
        <item h="1" m="1" x="3315"/>
        <item h="1" m="1" x="4248"/>
        <item h="1" m="1" x="4143"/>
        <item h="1" m="1" x="3205"/>
        <item h="1" m="1" x="3154"/>
        <item h="1" m="1" x="4363"/>
        <item h="1" m="1" x="4364"/>
        <item h="1" m="1" x="4365"/>
        <item h="1" m="1" x="4367"/>
        <item h="1" m="1" x="4368"/>
        <item h="1" m="1" x="3212"/>
        <item h="1" m="1" x="3225"/>
        <item h="1" m="1" x="3231"/>
        <item h="1" m="1" x="3233"/>
        <item h="1" m="1" x="4370"/>
        <item h="1" m="1" x="4213"/>
        <item h="1" m="1" x="4372"/>
        <item h="1" m="1" x="4215"/>
        <item h="1" m="1" x="4294"/>
        <item h="1" m="1" x="4297"/>
        <item h="1" m="1" x="4295"/>
        <item h="1" m="1" x="4293"/>
        <item h="1" m="1" x="4292"/>
        <item h="1" m="1" x="3905"/>
        <item h="1" m="1" x="3534"/>
        <item h="1" m="1" x="4374"/>
        <item h="1" m="1" x="4053"/>
        <item h="1" m="1" x="3941"/>
        <item h="1" x="96"/>
        <item h="1" m="1" x="4008"/>
        <item h="1" m="1" x="3602"/>
        <item h="1" m="1" x="4258"/>
        <item h="1" m="1" x="3123"/>
        <item h="1" m="1" x="4377"/>
        <item h="1" m="1" x="4209"/>
        <item h="1" m="1" x="4280"/>
        <item h="1" m="1" x="315"/>
        <item h="1" m="1" x="4274"/>
        <item h="1" m="1" x="4378"/>
        <item h="1" m="1" x="4379"/>
        <item h="1" m="1" x="4380"/>
        <item h="1" m="1" x="4381"/>
        <item h="1" m="1" x="4382"/>
        <item h="1" m="1" x="4383"/>
        <item h="1" m="1" x="4272"/>
        <item h="1" m="1" x="4273"/>
        <item h="1" m="1" x="4384"/>
        <item h="1" m="1" x="4385"/>
        <item h="1" m="1" x="4296"/>
        <item h="1" m="1" x="4386"/>
        <item h="1" m="1" x="4387"/>
        <item h="1" m="1" x="3881"/>
        <item h="1" m="1" x="1711"/>
        <item h="1" m="1" x="4277"/>
        <item h="1" m="1" x="4278"/>
        <item h="1" m="1" x="4279"/>
        <item h="1" m="1" x="4099"/>
        <item h="1" m="1" x="4281"/>
        <item h="1" m="1" x="4282"/>
        <item h="1" m="1" x="3622"/>
        <item h="1" m="1" x="3468"/>
        <item h="1" m="1" x="3145"/>
        <item h="1" m="1" x="4103"/>
        <item h="1" m="1" x="4283"/>
        <item h="1" m="1" x="3482"/>
        <item h="1" m="1" x="4284"/>
        <item h="1" m="1" x="4286"/>
        <item h="1" m="1" x="4287"/>
        <item h="1" m="1" x="4288"/>
        <item h="1" m="1" x="4289"/>
        <item h="1" m="1" x="4290"/>
        <item h="1" m="1" x="4291"/>
        <item h="1" m="1" x="4298"/>
        <item h="1" m="1" x="4299"/>
        <item h="1" m="1" x="4119"/>
        <item h="1" m="1" x="4300"/>
        <item h="1" m="1" x="3494"/>
        <item h="1" m="1" x="3491"/>
        <item h="1" m="1" x="3655"/>
        <item h="1" m="1" x="3495"/>
        <item h="1" m="1" x="4122"/>
        <item h="1" m="1" x="3920"/>
        <item h="1" m="1" x="3679"/>
        <item h="1" m="1" x="3922"/>
        <item h="1" m="1" x="3235"/>
        <item h="1" m="1" x="3934"/>
        <item h="1" m="1" x="4124"/>
        <item h="1" m="1" x="4302"/>
        <item h="1" m="1" x="3947"/>
        <item h="1" m="1" x="4131"/>
        <item h="1" m="1" x="3943"/>
        <item h="1" m="1" x="4133"/>
        <item h="1" m="1" x="4138"/>
        <item h="1" m="1" x="4139"/>
        <item h="1" m="1" x="4144"/>
        <item h="1" m="1" x="3963"/>
        <item h="1" m="1" x="3955"/>
        <item h="1" m="1" x="3956"/>
        <item h="1" m="1" x="3970"/>
        <item h="1" m="1" x="4304"/>
        <item h="1" m="1" x="4305"/>
        <item h="1" m="1" x="4306"/>
        <item h="1" m="1" x="3823"/>
        <item h="1" m="1" x="4307"/>
        <item h="1" m="1" x="4308"/>
        <item h="1" m="1" x="4309"/>
        <item h="1" m="1" x="3822"/>
        <item h="1" m="1" x="3826"/>
        <item h="1" m="1" x="4226"/>
        <item h="1" m="1" x="3975"/>
        <item h="1" m="1" x="4237"/>
        <item h="1" m="1" x="3988"/>
        <item h="1" m="1" x="4151"/>
        <item h="1" m="1" x="2936"/>
        <item h="1" m="1" x="4311"/>
        <item h="1" m="1" x="4312"/>
        <item h="1" m="1" x="3723"/>
        <item h="1" m="1" x="3729"/>
        <item h="1" m="1" x="4007"/>
        <item h="1" m="1" x="3997"/>
        <item h="1" m="1" x="3855"/>
        <item h="1" m="1" x="4030"/>
        <item h="1" m="1" x="3576"/>
        <item h="1" m="1" x="3094"/>
        <item h="1" m="1" x="4039"/>
        <item h="1" m="1" x="3228"/>
        <item h="1" m="1" x="4313"/>
        <item h="1" m="1" x="4042"/>
        <item h="1" m="1" x="4314"/>
        <item h="1" m="1" x="4172"/>
        <item h="1" m="1" x="3162"/>
        <item h="1" m="1" x="4045"/>
        <item h="1" m="1" x="3460"/>
        <item h="1" m="1" x="2330"/>
        <item h="1" m="1" x="4057"/>
        <item h="1" m="1" x="4073"/>
        <item h="1" m="1" x="4183"/>
        <item h="1" m="1" x="4182"/>
        <item h="1" m="1" x="3601"/>
        <item h="1" m="1" x="4087"/>
        <item h="1" m="1" x="4259"/>
        <item h="1" m="1" x="4260"/>
        <item h="1" m="1" x="4261"/>
        <item h="1" m="1" x="4262"/>
        <item h="1" m="1" x="4093"/>
        <item h="1" m="1" x="3659"/>
        <item h="1" m="1" x="3325"/>
        <item h="1" m="1" x="3798"/>
        <item h="1" m="1" x="3609"/>
        <item h="1" m="1" x="3890"/>
        <item h="1" m="1" x="3891"/>
        <item h="1" m="1" x="1828"/>
        <item h="1" m="1" x="4210"/>
        <item h="1" m="1" x="3186"/>
        <item h="1" m="1" x="3896"/>
        <item h="1" m="1" x="3897"/>
        <item h="1" m="1" x="3898"/>
        <item h="1" m="1" x="3632"/>
        <item h="1" m="1" x="4112"/>
        <item h="1" m="1" x="4211"/>
        <item h="1" m="1" x="3895"/>
        <item h="1" m="1" x="3899"/>
        <item h="1" m="1" x="3155"/>
        <item h="1" m="1" x="3156"/>
        <item h="1" m="1" x="3128"/>
        <item h="1" m="1" x="3147"/>
        <item h="1" m="1" x="3473"/>
        <item h="1" m="1" x="4114"/>
        <item h="1" m="1" x="4214"/>
        <item h="1" m="1" x="4216"/>
        <item h="1" m="1" x="4217"/>
        <item h="1" m="1" x="4219"/>
        <item h="1" m="1" x="2141"/>
        <item h="1" m="1" x="3428"/>
        <item h="1" m="1" x="3429"/>
        <item h="1" m="1" x="3661"/>
        <item h="1" m="1" x="4220"/>
        <item h="1" m="1" x="3914"/>
        <item h="1" m="1" x="3818"/>
        <item h="1" m="1" x="3674"/>
        <item h="1" m="1" x="3927"/>
        <item h="1" m="1" x="3928"/>
        <item h="1" m="1" x="3511"/>
        <item h="1" m="1" x="1150"/>
        <item h="1" m="1" x="4127"/>
        <item h="1" m="1" x="3685"/>
        <item h="1" m="1" x="3698"/>
        <item h="1" m="1" x="4221"/>
        <item h="1" m="1" x="4222"/>
        <item h="1" m="1" x="4223"/>
        <item h="1" m="1" x="4224"/>
        <item h="1" m="1" x="3595"/>
        <item h="1" m="1" x="4147"/>
        <item h="1" m="1" x="3142"/>
        <item h="1" m="1" x="3143"/>
        <item h="1" m="1" x="2203"/>
        <item h="1" m="1" x="2097"/>
        <item h="1" m="1" x="2419"/>
        <item h="1" m="1" x="4239"/>
        <item h="1" m="1" x="4240"/>
        <item h="1" m="1" x="3835"/>
        <item h="1" m="1" x="3989"/>
        <item h="1" m="1" x="3202"/>
        <item h="1" m="1" x="3206"/>
        <item h="1" m="1" x="3207"/>
        <item h="1" m="1" x="3208"/>
        <item h="1" m="1" x="3722"/>
        <item h="1" m="1" x="3998"/>
        <item h="1" m="1" x="4000"/>
        <item h="1" m="1" x="3565"/>
        <item h="1" m="1" x="3732"/>
        <item h="1" m="1" x="3554"/>
        <item h="1" m="1" x="3856"/>
        <item h="1" m="1" x="3553"/>
        <item h="1" m="1" x="3555"/>
        <item h="1" m="1" x="3853"/>
        <item h="1" m="1" x="3459"/>
        <item h="1" m="1" x="3745"/>
        <item h="1" m="1" x="3586"/>
        <item h="1" m="1" x="4168"/>
        <item h="1" m="1" x="3585"/>
        <item h="1" m="1" x="4169"/>
        <item h="1" m="1" x="3159"/>
        <item h="1" m="1" x="3204"/>
        <item h="1" m="1" x="4157"/>
        <item h="1" m="1" x="3169"/>
        <item h="1" m="1" x="4246"/>
        <item h="1" m="1" x="4247"/>
        <item h="1" m="1" x="4160"/>
        <item h="1" m="1" x="4161"/>
        <item h="1" m="1" x="4249"/>
        <item h="1" m="1" x="4250"/>
        <item h="1" m="1" x="4251"/>
        <item h="1" m="1" x="4254"/>
        <item h="1" m="1" x="4255"/>
        <item h="1" m="1" x="4256"/>
        <item h="1" m="1" x="4173"/>
        <item h="1" m="1" x="4065"/>
        <item h="1" m="1" x="4174"/>
        <item h="1" m="1" x="4199"/>
        <item h="1" m="1" x="4186"/>
        <item h="1" m="1" x="4083"/>
        <item h="1" m="1" x="4187"/>
        <item h="1" m="1" x="4188"/>
        <item h="1" m="1" x="4189"/>
        <item h="1" m="1" x="3416"/>
        <item h="1" m="1" x="4266"/>
        <item h="1" m="1" x="4270"/>
        <item h="1" m="1" x="4271"/>
        <item h="1" m="1" x="3610"/>
        <item h="1" m="1" x="4098"/>
        <item h="1" m="1" x="4100"/>
        <item h="1" m="1" x="3889"/>
        <item h="1" m="1" x="4101"/>
        <item h="1" m="1" x="4104"/>
        <item h="1" m="1" x="4105"/>
        <item h="1" m="1" x="4106"/>
        <item h="1" m="1" x="4107"/>
        <item h="1" m="1" x="4110"/>
        <item h="1" m="1" x="4111"/>
        <item h="1" m="1" x="3893"/>
        <item h="1" m="1" x="4113"/>
        <item h="1" m="1" x="3471"/>
        <item h="1" m="1" x="712"/>
        <item h="1" m="1" x="4115"/>
        <item h="1" m="1" x="4116"/>
        <item h="1" m="1" x="4117"/>
        <item h="1" m="1" x="4118"/>
        <item h="1" m="1" x="3427"/>
        <item h="1" m="1" x="3705"/>
        <item h="1" m="1" x="3496"/>
        <item h="1" m="1" x="2144"/>
        <item h="1" m="1" x="2473"/>
        <item h="1" m="1" x="4120"/>
        <item h="1" m="1" x="4121"/>
        <item h="1" m="1" x="3268"/>
        <item h="1" m="1" x="1415"/>
        <item h="1" m="1" x="3926"/>
        <item h="1" m="1" x="3676"/>
        <item h="1" m="1" x="3923"/>
        <item h="1" m="1" x="3925"/>
        <item h="1" m="1" x="2146"/>
        <item h="1" m="1" x="3692"/>
        <item h="1" m="1" x="4141"/>
        <item h="1" m="1" x="4142"/>
        <item h="1" m="1" x="3528"/>
        <item h="1" m="1" x="3967"/>
        <item h="1" m="1" x="3968"/>
        <item h="1" m="1" x="3957"/>
        <item h="1" m="1" x="3958"/>
        <item h="1" m="1" x="3959"/>
        <item h="1" m="1" x="3960"/>
        <item h="1" m="1" x="3973"/>
        <item h="1" m="1" x="3828"/>
        <item h="1" m="1" x="3838"/>
        <item h="1" m="1" x="3543"/>
        <item h="1" m="1" x="3199"/>
        <item h="1" m="1" x="3130"/>
        <item h="1" m="1" x="3457"/>
        <item h="1" m="1" x="3544"/>
        <item h="1" m="1" x="3456"/>
        <item h="1" m="1" x="4152"/>
        <item h="1" m="1" x="3996"/>
        <item h="1" m="1" x="3547"/>
        <item h="1" m="1" x="3548"/>
        <item h="1" m="1" x="4027"/>
        <item h="1" m="1" x="4029"/>
        <item h="1" m="1" x="4155"/>
        <item h="1" m="1" x="4158"/>
        <item h="1" m="1" x="4159"/>
        <item h="1" m="1" x="4162"/>
        <item h="1" m="1" x="4163"/>
        <item h="1" m="1" x="4164"/>
        <item h="1" m="1" x="4166"/>
        <item h="1" m="1" x="3871"/>
        <item h="1" m="1" x="4167"/>
        <item h="1" m="1" x="4170"/>
        <item h="1" m="1" x="2609"/>
        <item h="1" m="1" x="2672"/>
        <item h="1" m="1" x="3584"/>
        <item h="1" m="1" x="3158"/>
        <item h="1" m="1" x="4171"/>
        <item h="1" m="1" x="3211"/>
        <item h="1" m="1" x="4050"/>
        <item h="1" m="1" x="4058"/>
        <item h="1" m="1" x="4059"/>
        <item h="1" m="1" x="3770"/>
        <item h="1" m="1" x="4062"/>
        <item h="1" m="1" x="4060"/>
        <item h="1" m="1" x="4061"/>
        <item h="1" m="1" x="3777"/>
        <item h="1" m="1" x="3776"/>
        <item h="1" m="1" x="4064"/>
        <item h="1" m="1" x="4184"/>
        <item h="1" m="1" x="4185"/>
        <item h="1" m="1" x="4202"/>
        <item h="1" m="1" x="4088"/>
        <item h="1" m="1" x="4203"/>
        <item h="1" m="1" x="4204"/>
        <item h="1" m="1" x="4205"/>
        <item h="1" m="1" x="4206"/>
        <item h="1" m="1" x="4207"/>
        <item h="1" m="1" x="4208"/>
        <item h="1" m="1" x="3616"/>
        <item h="1" m="1" x="3615"/>
        <item h="1" m="1" x="3612"/>
        <item h="1" m="1" x="3613"/>
        <item h="1" m="1" x="3614"/>
        <item h="1" m="1" x="3611"/>
        <item h="1" m="1" x="3800"/>
        <item h="1" m="1" x="3883"/>
        <item h="1" m="1" x="3886"/>
        <item h="1" m="1" x="2035"/>
        <item h="1" m="1" x="409"/>
        <item h="1" m="1" x="3887"/>
        <item h="1" m="1" x="3126"/>
        <item h="1" m="1" x="3888"/>
        <item h="1" m="1" x="3892"/>
        <item h="1" m="1" x="3900"/>
        <item h="1" m="1" x="3285"/>
        <item h="1" m="1" x="3628"/>
        <item h="1" m="1" x="2143"/>
        <item h="1" m="1" x="3901"/>
        <item h="1" m="1" x="3763"/>
        <item h="1" m="1" x="3804"/>
        <item h="1" m="1" x="3806"/>
        <item h="1" m="1" x="3807"/>
        <item h="1" m="1" x="3805"/>
        <item h="1" m="1" x="3902"/>
        <item h="1" m="1" x="3903"/>
        <item h="1" m="1" x="3906"/>
        <item h="1" m="1" x="3907"/>
        <item h="1" m="1" x="3908"/>
        <item h="1" m="1" x="3909"/>
        <item h="1" m="1" x="3910"/>
        <item h="1" m="1" x="3911"/>
        <item h="1" m="1" x="3490"/>
        <item h="1" m="1" x="3912"/>
        <item h="1" m="1" x="3913"/>
        <item h="1" m="1" x="3430"/>
        <item h="1" m="1" x="3272"/>
        <item h="1" m="1" x="3915"/>
        <item h="1" m="1" x="3916"/>
        <item h="1" m="1" x="3917"/>
        <item h="1" m="1" x="3936"/>
        <item h="1" m="1" x="3942"/>
        <item h="1" m="1" x="3684"/>
        <item h="1" m="1" x="3688"/>
        <item h="1" m="1" x="3945"/>
        <item h="1" m="1" x="3946"/>
        <item h="1" m="1" x="3951"/>
        <item h="1" m="1" x="3704"/>
        <item h="1" m="1" x="3962"/>
        <item h="1" m="1" x="3176"/>
        <item h="1" m="1" x="3976"/>
        <item h="1" m="1" x="3977"/>
        <item h="1" m="1" x="3978"/>
        <item h="1" m="1" x="3983"/>
        <item h="1" m="1" x="3984"/>
        <item h="1" m="1" x="3986"/>
        <item h="1" m="1" x="3837"/>
        <item h="1" m="1" x="3829"/>
        <item h="1" m="1" x="3992"/>
        <item h="1" m="1" x="3209"/>
        <item h="1" m="1" x="3455"/>
        <item h="1" m="1" x="4021"/>
        <item h="1" m="1" x="4022"/>
        <item h="1" m="1" x="2324"/>
        <item h="1" m="1" x="3572"/>
        <item h="1" m="1" x="4024"/>
        <item h="1" m="1" x="3573"/>
        <item h="1" m="1" x="3574"/>
        <item h="1" m="1" x="3575"/>
        <item h="1" m="1" x="3058"/>
        <item h="1" m="1" x="3571"/>
        <item h="1" m="1" x="3734"/>
        <item h="1" m="1" x="3568"/>
        <item h="1" m="1" x="3567"/>
        <item h="1" m="1" x="3578"/>
        <item h="1" m="1" x="4040"/>
        <item h="1" m="1" x="1371"/>
        <item h="1" m="1" x="4041"/>
        <item h="1" m="1" x="3735"/>
        <item h="1" m="1" x="1706"/>
        <item h="1" m="1" x="4043"/>
        <item h="1" m="1" x="4044"/>
        <item h="1" m="1" x="3865"/>
        <item h="1" m="1" x="3759"/>
        <item h="1" m="1" x="3588"/>
        <item h="1" m="1" x="3323"/>
        <item h="1" m="1" x="4047"/>
        <item h="1" m="1" x="4074"/>
        <item h="1" m="1" x="4075"/>
        <item h="1" m="1" x="4076"/>
        <item h="1" m="1" x="4077"/>
        <item h="1" m="1" x="4084"/>
        <item h="1" m="1" x="4085"/>
        <item h="1" m="1" x="4086"/>
        <item h="1" m="1" x="4089"/>
        <item h="1" m="1" x="4090"/>
        <item h="1" m="1" x="4092"/>
        <item h="1" m="1" x="3775"/>
        <item h="1" m="1" x="3801"/>
        <item h="1" m="1" x="3802"/>
        <item h="1" m="1" x="3260"/>
        <item h="1" m="1" x="3188"/>
        <item h="1" m="1" x="3261"/>
        <item h="1" m="1" x="3262"/>
        <item h="1" m="1" x="3630"/>
        <item h="1" m="1" x="3803"/>
        <item h="1" m="1" x="3631"/>
        <item h="1" m="1" x="3636"/>
        <item h="1" m="1" x="3637"/>
        <item h="1" m="1" x="3808"/>
        <item h="1" m="1" x="3809"/>
        <item h="1" m="1" x="3623"/>
        <item h="1" m="1" x="3810"/>
        <item h="1" m="1" x="3627"/>
        <item h="1" m="1" x="3470"/>
        <item h="1" m="1" x="3640"/>
        <item h="1" m="1" x="3811"/>
        <item h="1" m="1" x="3812"/>
        <item h="1" m="1" x="3814"/>
        <item h="1" m="1" x="3646"/>
        <item h="1" m="1" x="3493"/>
        <item h="1" m="1" x="2475"/>
        <item h="1" m="1" x="3816"/>
        <item h="1" m="1" x="3666"/>
        <item h="1" m="1" x="3817"/>
        <item h="1" m="1" x="3060"/>
        <item h="1" m="1" x="3505"/>
        <item h="1" m="1" x="3506"/>
        <item h="1" m="1" x="3347"/>
        <item h="1" m="1" x="3672"/>
        <item h="1" m="1" x="3668"/>
        <item h="1" m="1" x="2392"/>
        <item h="1" m="1" x="3819"/>
        <item h="1" m="1" x="2781"/>
        <item h="1" m="1" x="3701"/>
        <item h="1" m="1" x="3820"/>
        <item h="1" m="1" x="3844"/>
        <item h="1" m="1" x="3215"/>
        <item h="1" m="1" x="3821"/>
        <item h="1" m="1" x="1832"/>
        <item h="1" m="1" x="3178"/>
        <item h="1" m="1" x="3177"/>
        <item h="1" m="1" x="3451"/>
        <item h="1" m="1" x="3824"/>
        <item h="1" m="1" x="3825"/>
        <item h="1" m="1" x="3452"/>
        <item h="1" m="1" x="3708"/>
        <item h="1" m="1" x="3107"/>
        <item h="1" m="1" x="3830"/>
        <item h="1" m="1" x="3833"/>
        <item h="1" m="1" x="3834"/>
        <item h="1" m="1" x="3836"/>
        <item h="1" m="1" x="3531"/>
        <item h="1" m="1" x="3224"/>
        <item h="1" m="1" x="3863"/>
        <item h="1" m="1" x="3250"/>
        <item h="1" m="1" x="3129"/>
        <item h="1" m="1" x="3541"/>
        <item h="1" m="1" x="3846"/>
        <item h="1" m="1" x="3724"/>
        <item h="1" m="1" x="3725"/>
        <item h="1" m="1" x="3726"/>
        <item h="1" m="1" x="3550"/>
        <item h="1" m="1" x="3566"/>
        <item h="1" m="1" x="3219"/>
        <item h="1" m="1" x="3858"/>
        <item h="1" m="1" x="3859"/>
        <item h="1" m="1" x="3738"/>
        <item h="1" m="1" x="3860"/>
        <item h="1" m="1" x="3737"/>
        <item h="1" m="1" x="3736"/>
        <item h="1" m="1" x="3862"/>
        <item h="1" m="1" x="3864"/>
        <item h="1" m="1" x="2151"/>
        <item h="1" m="1" x="3866"/>
        <item h="1" m="1" x="2578"/>
        <item h="1" m="1" x="2394"/>
        <item h="1" m="1" x="3750"/>
        <item h="1" m="1" x="3867"/>
        <item h="1" m="1" x="3868"/>
        <item h="1" m="1" x="3869"/>
        <item h="1" m="1" x="3874"/>
        <item h="1" m="1" x="3752"/>
        <item h="1" m="1" x="3761"/>
        <item h="1" m="1" x="3764"/>
        <item h="1" m="1" x="3771"/>
        <item h="1" m="1" x="3870"/>
        <item h="1" m="1" x="3782"/>
        <item h="1" m="1" x="3781"/>
        <item h="1" m="1" x="3872"/>
        <item h="1" m="1" x="3873"/>
        <item h="1" m="1" x="3091"/>
        <item h="1" m="1" x="3876"/>
        <item h="1" m="1" x="3095"/>
        <item h="1" m="1" x="3878"/>
        <item h="1" m="1" x="3799"/>
        <item h="1" m="1" x="3263"/>
        <item h="1" m="1" x="3264"/>
        <item h="1" m="1" x="3621"/>
        <item h="1" m="1" x="2142"/>
        <item h="1" m="1" x="3624"/>
        <item h="1" m="1" x="3625"/>
        <item h="1" m="1" x="3626"/>
        <item h="1" m="1" x="3633"/>
        <item h="1" m="1" x="3481"/>
        <item h="1" m="1" x="3480"/>
        <item h="1" m="1" x="3634"/>
        <item h="1" m="1" x="3635"/>
        <item h="1" m="1" x="3638"/>
        <item h="1" m="1" x="3639"/>
        <item h="1" m="1" x="3289"/>
        <item h="1" m="1" x="3642"/>
        <item h="1" m="1" x="3793"/>
        <item h="1" m="1" x="3643"/>
        <item h="1" m="1" x="3644"/>
        <item h="1" m="1" x="3645"/>
        <item h="1" m="1" x="3647"/>
        <item h="1" m="1" x="3648"/>
        <item h="1" m="1" x="3649"/>
        <item h="1" m="1" x="3650"/>
        <item h="1" m="1" x="3651"/>
        <item h="1" m="1" x="2820"/>
        <item h="1" m="1" x="3652"/>
        <item h="1" m="1" x="3653"/>
        <item h="1" m="1" x="3660"/>
        <item h="1" m="1" x="3500"/>
        <item h="1" m="1" x="3663"/>
        <item h="1" m="1" x="3664"/>
        <item h="1" m="1" x="3665"/>
        <item h="1" m="1" x="3509"/>
        <item h="1" m="1" x="3510"/>
        <item h="1" m="1" x="3502"/>
        <item h="1" m="1" x="3504"/>
        <item h="1" m="1" x="3669"/>
        <item h="1" m="1" x="3794"/>
        <item h="1" m="1" x="3686"/>
        <item h="1" m="1" x="3687"/>
        <item h="1" m="1" x="3689"/>
        <item h="1" m="1" x="3690"/>
        <item h="1" m="1" x="3693"/>
        <item h="1" m="1" x="3694"/>
        <item h="1" m="1" x="3695"/>
        <item h="1" m="1" x="3696"/>
        <item h="1" m="1" x="3697"/>
        <item h="1" m="1" x="3699"/>
        <item h="1" m="1" x="3700"/>
        <item h="1" m="1" x="2655"/>
        <item h="1" m="1" x="3706"/>
        <item h="1" m="1" x="3707"/>
        <item h="1" m="1" x="3709"/>
        <item h="1" m="1" x="3710"/>
        <item h="1" m="1" x="3711"/>
        <item h="1" m="1" x="3713"/>
        <item h="1" m="1" x="3714"/>
        <item h="1" m="1" x="3131"/>
        <item h="1" m="1" x="3257"/>
        <item h="1" m="1" x="3247"/>
        <item h="1" m="1" x="3245"/>
        <item h="1" m="1" x="3715"/>
        <item h="1" m="1" x="2041"/>
        <item h="1" m="1" x="3716"/>
        <item h="1" m="1" x="3717"/>
        <item h="1" m="1" x="3533"/>
        <item h="1" m="1" x="3191"/>
        <item h="1" m="1" x="3537"/>
        <item h="1" m="1" x="3797"/>
        <item h="1" m="1" x="3720"/>
        <item h="1" m="1" x="3721"/>
        <item h="1" m="1" x="3727"/>
        <item h="1" m="1" x="3728"/>
        <item h="1" m="1" x="3730"/>
        <item h="1" m="1" x="3731"/>
        <item h="1" m="1" x="3549"/>
        <item h="1" m="1" x="2147"/>
        <item h="1" m="1" x="811"/>
        <item h="1" m="1" x="3733"/>
        <item h="1" m="1" x="3739"/>
        <item h="1" m="1" x="3740"/>
        <item h="1" m="1" x="3741"/>
        <item h="1" m="1" x="3749"/>
        <item h="1" m="1" x="3751"/>
        <item h="1" m="1" x="3583"/>
        <item h="1" m="1" x="3753"/>
        <item h="1" m="1" x="3754"/>
        <item h="1" m="1" x="3755"/>
        <item h="1" m="1" x="3756"/>
        <item h="1" m="1" x="3757"/>
        <item h="1" m="1" x="3758"/>
        <item h="1" m="1" x="3762"/>
        <item h="1" m="1" x="3214"/>
        <item h="1" m="1" x="3760"/>
        <item h="1" m="1" x="3772"/>
        <item h="1" m="1" x="3774"/>
        <item h="1" m="1" x="3779"/>
        <item h="1" m="1" x="3780"/>
        <item h="1" m="1" x="3783"/>
        <item h="1" m="1" x="3784"/>
        <item h="1" m="1" x="3785"/>
        <item h="1" m="1" x="3786"/>
        <item h="1" m="1" x="3787"/>
        <item h="1" m="1" x="3788"/>
        <item h="1" m="1" x="3790"/>
        <item h="1" m="1" x="3791"/>
        <item h="1" m="1" x="3081"/>
        <item h="1" m="1" x="2926"/>
        <item h="1" m="1" x="3082"/>
        <item h="1" m="1" x="3796"/>
        <item h="1" m="1" x="3267"/>
        <item h="1" m="1" x="2474"/>
        <item h="1" m="1" x="3461"/>
        <item h="1" m="1" x="1903"/>
        <item h="1" m="1" x="856"/>
        <item h="1" m="1" x="752"/>
        <item h="1" m="1" x="3421"/>
        <item h="1" m="1" x="3462"/>
        <item h="1" m="1" x="3463"/>
        <item h="1" m="1" x="3464"/>
        <item h="1" m="1" x="3465"/>
        <item h="1" m="1" x="2393"/>
        <item h="1" m="1" x="3466"/>
        <item h="1" m="1" x="3467"/>
        <item h="1" m="1" x="1744"/>
        <item h="1" m="1" x="3474"/>
        <item h="1" m="1" x="3476"/>
        <item h="1" m="1" x="988"/>
        <item h="1" m="1" x="3478"/>
        <item h="1" x="126"/>
        <item h="1" m="1" x="3479"/>
        <item h="1" m="1" x="3483"/>
        <item h="1" m="1" x="3426"/>
        <item h="1" m="1" x="3484"/>
        <item h="1" m="1" x="3485"/>
        <item h="1" m="1" x="3486"/>
        <item h="1" m="1" x="3487"/>
        <item h="1" m="1" x="3334"/>
        <item h="1" m="1" x="3488"/>
        <item h="1" m="1" x="3489"/>
        <item h="1" m="1" x="3339"/>
        <item h="1" m="1" x="3497"/>
        <item h="1" m="1" x="3498"/>
        <item h="1" m="1" x="3499"/>
        <item h="1" m="1" x="3238"/>
        <item h="1" m="1" x="3140"/>
        <item h="1" m="1" x="3300"/>
        <item h="1" m="1" x="3503"/>
        <item h="1" m="1" x="851"/>
        <item h="1" m="1" x="3438"/>
        <item h="1" m="1" x="3507"/>
        <item h="1" m="1" x="3512"/>
        <item h="1" m="1" x="3213"/>
        <item h="1" m="1" x="3513"/>
        <item h="1" m="1" x="335"/>
        <item h="1" m="1" x="3515"/>
        <item h="1" m="1" x="3025"/>
        <item h="1" m="1" x="3442"/>
        <item h="1" m="1" x="3516"/>
        <item h="1" m="1" x="3517"/>
        <item h="1" m="1" x="3151"/>
        <item h="1" m="1" x="3440"/>
        <item h="1" m="1" x="3441"/>
        <item h="1" m="1" x="3443"/>
        <item h="1" m="1" x="3519"/>
        <item h="1" m="1" x="2029"/>
        <item h="1" m="1" x="3520"/>
        <item h="1" m="1" x="3521"/>
        <item h="1" m="1" x="3523"/>
        <item h="1" m="1" x="3524"/>
        <item h="1" m="1" x="3525"/>
        <item h="1" m="1" x="3526"/>
        <item h="1" m="1" x="2152"/>
        <item h="1" m="1" x="2153"/>
        <item h="1" m="1" x="2148"/>
        <item h="1" m="1" x="2150"/>
        <item h="1" m="1" x="3530"/>
        <item h="1" m="1" x="3017"/>
        <item h="1" m="1" x="3367"/>
        <item h="1" m="1" x="3368"/>
        <item h="1" m="1" x="3532"/>
        <item h="1" m="1" x="3232"/>
        <item h="1" m="1" x="3196"/>
        <item h="1" m="1" x="3197"/>
        <item h="1" m="1" x="3535"/>
        <item h="1" m="1" x="3539"/>
        <item h="1" m="1" x="3540"/>
        <item h="1" m="1" x="3545"/>
        <item h="1" m="1" x="3546"/>
        <item h="1" m="1" x="3556"/>
        <item h="1" m="1" x="3557"/>
        <item h="1" m="1" x="3558"/>
        <item h="1" m="1" x="983"/>
        <item h="1" m="1" x="3560"/>
        <item h="1" m="1" x="3561"/>
        <item h="1" m="1" x="3562"/>
        <item h="1" m="1" x="3563"/>
        <item h="1" m="1" x="3564"/>
        <item h="1" m="1" x="3569"/>
        <item h="1" m="1" x="3579"/>
        <item h="1" m="1" x="3070"/>
        <item h="1" m="1" x="3580"/>
        <item h="1" m="1" x="3581"/>
        <item h="1" m="1" x="3098"/>
        <item h="1" m="1" x="3317"/>
        <item h="1" m="1" x="3582"/>
        <item h="1" m="1" x="3587"/>
        <item h="1" m="1" x="3589"/>
        <item h="1" m="1" x="3590"/>
        <item h="1" m="1" x="3591"/>
        <item h="1" m="1" x="3592"/>
        <item h="1" m="1" x="3593"/>
        <item h="1" m="1" x="3594"/>
        <item h="1" m="1" x="3596"/>
        <item h="1" m="1" x="3597"/>
        <item h="1" m="1" x="3598"/>
        <item h="1" m="1" x="3599"/>
        <item h="1" m="1" x="3600"/>
        <item h="1" m="1" x="3220"/>
        <item h="1" m="1" x="3221"/>
        <item h="1" m="1" x="3603"/>
        <item h="1" m="1" x="3604"/>
        <item h="1" m="1" x="3605"/>
        <item h="1" m="1" x="3606"/>
        <item h="1" m="1" x="3083"/>
        <item h="1" m="1" x="3084"/>
        <item h="1" m="1" x="3195"/>
        <item h="1" m="1" x="3146"/>
        <item h="1" m="1" x="3422"/>
        <item h="1" m="1" x="3243"/>
        <item h="1" m="1" x="3242"/>
        <item h="1" m="1" x="3423"/>
        <item h="1" m="1" x="2195"/>
        <item h="1" m="1" x="1745"/>
        <item h="1" m="1" x="3424"/>
        <item h="1" m="1" x="3425"/>
        <item h="1" m="1" x="3335"/>
        <item h="1" m="1" x="3337"/>
        <item h="1" m="1" x="3432"/>
        <item h="1" m="1" x="3433"/>
        <item h="1" m="1" x="3434"/>
        <item h="1" m="1" x="3340"/>
        <item h="1" m="1" x="3435"/>
        <item h="1" m="1" x="3436"/>
        <item h="1" m="1" x="3437"/>
        <item h="1" m="1" x="3344"/>
        <item h="1" x="83"/>
        <item h="1" m="1" x="2699"/>
        <item h="1" m="1" x="2700"/>
        <item h="1" m="1" x="2698"/>
        <item h="1" m="1" x="3350"/>
        <item h="1" m="1" x="3348"/>
        <item h="1" m="1" x="3439"/>
        <item h="1" m="1" x="3354"/>
        <item h="1" m="1" x="3355"/>
        <item h="1" m="1" x="2510"/>
        <item h="1" m="1" x="3362"/>
        <item h="1" m="1" x="3363"/>
        <item h="1" m="1" x="3444"/>
        <item h="1" m="1" x="3446"/>
        <item h="1" m="1" x="3447"/>
        <item h="1" m="1" x="3304"/>
        <item h="1" m="1" x="3448"/>
        <item h="1" m="1" x="3449"/>
        <item h="1" m="1" x="3450"/>
        <item h="1" m="1" x="2654"/>
        <item h="1" m="1" x="3366"/>
        <item h="1" m="1" x="3273"/>
        <item h="1" m="1" x="3244"/>
        <item h="1" m="1" x="3369"/>
        <item h="1" m="1" x="3370"/>
        <item h="1" m="1" x="3453"/>
        <item h="1" m="1" x="3373"/>
        <item h="1" m="1" x="3454"/>
        <item h="1" m="1" x="3380"/>
        <item h="1" m="1" x="3379"/>
        <item h="1" m="1" x="3053"/>
        <item h="1" m="1" x="3059"/>
        <item h="1" m="1" x="3096"/>
        <item h="1" m="1" x="3387"/>
        <item h="1" x="134"/>
        <item h="1" m="1" x="3391"/>
        <item h="1" m="1" x="3234"/>
        <item h="1" m="1" x="3396"/>
        <item h="1" m="1" x="3399"/>
        <item h="1" m="1" x="3400"/>
        <item h="1" m="1" x="3403"/>
        <item h="1" m="1" x="3408"/>
        <item h="1" m="1" x="3409"/>
        <item h="1" m="1" x="3411"/>
        <item h="1" m="1" x="3417"/>
        <item h="1" m="1" x="3412"/>
        <item h="1" m="1" x="3413"/>
        <item h="1" m="1" x="3076"/>
        <item h="1" m="1" x="3414"/>
        <item h="1" m="1" x="3418"/>
        <item h="1" m="1" x="3419"/>
        <item h="1" m="1" x="3326"/>
        <item h="1" m="1" x="3327"/>
        <item h="1" m="1" x="3258"/>
        <item h="1" m="1" x="3328"/>
        <item h="1" m="1" x="3175"/>
        <item h="1" m="1" x="3227"/>
        <item h="1" m="1" x="2561"/>
        <item h="1" m="1" x="3329"/>
        <item h="1" m="1" x="3330"/>
        <item h="1" m="1" x="3331"/>
        <item h="1" m="1" x="3332"/>
        <item h="1" m="1" x="2760"/>
        <item h="1" m="1" x="3333"/>
        <item h="1" m="1" x="3099"/>
        <item h="1" m="1" x="3100"/>
        <item h="1" m="1" x="3149"/>
        <item h="1" m="1" x="3336"/>
        <item h="1" m="1" x="3338"/>
        <item h="1" m="1" x="2395"/>
        <item h="1" m="1" x="3035"/>
        <item h="1" m="1" x="3341"/>
        <item h="1" m="1" x="3342"/>
        <item h="1" m="1" x="3343"/>
        <item h="1" m="1" x="2070"/>
        <item h="1" m="1" x="3345"/>
        <item h="1" m="1" x="3346"/>
        <item h="1" m="1" x="2703"/>
        <item h="1" m="1" x="3061"/>
        <item h="1" m="1" x="3349"/>
        <item h="1" m="1" x="3351"/>
        <item h="1" m="1" x="3352"/>
        <item h="1" m="1" x="3356"/>
        <item h="1" m="1" x="3357"/>
        <item h="1" m="1" x="3358"/>
        <item h="1" m="1" x="3359"/>
        <item h="1" m="1" x="2592"/>
        <item h="1" m="1" x="3073"/>
        <item h="1" m="1" x="2170"/>
        <item h="1" m="1" x="3364"/>
        <item h="1" m="1" x="3034"/>
        <item h="1" m="1" x="3313"/>
        <item h="1" m="1" x="3182"/>
        <item h="1" m="1" x="3183"/>
        <item h="1" m="1" x="3181"/>
        <item h="1" m="1" x="3371"/>
        <item h="1" m="1" x="3372"/>
        <item h="1" m="1" x="2069"/>
        <item h="1" m="1" x="3019"/>
        <item h="1" m="1" x="3018"/>
        <item h="1" m="1" x="2582"/>
        <item h="1" m="1" x="3210"/>
        <item h="1" m="1" x="3374"/>
        <item h="1" m="1" x="3375"/>
        <item h="1" m="1" x="3376"/>
        <item h="1" m="1" x="3377"/>
        <item h="1" m="1" x="3378"/>
        <item h="1" m="1" x="3382"/>
        <item h="1" m="1" x="2504"/>
        <item h="1" m="1" x="2162"/>
        <item h="1" m="1" x="2681"/>
        <item h="1" m="1" x="2682"/>
        <item h="1" m="1" x="3384"/>
        <item h="1" m="1" x="2400"/>
        <item h="1" m="1" x="3385"/>
        <item h="1" m="1" x="2684"/>
        <item h="1" m="1" x="3386"/>
        <item h="1" x="181"/>
        <item h="1" m="1" x="3388"/>
        <item h="1" m="1" x="2919"/>
        <item h="1" m="1" x="3392"/>
        <item h="1" m="1" x="3393"/>
        <item h="1" m="1" x="1714"/>
        <item h="1" m="1" x="3180"/>
        <item h="1" m="1" x="3395"/>
        <item h="1" m="1" x="3397"/>
        <item h="1" m="1" x="3398"/>
        <item h="1" m="1" x="3401"/>
        <item h="1" m="1" x="3404"/>
        <item h="1" m="1" x="3405"/>
        <item h="1" m="1" x="3406"/>
        <item h="1" m="1" x="3407"/>
        <item h="1" m="1" x="3410"/>
        <item h="1" m="1" x="2155"/>
        <item h="1" m="1" x="2156"/>
        <item h="1" m="1" x="3248"/>
        <item h="1" m="1" x="3230"/>
        <item h="1" m="1" x="3249"/>
        <item h="1" m="1" x="3420"/>
        <item h="1" m="1" x="3278"/>
        <item h="1" m="1" x="3190"/>
        <item h="1" m="1" x="3259"/>
        <item h="1" m="1" x="3279"/>
        <item h="1" m="1" x="3280"/>
        <item h="1" m="1" x="3281"/>
        <item h="1" m="1" x="3282"/>
        <item h="1" m="1" x="3120"/>
        <item h="1" m="1" x="3283"/>
        <item h="1" m="1" x="3119"/>
        <item h="1" m="1" x="3114"/>
        <item h="1" m="1" x="3284"/>
        <item h="1" m="1" x="3101"/>
        <item h="1" m="1" x="3286"/>
        <item h="1" m="1" x="3287"/>
        <item h="1" m="1" x="3288"/>
        <item h="1" m="1" x="2479"/>
        <item h="1" m="1" x="2480"/>
        <item h="1" m="1" x="2481"/>
        <item h="1" m="1" x="3290"/>
        <item h="1" m="1" x="3292"/>
        <item h="1" m="1" x="3256"/>
        <item h="1" m="1" x="3138"/>
        <item h="1" m="1" x="3237"/>
        <item h="1" m="1" x="3036"/>
        <item h="1" m="1" x="3293"/>
        <item h="1" m="1" x="3294"/>
        <item h="1" m="1" x="3295"/>
        <item h="1" m="1" x="2426"/>
        <item h="1" m="1" x="3297"/>
        <item h="1" m="1" x="3298"/>
        <item h="1" m="1" x="2697"/>
        <item h="1" m="1" x="3299"/>
        <item h="1" m="1" x="2706"/>
        <item h="1" m="1" x="2705"/>
        <item h="1" m="1" x="3038"/>
        <item h="1" m="1" x="2478"/>
        <item h="1" m="1" x="3301"/>
        <item h="1" m="1" x="3302"/>
        <item h="1" m="1" x="3026"/>
        <item h="1" m="1" x="3027"/>
        <item h="1" m="1" x="3023"/>
        <item h="1" m="1" x="3193"/>
        <item h="1" m="1" x="1766"/>
        <item h="1" m="1" x="3192"/>
        <item h="1" m="1" x="3226"/>
        <item h="1" m="1" x="3305"/>
        <item h="1" m="1" x="3306"/>
        <item h="1" m="1" x="3307"/>
        <item h="1" m="1" x="3308"/>
        <item h="1" m="1" x="3309"/>
        <item h="1" m="1" x="3310"/>
        <item h="1" m="1" x="3311"/>
        <item h="1" m="1" x="3312"/>
        <item h="1" m="1" x="3171"/>
        <item h="1" m="1" x="3016"/>
        <item h="1" m="1" x="3121"/>
        <item h="1" m="1" x="3105"/>
        <item h="1" m="1" x="3104"/>
        <item h="1" m="1" x="3013"/>
        <item h="1" m="1" x="1727"/>
        <item h="1" m="1" x="3200"/>
        <item h="1" m="1" x="2768"/>
        <item h="1" m="1" x="3054"/>
        <item h="1" m="1" x="3056"/>
        <item h="1" m="1" x="3316"/>
        <item h="1" m="1" x="3165"/>
        <item h="1" m="1" x="3251"/>
        <item h="1" m="1" x="3047"/>
        <item h="1" m="1" x="2159"/>
        <item h="1" m="1" x="2160"/>
        <item h="1" m="1" x="3203"/>
        <item h="1" m="1" x="1959"/>
        <item h="1" m="1" x="3319"/>
        <item h="1" m="1" x="3320"/>
        <item h="1" m="1" x="3321"/>
        <item h="1" m="1" x="3322"/>
        <item h="1" m="1" x="3020"/>
        <item h="1" m="1" x="3068"/>
        <item h="1" m="1" x="3067"/>
        <item h="1" m="1" x="3066"/>
        <item h="1" m="1" x="3089"/>
        <item h="1" m="1" x="3324"/>
        <item h="1" m="1" x="3080"/>
        <item h="1" m="1" x="3216"/>
        <item h="1" m="1" x="3014"/>
        <item h="1" m="1" x="2630"/>
        <item h="1" m="1" x="3021"/>
        <item h="1" m="1" x="3022"/>
        <item h="1" m="1" x="3024"/>
        <item h="1" m="1" x="3029"/>
        <item h="1" m="1" x="3030"/>
        <item h="1" m="1" x="3031"/>
        <item h="1" m="1" x="3032"/>
        <item h="1" m="1" x="3033"/>
        <item h="1" m="1" x="3037"/>
        <item h="1" m="1" x="3039"/>
        <item h="1" m="1" x="3041"/>
        <item h="1" m="1" x="3042"/>
        <item h="1" m="1" x="2795"/>
        <item h="1" m="1" x="3043"/>
        <item h="1" m="1" x="3045"/>
        <item h="1" m="1" x="3046"/>
        <item h="1" m="1" x="2158"/>
        <item h="1" m="1" x="3048"/>
        <item h="1" m="1" x="2581"/>
        <item h="1" m="1" x="3050"/>
        <item h="1" m="1" x="3052"/>
        <item h="1" m="1" x="2683"/>
        <item h="1" m="1" x="2401"/>
        <item h="1" m="1" x="2163"/>
        <item h="1" m="1" x="2202"/>
        <item h="1" x="53"/>
        <item h="1" m="1" x="2704"/>
        <item h="1" m="1" x="3063"/>
        <item h="1" m="1" x="3065"/>
        <item h="1" m="1" x="3069"/>
        <item h="1" m="1" x="3071"/>
        <item h="1" m="1" x="3074"/>
        <item h="1" m="1" x="2402"/>
        <item h="1" m="1" x="3075"/>
        <item h="1" m="1" x="2721"/>
        <item h="1" m="1" x="3078"/>
        <item h="1" m="1" x="3079"/>
        <item h="1" m="1" x="3086"/>
        <item h="1" m="1" x="3088"/>
        <item h="1" m="1" x="3090"/>
        <item h="1" m="1" x="2477"/>
        <item h="1" m="1" x="3092"/>
        <item h="1" m="1" x="3093"/>
        <item h="1" m="1" x="3097"/>
        <item h="1" m="1" x="3102"/>
        <item h="1" m="1" x="3103"/>
        <item h="1" m="1" x="2602"/>
        <item h="1" m="1" x="3106"/>
        <item h="1" m="1" x="3108"/>
        <item h="1" m="1" x="3109"/>
        <item h="1" m="1" x="3110"/>
        <item h="1" m="1" x="3111"/>
        <item h="1" m="1" x="3112"/>
        <item h="1" m="1" x="2604"/>
        <item h="1" m="1" x="3115"/>
        <item h="1" m="1" x="3116"/>
        <item h="1" m="1" x="3124"/>
        <item h="1" m="1" x="3127"/>
        <item h="1" m="1" x="3135"/>
        <item h="1" m="1" x="3150"/>
        <item h="1" m="1" x="3152"/>
        <item h="1" m="1" x="3157"/>
        <item h="1" m="1" x="3179"/>
        <item h="1" m="1" x="3187"/>
        <item h="1" m="1" x="3189"/>
        <item h="1" m="1" x="2756"/>
        <item h="1" m="1" x="3246"/>
        <item h="1" m="1" x="3252"/>
        <item h="1" m="1" x="3253"/>
        <item h="1" m="1" x="2950"/>
        <item h="1" m="1" x="2849"/>
        <item h="1" m="1" x="3254"/>
        <item h="1" m="1" x="3255"/>
        <item h="1" m="1" x="3265"/>
        <item h="1" m="1" x="3269"/>
        <item h="1" m="1" x="3270"/>
        <item h="1" m="1" x="1367"/>
        <item h="1" m="1" x="3271"/>
        <item h="1" m="1" x="2391"/>
        <item h="1" m="1" x="2390"/>
        <item h="1" m="1" x="2771"/>
        <item h="1" m="1" x="3276"/>
        <item h="1" m="1" x="3277"/>
        <item h="1" m="1" x="2406"/>
        <item h="1" m="1" x="2911"/>
        <item h="1" m="1" x="2482"/>
        <item h="1" m="1" x="2774"/>
        <item h="1" m="1" x="2638"/>
        <item h="1" m="1" x="2639"/>
        <item h="1" m="1" x="2914"/>
        <item h="1" m="1" x="2786"/>
        <item h="1" m="1" x="2915"/>
        <item h="1" m="1" x="2777"/>
        <item h="1" m="1" x="2780"/>
        <item h="1" m="1" x="2782"/>
        <item h="1" m="1" x="2783"/>
        <item h="1" m="1" x="2916"/>
        <item h="1" m="1" x="2917"/>
        <item h="1" m="1" x="2657"/>
        <item h="1" m="1" x="2397"/>
        <item h="1" m="1" x="2568"/>
        <item h="1" m="1" x="2569"/>
        <item h="1" m="1" x="2396"/>
        <item h="1" m="1" x="2790"/>
        <item h="1" m="1" x="2792"/>
        <item h="1" m="1" x="2659"/>
        <item h="1" m="1" x="2405"/>
        <item h="1" m="1" x="2398"/>
        <item h="1" m="1" x="2572"/>
        <item h="1" m="1" x="2399"/>
        <item h="1" m="1" x="2663"/>
        <item h="1" m="1" x="2573"/>
        <item h="1" m="1" x="2921"/>
        <item h="1" m="1" x="2922"/>
        <item h="1" m="1" x="2674"/>
        <item h="1" m="1" x="2675"/>
        <item h="1" m="1" x="2676"/>
        <item h="1" m="1" x="2680"/>
        <item h="1" m="1" x="2801"/>
        <item h="1" m="1" x="2161"/>
        <item h="1" m="1" x="2686"/>
        <item h="1" m="1" x="2696"/>
        <item h="1" m="1" x="2923"/>
        <item h="1" m="1" x="2456"/>
        <item h="1" m="1" x="2925"/>
        <item h="1" m="1" x="2719"/>
        <item h="1" m="1" x="2164"/>
        <item h="1" m="1" x="2927"/>
        <item h="1" m="1" x="2723"/>
        <item h="1" m="1" x="2814"/>
        <item h="1" m="1" x="2815"/>
        <item h="1" m="1" x="2928"/>
        <item h="1" m="1" x="2597"/>
        <item h="1" m="1" x="1902"/>
        <item h="1" m="1" x="2599"/>
        <item h="1" m="1" x="2600"/>
        <item h="1" m="1" x="2929"/>
        <item h="1" m="1" x="2930"/>
        <item h="1" m="1" x="2931"/>
        <item h="1" m="1" x="2932"/>
        <item h="1" m="1" x="2933"/>
        <item h="1" m="1" x="2934"/>
        <item h="1" m="1" x="2935"/>
        <item h="1" m="1" x="2826"/>
        <item h="1" m="1" x="2825"/>
        <item h="1" m="1" x="2823"/>
        <item h="1" m="1" x="2824"/>
        <item h="1" m="1" x="2937"/>
        <item h="1" m="1" x="777"/>
        <item h="1" m="1" x="2938"/>
        <item h="1" m="1" x="2939"/>
        <item h="1" m="1" x="2940"/>
        <item h="1" m="1" x="1718"/>
        <item h="1" m="1" x="1798"/>
        <item h="1" m="1" x="2942"/>
        <item h="1" m="1" x="2943"/>
        <item h="1" m="1" x="2944"/>
        <item h="1" m="1" x="2166"/>
        <item h="1" m="1" x="1739"/>
        <item h="1" m="1" x="2754"/>
        <item h="1" m="1" x="2167"/>
        <item h="1" m="1" x="2945"/>
        <item h="1" m="1" x="2168"/>
        <item h="1" m="1" x="2946"/>
        <item h="1" m="1" x="1777"/>
        <item h="1" m="1" x="2947"/>
        <item h="1" m="1" x="1762"/>
        <item h="1" m="1" x="2843"/>
        <item h="1" m="1" x="2844"/>
        <item h="1" m="1" x="2948"/>
        <item h="1" m="1" x="2949"/>
        <item h="1" m="1" x="2169"/>
        <item h="1" m="1" x="1812"/>
        <item h="1" m="1" x="2414"/>
        <item h="1" m="1" x="295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892"/>
        <item h="1" m="1" x="2893"/>
        <item h="1" m="1" x="2894"/>
        <item h="1" m="1" x="2959"/>
        <item h="1" m="1" x="2960"/>
        <item h="1" m="1" x="2961"/>
        <item h="1" m="1" x="2962"/>
        <item h="1" m="1" x="2874"/>
        <item h="1" m="1" x="2875"/>
        <item h="1" m="1" x="2963"/>
        <item h="1" m="1" x="2964"/>
        <item h="1" m="1" x="2965"/>
        <item h="1" m="1" x="2966"/>
        <item h="1" m="1" x="2967"/>
        <item h="1" m="1" x="2968"/>
        <item h="1" m="1" x="2969"/>
        <item h="1" m="1" x="2897"/>
        <item h="1" m="1" x="2970"/>
        <item h="1" m="1" x="1912"/>
        <item h="1" m="1" x="2971"/>
        <item h="1" m="1" x="2972"/>
        <item h="1" m="1" x="2973"/>
        <item h="1" m="1" x="2974"/>
        <item h="1" m="1" x="288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895"/>
        <item h="1" m="1" x="2904"/>
        <item h="1" m="1" x="2983"/>
        <item h="1" m="1" x="2881"/>
        <item h="1" m="1" x="2883"/>
        <item h="1" m="1" x="2984"/>
        <item h="1" m="1" x="2885"/>
        <item h="1" m="1" x="2891"/>
        <item h="1" m="1" x="2985"/>
        <item h="1" m="1" x="2906"/>
        <item h="1" m="1" x="2856"/>
        <item h="1" m="1" x="2859"/>
        <item h="1" m="1" x="2860"/>
        <item h="1" m="1" x="2986"/>
        <item h="1" m="1" x="2987"/>
        <item h="1" m="1" x="2879"/>
        <item h="1" m="1" x="2880"/>
        <item h="1" m="1" x="2888"/>
        <item h="1" m="1" x="2882"/>
        <item h="1" m="1" x="2878"/>
        <item h="1" m="1" x="2988"/>
        <item h="1" m="1" x="2989"/>
        <item h="1" m="1" x="2990"/>
        <item h="1" m="1" x="2896"/>
        <item h="1" m="1" x="2991"/>
        <item h="1" m="1" x="2992"/>
        <item h="1" m="1" x="2876"/>
        <item h="1" m="1" x="2877"/>
        <item h="1" m="1" x="2873"/>
        <item h="1" m="1" x="2993"/>
        <item h="1" m="1" x="2994"/>
        <item h="1" m="1" x="2995"/>
        <item h="1" m="1" x="2996"/>
        <item h="1" m="1" x="2997"/>
        <item h="1" m="1" x="2998"/>
        <item h="1" m="1" x="2861"/>
        <item h="1" m="1" x="2863"/>
        <item h="1" m="1" x="2867"/>
        <item h="1" m="1" x="2866"/>
        <item h="1" m="1" x="2865"/>
        <item h="1" m="1" x="2864"/>
        <item h="1" m="1" x="2871"/>
        <item h="1" m="1" x="2902"/>
        <item h="1" m="1" x="2903"/>
        <item h="1" m="1" x="3000"/>
        <item h="1" m="1" x="3001"/>
        <item h="1" m="1" x="3002"/>
        <item h="1" m="1" x="3003"/>
        <item h="1" m="1" x="3004"/>
        <item h="1" m="1" x="2870"/>
        <item h="1" m="1" x="2898"/>
        <item h="1" m="1" x="2899"/>
        <item h="1" m="1" x="2900"/>
        <item h="1" m="1" x="2901"/>
        <item h="1" m="1" x="2887"/>
        <item h="1" m="1" x="2889"/>
        <item h="1" m="1" x="2890"/>
        <item h="1" m="1" x="3005"/>
        <item h="1" m="1" x="3006"/>
        <item h="1" m="1" x="3007"/>
        <item h="1" m="1" x="3008"/>
        <item h="1" m="1" x="3009"/>
        <item h="1" m="1" x="3010"/>
        <item h="1" m="1" x="2905"/>
        <item h="1" m="1" x="2886"/>
        <item h="1" m="1" x="2868"/>
        <item h="1" m="1" x="2862"/>
        <item h="1" m="1" x="2869"/>
        <item h="1" m="1" x="1859"/>
        <item h="1" m="1" x="3011"/>
        <item h="1" m="1" x="2174"/>
        <item h="1" m="1" x="2908"/>
        <item h="1" m="1" x="3012"/>
        <item h="1" m="1" x="2626"/>
        <item h="1" m="1" x="2627"/>
        <item h="1" m="1" x="2636"/>
        <item h="1" m="1" x="2483"/>
        <item h="1" m="1" x="2629"/>
        <item h="1" m="1" x="2407"/>
        <item h="1" m="1" x="2641"/>
        <item h="1" m="1" x="2175"/>
        <item h="1" m="1" x="2775"/>
        <item h="1" m="1" x="2776"/>
        <item h="1" m="1" x="2784"/>
        <item h="1" m="1" x="2785"/>
        <item h="1" m="1" x="2650"/>
        <item h="1" m="1" x="2647"/>
        <item h="1" m="1" x="2648"/>
        <item h="1" m="1" x="2649"/>
        <item h="1" m="1" x="2644"/>
        <item h="1" m="1" x="2653"/>
        <item h="1" m="1" x="2249"/>
        <item h="1" m="1" x="2788"/>
        <item h="1" m="1" x="2656"/>
        <item h="1" m="1" x="2048"/>
        <item h="1" m="1" x="2791"/>
        <item h="1" m="1" x="2658"/>
        <item h="1" m="1" x="2793"/>
        <item h="1" m="1" x="2794"/>
        <item h="1" m="1" x="2664"/>
        <item h="1" m="1" x="2409"/>
        <item h="1" m="1" x="2666"/>
        <item h="1" m="1" x="2485"/>
        <item h="1" m="1" x="2668"/>
        <item h="1" m="1" x="2576"/>
        <item h="1" m="1" x="2796"/>
        <item h="1" m="1" x="2701"/>
        <item h="1" m="1" x="2702"/>
        <item h="1" m="1" x="2584"/>
        <item h="1" m="1" x="2797"/>
        <item h="1" m="1" x="2800"/>
        <item h="1" m="1" x="2803"/>
        <item h="1" m="1" x="2178"/>
        <item h="1" m="1" x="2689"/>
        <item h="1" m="1" x="2690"/>
        <item h="1" m="1" x="2693"/>
        <item h="1" m="1" x="2694"/>
        <item h="1" m="1" x="2695"/>
        <item h="1" m="1" x="2411"/>
        <item h="1" m="1" x="2673"/>
        <item h="1" m="1" x="2708"/>
        <item h="1" m="1" x="2805"/>
        <item h="1" m="1" x="2806"/>
        <item h="1" m="1" x="2807"/>
        <item h="1" m="1" x="2183"/>
        <item h="1" m="1" x="2808"/>
        <item h="1" m="1" x="2710"/>
        <item h="1" m="1" x="2809"/>
        <item h="1" m="1" x="2711"/>
        <item h="1" m="1" x="2593"/>
        <item h="1" m="1" x="2720"/>
        <item h="1" m="1" x="1666"/>
        <item h="1" m="1" x="2812"/>
        <item h="1" m="1" x="2712"/>
        <item h="1" m="1" x="2813"/>
        <item h="1" m="1" x="2726"/>
        <item h="1" m="1" x="2725"/>
        <item h="1" m="1" x="2724"/>
        <item h="1" m="1" x="2816"/>
        <item h="1" m="1" x="2817"/>
        <item h="1" m="1" x="1689"/>
        <item h="1" m="1" x="2486"/>
        <item h="1" m="1" x="2818"/>
        <item h="1" m="1" x="2819"/>
        <item h="1" m="1" x="2598"/>
        <item h="1" m="1" x="2185"/>
        <item h="1" m="1" x="2601"/>
        <item h="1" m="1" x="2731"/>
        <item h="1" m="1" x="2732"/>
        <item h="1" m="1" x="2733"/>
        <item h="1" m="1" x="2412"/>
        <item h="1" m="1" x="2821"/>
        <item h="1" m="1" x="2822"/>
        <item h="1" m="1" x="2740"/>
        <item h="1" m="1" x="2739"/>
        <item h="1" m="1" x="1907"/>
        <item h="1" m="1" x="1905"/>
        <item h="1" m="1" x="2827"/>
        <item h="1" m="1" x="1707"/>
        <item h="1" m="1" x="1712"/>
        <item h="1" m="1" x="1710"/>
        <item h="1" m="1" x="2186"/>
        <item h="1" m="1" x="2828"/>
        <item h="1" m="1" x="2829"/>
        <item h="1" m="1" x="2830"/>
        <item h="1" m="1" x="2487"/>
        <item h="1" m="1" x="2188"/>
        <item h="1" m="1" x="2749"/>
        <item h="1" m="1" x="2831"/>
        <item h="1" m="1" x="2832"/>
        <item h="1" m="1" x="2192"/>
        <item h="1" m="1" x="2833"/>
        <item h="1" m="1" x="2834"/>
        <item h="1" m="1" x="1746"/>
        <item h="1" m="1" x="2490"/>
        <item h="1" m="1" x="2491"/>
        <item h="1" m="1" x="2617"/>
        <item h="1" m="1" x="2193"/>
        <item h="1" m="1" x="1755"/>
        <item h="1" m="1" x="1757"/>
        <item h="1" m="1" x="1758"/>
        <item h="1" m="1" x="2488"/>
        <item h="1" m="1" x="2191"/>
        <item h="1" m="1" x="2194"/>
        <item h="1" m="1" x="2835"/>
        <item h="1" m="1" x="2608"/>
        <item h="1" m="1" x="2836"/>
        <item h="1" m="1" x="2489"/>
        <item h="1" m="1" x="2190"/>
        <item h="1" m="1" x="2837"/>
        <item h="1" m="1" x="2838"/>
        <item h="1" m="1" x="2839"/>
        <item h="1" m="1" x="2840"/>
        <item h="1" m="1" x="1764"/>
        <item h="1" m="1" x="1778"/>
        <item h="1" m="1" x="1724"/>
        <item h="1" m="1" x="2841"/>
        <item h="1" m="1" x="2842"/>
        <item h="1" m="1" x="1904"/>
        <item h="1" m="1" x="2845"/>
        <item h="1" m="1" x="1820"/>
        <item h="1" m="1" x="1818"/>
        <item h="1" m="1" x="1825"/>
        <item h="1" m="1" x="2846"/>
        <item h="1" m="1" x="2847"/>
        <item h="1" m="1" x="1106"/>
        <item h="1" m="1" x="2848"/>
        <item h="1" m="1" x="2850"/>
        <item h="1" m="1" x="2851"/>
        <item h="1" m="1" x="2852"/>
        <item h="1" m="1" x="2853"/>
        <item h="1" m="1" x="2854"/>
        <item h="1" m="1" x="2855"/>
        <item h="1" m="1" x="1911"/>
        <item h="1" m="1" x="2766"/>
        <item h="1" m="1" x="2907"/>
        <item h="1" m="1" x="2769"/>
        <item h="1" m="1" x="2770"/>
        <item h="1" m="1" x="2492"/>
        <item h="1" m="1" x="2910"/>
        <item h="1" m="1" x="2628"/>
        <item h="1" m="1" x="2201"/>
        <item h="1" m="1" x="2637"/>
        <item h="1" m="1" x="2640"/>
        <item h="1" m="1" x="2642"/>
        <item h="1" m="1" x="2643"/>
        <item h="1" m="1" x="2645"/>
        <item h="1" m="1" x="2205"/>
        <item h="1" m="1" x="2651"/>
        <item h="1" m="1" x="2566"/>
        <item h="1" m="1" x="2652"/>
        <item h="1" m="1" x="2176"/>
        <item h="1" m="1" x="2494"/>
        <item h="1" m="1" x="2660"/>
        <item h="1" m="1" x="2210"/>
        <item h="1" m="1" x="2661"/>
        <item h="1" m="1" x="2665"/>
        <item h="1" m="1" x="2577"/>
        <item h="1" m="1" x="2585"/>
        <item h="1" m="1" x="2677"/>
        <item h="1" m="1" x="2678"/>
        <item h="1" m="1" x="2679"/>
        <item h="1" m="1" x="2181"/>
        <item h="1" m="1" x="2179"/>
        <item h="1" m="1" x="2685"/>
        <item h="1" m="1" x="2410"/>
        <item h="1" m="1" x="2688"/>
        <item h="1" m="1" x="2180"/>
        <item h="1" m="1" x="2692"/>
        <item h="1" m="1" x="2707"/>
        <item h="1" x="145"/>
        <item h="1" m="1" x="2713"/>
        <item h="1" m="1" x="2714"/>
        <item h="1" m="1" x="2715"/>
        <item h="1" m="1" x="2716"/>
        <item h="1" m="1" x="2717"/>
        <item h="1" m="1" x="2718"/>
        <item h="1" x="85"/>
        <item h="1" m="1" x="2184"/>
        <item h="1" m="1" x="2722"/>
        <item h="1" m="1" x="2727"/>
        <item h="1" m="1" x="2728"/>
        <item h="1" m="1" x="2435"/>
        <item h="1" m="1" x="2729"/>
        <item h="1" m="1" x="2730"/>
        <item h="1" m="1" x="2413"/>
        <item h="1" m="1" x="2734"/>
        <item h="1" m="1" x="2735"/>
        <item h="1" m="1" x="2736"/>
        <item h="1" m="1" x="2737"/>
        <item h="1" m="1" x="1908"/>
        <item h="1" m="1" x="2738"/>
        <item h="1" m="1" x="2603"/>
        <item h="1" m="1" x="2605"/>
        <item h="1" m="1" x="1906"/>
        <item h="1" m="1" x="2741"/>
        <item h="1" m="1" x="2742"/>
        <item h="1" m="1" x="1732"/>
        <item h="1" m="1" x="2744"/>
        <item h="1" m="1" x="2187"/>
        <item h="1" m="1" x="2745"/>
        <item h="1" m="1" x="2746"/>
        <item h="1" m="1" x="2747"/>
        <item h="1" m="1" x="2748"/>
        <item h="1" m="1" x="2527"/>
        <item h="1" m="1" x="1742"/>
        <item h="1" m="1" x="2277"/>
        <item h="1" m="1" x="2750"/>
        <item h="1" m="1" x="2751"/>
        <item h="1" m="1" x="2752"/>
        <item h="1" m="1" x="2753"/>
        <item h="1" m="1" x="2611"/>
        <item h="1" m="1" x="1795"/>
        <item h="1" m="1" x="1928"/>
        <item h="1" m="1" x="2755"/>
        <item h="1" m="1" x="2189"/>
        <item h="1" m="1" x="2196"/>
        <item h="1" m="1" x="2757"/>
        <item h="1" m="1" x="2758"/>
        <item h="1" m="1" x="2198"/>
        <item h="1" m="1" x="2284"/>
        <item h="1" m="1" x="2761"/>
        <item h="1" m="1" x="1849"/>
        <item h="1" m="1" x="2762"/>
        <item h="1" m="1" x="2763"/>
        <item h="1" m="1" x="2764"/>
        <item h="1" m="1" x="1913"/>
        <item h="1" m="1" x="1937"/>
        <item h="1" m="1" x="1936"/>
        <item h="1" m="1" x="2530"/>
        <item h="1" m="1" x="2767"/>
        <item h="1" m="1" x="2493"/>
        <item h="1" m="1" x="2560"/>
        <item h="1" m="1" x="2562"/>
        <item h="1" m="1" x="2563"/>
        <item h="1" m="1" x="2564"/>
        <item h="1" m="1" x="2570"/>
        <item h="1" m="1" x="2209"/>
        <item h="1" m="1" x="2427"/>
        <item h="1" m="1" x="2498"/>
        <item h="1" m="1" x="2575"/>
        <item h="1" m="1" x="2221"/>
        <item h="1" m="1" x="2583"/>
        <item h="1" m="1" x="2500"/>
        <item h="1" m="1" x="2501"/>
        <item h="1" m="1" x="2586"/>
        <item h="1" m="1" x="2587"/>
        <item h="1" m="1" x="2588"/>
        <item h="1" m="1" x="2589"/>
        <item h="1" m="1" x="2590"/>
        <item h="1" m="1" x="982"/>
        <item h="1" m="1" x="2428"/>
        <item h="1" m="1" x="2591"/>
        <item h="1" m="1" x="2509"/>
        <item h="1" m="1" x="2515"/>
        <item h="1" m="1" x="2241"/>
        <item h="1" m="1" x="2242"/>
        <item h="1" m="1" x="2244"/>
        <item h="1" m="1" x="2257"/>
        <item h="1" m="1" x="2258"/>
        <item h="1" m="1" x="2259"/>
        <item h="1" m="1" x="2263"/>
        <item h="1" m="1" x="2254"/>
        <item h="1" m="1" x="2594"/>
        <item h="1" m="1" x="2516"/>
        <item h="1" m="1" x="2596"/>
        <item h="1" m="1" x="1922"/>
        <item h="1" m="1" x="2271"/>
        <item h="1" m="1" x="2269"/>
        <item h="1" m="1" x="2270"/>
        <item h="1" m="1" x="2272"/>
        <item h="1" m="1" x="2606"/>
        <item h="1" m="1" x="2607"/>
        <item h="1" m="1" x="2279"/>
        <item h="1" m="1" x="2523"/>
        <item h="1" m="1" x="2610"/>
        <item h="1" m="1" x="1726"/>
        <item h="1" m="1" x="1749"/>
        <item h="1" m="1" x="2612"/>
        <item h="1" m="1" x="2613"/>
        <item h="1" m="1" x="1910"/>
        <item h="1" m="1" x="2614"/>
        <item h="1" m="1" x="2615"/>
        <item h="1" m="1" x="2616"/>
        <item h="1" m="1" x="1776"/>
        <item h="1" m="1" x="1774"/>
        <item h="1" m="1" x="1775"/>
        <item h="1" m="1" x="2524"/>
        <item h="1" m="1" x="2526"/>
        <item h="1" m="1" x="2525"/>
        <item h="1" x="44"/>
        <item h="1" m="1" x="2618"/>
        <item h="1" m="1" x="1836"/>
        <item h="1" m="1" x="2619"/>
        <item h="1" m="1" x="2620"/>
        <item h="1" m="1" x="2286"/>
        <item h="1" m="1" x="2287"/>
        <item h="1" m="1" x="1846"/>
        <item h="1" m="1" x="2531"/>
        <item h="1" m="1" x="2621"/>
        <item h="1" m="1" x="2622"/>
        <item h="1" m="1" x="1869"/>
        <item h="1" m="1" x="2623"/>
        <item h="1" m="1" x="804"/>
        <item h="1" m="1" x="1847"/>
        <item h="1" m="1" x="2416"/>
        <item h="1" m="1" x="2204"/>
        <item h="1" m="1" x="2495"/>
        <item h="1" m="1" x="2496"/>
        <item h="1" m="1" x="2220"/>
        <item h="1" m="1" x="2499"/>
        <item h="1" m="1" x="2503"/>
        <item h="1" m="1" x="2434"/>
        <item h="1" m="1" x="2430"/>
        <item h="1" m="1" x="2230"/>
        <item h="1" m="1" x="2231"/>
        <item h="1" m="1" x="2432"/>
        <item h="1" m="1" x="2433"/>
        <item h="1" m="1" x="2248"/>
        <item h="1" m="1" x="2507"/>
        <item h="1" m="1" x="2508"/>
        <item h="1" m="1" x="2511"/>
        <item h="1" m="1" x="2512"/>
        <item h="1" m="1" x="2513"/>
        <item h="1" m="1" x="2264"/>
        <item h="1" m="1" x="2517"/>
        <item h="1" m="1" x="2518"/>
        <item h="1" m="1" x="2519"/>
        <item h="1" m="1" x="2520"/>
        <item h="1" m="1" x="2521"/>
        <item h="1" m="1" x="2522"/>
        <item h="1" m="1" x="2280"/>
        <item h="1" m="1" x="2528"/>
        <item h="1" m="1" x="2438"/>
        <item h="1" m="1" x="2285"/>
        <item h="1" m="1" x="1560"/>
        <item h="1" m="1" x="2529"/>
        <item h="1" m="1" x="2532"/>
        <item h="1" m="1" x="2533"/>
        <item h="1" m="1" x="2534"/>
        <item h="1" m="1" x="2535"/>
        <item h="1" m="1" x="2293"/>
        <item h="1" m="1" x="2422"/>
        <item h="1" m="1" x="2418"/>
        <item h="1" m="1" x="2420"/>
        <item h="1" m="1" x="2421"/>
        <item h="1" m="1" x="2212"/>
        <item h="1" m="1" x="2536"/>
        <item h="1" m="1" x="2206"/>
        <item h="1" m="1" x="2537"/>
        <item h="1" m="1" x="2538"/>
        <item h="1" m="1" x="2431"/>
        <item h="1" m="1" x="2539"/>
        <item h="1" m="1" x="2540"/>
        <item h="1" m="1" x="2541"/>
        <item h="1" m="1" x="2245"/>
        <item h="1" m="1" x="2243"/>
        <item h="1" m="1" x="2240"/>
        <item h="1" m="1" x="2542"/>
        <item h="1" m="1" x="2543"/>
        <item h="1" m="1" x="2544"/>
        <item h="1" m="1" x="2261"/>
        <item h="1" m="1" x="1923"/>
        <item h="1" m="1" x="2545"/>
        <item h="1" m="1" x="2546"/>
        <item h="1" m="1" x="2547"/>
        <item h="1" m="1" x="2548"/>
        <item h="1" m="1" x="2549"/>
        <item h="1" m="1" x="2551"/>
        <item h="1" m="1" x="2552"/>
        <item h="1" m="1" x="2553"/>
        <item h="1" m="1" x="2554"/>
        <item h="1" m="1" x="1731"/>
        <item h="1" m="1" x="1821"/>
        <item h="1" m="1" x="2288"/>
        <item h="1" m="1" x="1938"/>
        <item h="1" m="1" x="1939"/>
        <item h="1" m="1" x="2557"/>
        <item h="1" m="1" x="1861"/>
        <item h="1" m="1" x="2558"/>
        <item h="1" m="1" x="2207"/>
        <item h="1" m="1" x="2423"/>
        <item h="1" m="1" x="2213"/>
        <item h="1" m="1" x="2425"/>
        <item h="1" m="1" x="2223"/>
        <item h="1" m="1" x="2224"/>
        <item h="1" m="1" x="2429"/>
        <item h="1" m="1" x="2247"/>
        <item h="1" m="1" x="2253"/>
        <item h="1" m="1" x="2260"/>
        <item h="1" m="1" x="2267"/>
        <item h="1" m="1" x="2268"/>
        <item h="1" m="1" x="1802"/>
        <item h="1" m="1" x="2278"/>
        <item h="1" m="1" x="2436"/>
        <item h="1" m="1" x="2282"/>
        <item h="1" m="1" x="2437"/>
        <item h="1" m="1" x="2289"/>
        <item h="1" m="1" x="2440"/>
        <item h="1" m="1" x="2441"/>
        <item h="1" m="1" x="2294"/>
        <item h="1" m="1" x="2295"/>
        <item h="1" m="1" x="2296"/>
        <item h="1" m="1" x="2444"/>
        <item h="1" m="1" x="2200"/>
        <item h="1" m="1" x="2445"/>
        <item h="1" m="1" x="2446"/>
        <item h="1" m="1" x="2447"/>
        <item h="1" m="1" x="2448"/>
        <item h="1" m="1" x="2211"/>
        <item h="1" m="1" x="2208"/>
        <item h="1" m="1" x="2450"/>
        <item h="1" m="1" x="2451"/>
        <item h="1" m="1" x="2453"/>
        <item h="1" m="1" x="2455"/>
        <item h="1" m="1" x="2226"/>
        <item h="1" m="1" x="2227"/>
        <item h="1" m="1" x="2457"/>
        <item h="1" m="1" x="2229"/>
        <item h="1" m="1" x="2228"/>
        <item h="1" m="1" x="2235"/>
        <item h="1" m="1" x="2251"/>
        <item h="1" m="1" x="2459"/>
        <item h="1" m="1" x="2250"/>
        <item h="1" m="1" x="2236"/>
        <item h="1" m="1" x="2237"/>
        <item h="1" m="1" x="2238"/>
        <item h="1" m="1" x="2239"/>
        <item h="1" m="1" x="2460"/>
        <item h="1" m="1" x="2262"/>
        <item h="1" m="1" x="2265"/>
        <item h="1" m="1" x="2461"/>
        <item h="1" m="1" x="2266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274"/>
        <item h="1" m="1" x="2283"/>
        <item h="1" m="1" x="2469"/>
        <item h="1" m="1" x="2470"/>
        <item h="1" m="1" x="1940"/>
        <item h="1" m="1" x="2471"/>
        <item h="1" m="1" x="2472"/>
        <item h="1" m="1" x="2297"/>
        <item h="1" m="1" x="2199"/>
        <item h="1" m="1" x="2225"/>
        <item h="1" m="1" x="2234"/>
        <item h="1" m="1" x="2255"/>
        <item h="1" m="1" x="2256"/>
        <item h="1" m="1" x="1921"/>
        <item h="1" m="1" x="2273"/>
        <item h="1" m="1" x="1713"/>
        <item h="1" m="1" x="1708"/>
        <item h="1" m="1" x="1719"/>
        <item h="1" m="1" x="1765"/>
        <item h="1" m="1" x="1785"/>
        <item h="1" m="1" x="2275"/>
        <item h="1" m="1" x="2276"/>
        <item h="1" m="1" x="1782"/>
        <item h="1" m="1" x="1730"/>
        <item h="1" m="1" x="1728"/>
        <item h="1" m="1" x="1738"/>
        <item h="1" m="1" x="1740"/>
        <item h="1" m="1" x="1734"/>
        <item h="1" m="1" x="1810"/>
        <item h="1" m="1" x="1816"/>
        <item h="1" m="1" x="1505"/>
        <item h="1" m="1" x="1823"/>
        <item h="1" m="1" x="2281"/>
        <item h="1" m="1" x="1837"/>
        <item h="1" m="1" x="1860"/>
        <item h="1" m="1" x="2290"/>
        <item h="1" m="1" x="2298"/>
        <item h="1" m="1" x="2301"/>
        <item h="1" m="1" x="2303"/>
        <item h="1" m="1" x="2304"/>
        <item h="1" m="1" x="2305"/>
        <item h="1" m="1" x="2307"/>
        <item h="1" m="1" x="2308"/>
        <item h="1" m="1" x="2309"/>
        <item h="1" m="1" x="2310"/>
        <item h="1" m="1" x="2311"/>
        <item h="1" x="139"/>
        <item h="1" m="1" x="2314"/>
        <item h="1" m="1" x="2315"/>
        <item h="1" m="1" x="2316"/>
        <item h="1" m="1" x="2318"/>
        <item h="1" m="1" x="2320"/>
        <item h="1" m="1" x="2321"/>
        <item h="1" m="1" x="2322"/>
        <item h="1" m="1" x="1035"/>
        <item h="1" m="1" x="383"/>
        <item h="1" m="1" x="2325"/>
        <item h="1" m="1" x="2326"/>
        <item h="1" m="1" x="2327"/>
        <item h="1" m="1" x="2329"/>
        <item h="1" m="1" x="2331"/>
        <item h="1" m="1" x="2332"/>
        <item h="1" m="1" x="2333"/>
        <item h="1" m="1" x="2334"/>
        <item h="1" m="1" x="2335"/>
        <item h="1" m="1" x="2337"/>
        <item h="1" m="1" x="2338"/>
        <item h="1" m="1" x="2339"/>
        <item h="1" m="1" x="2340"/>
        <item h="1" m="1" x="2341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709"/>
        <item h="1" m="1" x="2352"/>
        <item h="1" m="1" x="1729"/>
        <item h="1" m="1" x="2353"/>
        <item h="1" m="1" x="2354"/>
        <item h="1" m="1" x="2355"/>
        <item h="1" m="1" x="2356"/>
        <item h="1" m="1" x="2357"/>
        <item h="1" m="1" x="1748"/>
        <item h="1" m="1" x="1741"/>
        <item h="1" m="1" x="1784"/>
        <item h="1" m="1" x="2013"/>
        <item h="1" m="1" x="1767"/>
        <item h="1" m="1" x="2358"/>
        <item h="1" m="1" x="1797"/>
        <item h="1" m="1" x="2359"/>
        <item h="1" m="1" x="1799"/>
        <item h="1" m="1" x="1753"/>
        <item h="1" m="1" x="2360"/>
        <item h="1" m="1" x="1754"/>
        <item h="1" m="1" x="1750"/>
        <item h="1" m="1" x="2361"/>
        <item h="1" m="1" x="2362"/>
        <item h="1" m="1" x="2363"/>
        <item h="1" m="1" x="2364"/>
        <item h="1" m="1" x="2365"/>
        <item h="1" m="1" x="2366"/>
        <item h="1" m="1" x="2367"/>
        <item h="1" m="1" x="2368"/>
        <item h="1" m="1" x="2369"/>
        <item h="1" m="1" x="2370"/>
        <item h="1" m="1" x="2371"/>
        <item h="1" m="1" x="2372"/>
        <item h="1" m="1" x="2373"/>
        <item h="1" m="1" x="2374"/>
        <item h="1" m="1" x="1848"/>
        <item h="1" m="1" x="819"/>
        <item h="1" m="1" x="2375"/>
        <item h="1" m="1" x="2376"/>
        <item h="1" m="1" x="818"/>
        <item h="1" m="1" x="2377"/>
        <item h="1" m="1" x="2378"/>
        <item h="1" m="1" x="2379"/>
        <item h="1" m="1" x="2380"/>
        <item h="1" m="1" x="2381"/>
        <item h="1" m="1" x="2382"/>
        <item h="1" m="1" x="2384"/>
        <item h="1" m="1" x="2385"/>
        <item h="1" m="1" x="2386"/>
        <item h="1" m="1" x="2387"/>
        <item h="1" m="1" x="2388"/>
        <item h="1" m="1" x="2389"/>
        <item h="1" m="1" x="1408"/>
        <item h="1" m="1" x="1407"/>
        <item h="1" m="1" x="1894"/>
        <item h="1" m="1" x="1895"/>
        <item h="1" m="1" x="1834"/>
        <item h="1" m="1" x="1896"/>
        <item h="1" m="1" x="1897"/>
        <item h="1" m="1" x="1898"/>
        <item h="1" m="1" x="765"/>
        <item h="1" m="1" x="1780"/>
        <item h="1" m="1" x="1900"/>
        <item h="1" m="1" x="1901"/>
        <item h="1" m="1" x="810"/>
        <item h="1" m="1" x="1736"/>
        <item h="1" m="1" x="1909"/>
        <item h="1" m="1" x="1737"/>
        <item h="1" m="1" x="1914"/>
        <item h="1" m="1" x="1698"/>
        <item h="1" m="1" x="1697"/>
        <item h="1" m="1" x="1699"/>
        <item h="1" m="1" x="1916"/>
        <item h="1" m="1" x="1917"/>
        <item h="1" m="1" x="1918"/>
        <item h="1" m="1" x="1919"/>
        <item h="1" m="1" x="1920"/>
        <item h="1" m="1" x="1690"/>
        <item h="1" m="1" x="1691"/>
        <item h="1" m="1" x="1773"/>
        <item h="1" m="1" x="1378"/>
        <item h="1" m="1" x="1808"/>
        <item h="1" m="1" x="1924"/>
        <item h="1" m="1" x="1790"/>
        <item h="1" m="1" x="1925"/>
        <item h="1" m="1" x="1926"/>
        <item h="1" m="1" x="1723"/>
        <item h="1" m="1" x="1796"/>
        <item h="1" m="1" x="1725"/>
        <item h="1" m="1" x="1827"/>
        <item h="1" m="1" x="1829"/>
        <item h="1" m="1" x="1830"/>
        <item h="1" m="1" x="1929"/>
        <item h="1" m="1" x="1930"/>
        <item h="1" m="1" x="1932"/>
        <item h="1" m="1" x="1933"/>
        <item h="1" m="1" x="1934"/>
        <item h="1" m="1" x="1935"/>
        <item h="1" m="1" x="1942"/>
        <item h="1" m="1" x="1944"/>
        <item h="1" m="1" x="1618"/>
        <item h="1" m="1" x="1945"/>
        <item h="1" m="1" x="1946"/>
        <item h="1" m="1" x="1947"/>
        <item h="1" m="1" x="1948"/>
        <item h="1" m="1" x="1949"/>
        <item h="1" m="1" x="1595"/>
        <item h="1" m="1" x="1950"/>
        <item h="1" m="1" x="1605"/>
        <item h="1" m="1" x="1466"/>
        <item h="1" m="1" x="1613"/>
        <item h="1" m="1" x="1614"/>
        <item h="1" m="1" x="1951"/>
        <item h="1" m="1" x="1617"/>
        <item h="1" m="1" x="1952"/>
        <item h="1" m="1" x="1953"/>
        <item h="1" m="1" x="1954"/>
        <item h="1" m="1" x="1955"/>
        <item h="1" m="1" x="1956"/>
        <item h="1" m="1" x="1957"/>
        <item h="1" m="1" x="1958"/>
        <item h="1" m="1" x="1960"/>
        <item h="1" m="1" x="1961"/>
        <item h="1" m="1" x="1962"/>
        <item h="1" m="1" x="1963"/>
        <item h="1" m="1" x="1510"/>
        <item h="1" m="1" x="1964"/>
        <item h="1" m="1" x="1965"/>
        <item h="1" m="1" x="1511"/>
        <item h="1" m="1" x="1513"/>
        <item h="1" m="1" x="1968"/>
        <item h="1" m="1" x="1970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x="15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821"/>
        <item h="1" m="1" x="1998"/>
        <item h="1" m="1" x="1442"/>
        <item h="1" m="1" x="1999"/>
        <item h="1" m="1" x="823"/>
        <item h="1" m="1" x="822"/>
        <item h="1" m="1" x="1533"/>
        <item h="1" m="1" x="2002"/>
        <item h="1" m="1" x="830"/>
        <item h="1" m="1" x="831"/>
        <item h="1" m="1" x="812"/>
        <item h="1" m="1" x="1535"/>
        <item h="1" m="1" x="829"/>
        <item h="1" m="1" x="2003"/>
        <item h="1" m="1" x="828"/>
        <item h="1" m="1" x="2005"/>
        <item h="1" m="1" x="2006"/>
        <item h="1" m="1" x="601"/>
        <item h="1" m="1" x="824"/>
        <item h="1" m="1" x="825"/>
        <item h="1" m="1" x="826"/>
        <item h="1" m="1" x="2007"/>
        <item h="1" m="1" x="827"/>
        <item h="1" m="1" x="2008"/>
        <item h="1" m="1" x="2009"/>
        <item h="1" m="1" x="834"/>
        <item h="1" m="1" x="1747"/>
        <item h="1" m="1" x="1743"/>
        <item h="1" m="1" x="1540"/>
        <item h="1" m="1" x="1538"/>
        <item h="1" m="1" x="833"/>
        <item h="1" m="1" x="1539"/>
        <item h="1" m="1" x="838"/>
        <item h="1" m="1" x="839"/>
        <item h="1" m="1" x="2010"/>
        <item h="1" m="1" x="2011"/>
        <item h="1" m="1" x="2012"/>
        <item h="1" m="1" x="836"/>
        <item h="1" m="1" x="2015"/>
        <item h="1" m="1" x="2016"/>
        <item h="1" m="1" x="835"/>
        <item h="1" m="1" x="2017"/>
        <item h="1" m="1" x="2018"/>
        <item h="1" m="1" x="832"/>
        <item h="1" m="1" x="813"/>
        <item h="1" m="1" x="837"/>
        <item h="1" m="1" x="840"/>
        <item h="1" m="1" x="1553"/>
        <item h="1" m="1" x="841"/>
        <item h="1" m="1" x="842"/>
        <item h="1" m="1" x="843"/>
        <item h="1" m="1" x="1842"/>
        <item h="1" m="1" x="2020"/>
        <item h="1" m="1" x="2021"/>
        <item h="1" m="1" x="2022"/>
        <item h="1" m="1" x="2023"/>
        <item h="1" m="1" x="2024"/>
        <item h="1" m="1" x="2025"/>
        <item h="1" m="1" x="2026"/>
        <item h="1" m="1" x="2027"/>
        <item h="1" m="1" x="2028"/>
        <item h="1" m="1" x="2030"/>
        <item h="1" m="1" x="2031"/>
        <item h="1" m="1" x="1880"/>
        <item h="1" m="1" x="1883"/>
        <item h="1" m="1" x="1888"/>
        <item h="1" m="1" x="2032"/>
        <item h="1" m="1" x="2034"/>
        <item h="1" m="1" x="2036"/>
        <item h="1" m="1" x="2037"/>
        <item h="1" m="1" x="2038"/>
        <item h="1" m="1" x="2039"/>
        <item h="1" m="1" x="2040"/>
        <item h="1" m="1" x="2042"/>
        <item h="1" m="1" x="2043"/>
        <item h="1" m="1" x="2044"/>
        <item h="1" m="1" x="2045"/>
        <item h="1" m="1" x="2046"/>
        <item h="1" m="1" x="1122"/>
        <item h="1" m="1" x="2047"/>
        <item h="1" m="1" x="2051"/>
        <item h="1" m="1" x="2052"/>
        <item h="1" m="1" x="1475"/>
        <item h="1" m="1" x="2055"/>
        <item h="1" m="1" x="2056"/>
        <item h="1" m="1" x="1622"/>
        <item h="1" m="1" x="2057"/>
        <item h="1" m="1" x="2058"/>
        <item h="1" m="1" x="2059"/>
        <item h="1" m="1" x="2060"/>
        <item h="1" m="1" x="2061"/>
        <item h="1" m="1" x="2064"/>
        <item h="1" m="1" x="2065"/>
        <item h="1" m="1" x="2066"/>
        <item h="1" m="1" x="2067"/>
        <item h="1" m="1" x="2068"/>
        <item h="1" m="1" x="2072"/>
        <item h="1" m="1" x="2073"/>
        <item h="1" m="1" x="2076"/>
        <item h="1" m="1" x="2078"/>
        <item h="1" m="1" x="2079"/>
        <item h="1" m="1" x="2080"/>
        <item h="1" m="1" x="2081"/>
        <item h="1" m="1" x="125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4"/>
        <item h="1" m="1" x="2095"/>
        <item h="1" m="1" x="2098"/>
        <item h="1" m="1" x="2100"/>
        <item h="1" m="1" x="2101"/>
        <item h="1" m="1" x="2102"/>
        <item h="1" m="1" x="2103"/>
        <item h="1" m="1" x="1273"/>
        <item h="1" m="1" x="2104"/>
        <item h="1" m="1" x="2105"/>
        <item h="1" m="1" x="2106"/>
        <item h="1" m="1" x="2108"/>
        <item h="1" m="1" x="786"/>
        <item h="1" m="1" x="2110"/>
        <item h="1" m="1" x="2111"/>
        <item h="1" m="1" x="2112"/>
        <item h="1" m="1" x="2113"/>
        <item h="1" m="1" x="852"/>
        <item h="1" m="1" x="2114"/>
        <item h="1" m="1" x="2115"/>
        <item h="1" m="1" x="2116"/>
        <item h="1" m="1" x="2117"/>
        <item h="1" m="1" x="858"/>
        <item h="1" m="1" x="2118"/>
        <item h="1" m="1" x="2119"/>
        <item h="1" m="1" x="1759"/>
        <item h="1" m="1" x="2120"/>
        <item h="1" m="1" x="863"/>
        <item h="1" m="1" x="864"/>
        <item h="1" m="1" x="2122"/>
        <item h="1" m="1" x="870"/>
        <item h="1" m="1" x="2124"/>
        <item h="1" m="1" x="873"/>
        <item h="1" m="1" x="1735"/>
        <item h="1" m="1" x="1822"/>
        <item h="1" m="1" x="2125"/>
        <item h="1" m="1" x="1831"/>
        <item h="1" m="1" x="844"/>
        <item h="1" m="1" x="845"/>
        <item h="1" m="1" x="892"/>
        <item h="1" m="1" x="2126"/>
        <item h="1" m="1" x="2127"/>
        <item h="1" m="1" x="895"/>
        <item h="1" m="1" x="894"/>
        <item h="1" m="1" x="2128"/>
        <item h="1" m="1" x="1857"/>
        <item h="1" m="1" x="1580"/>
        <item h="1" m="1" x="846"/>
        <item h="1" x="98"/>
        <item h="1" m="1" x="1594"/>
        <item h="1" m="1" x="2129"/>
        <item h="1" m="1" x="2130"/>
        <item h="1" m="1" x="2132"/>
        <item h="1" m="1" x="2133"/>
        <item h="1" m="1" x="2134"/>
        <item h="1" m="1" x="2135"/>
        <item h="1" m="1" x="2136"/>
        <item h="1" m="1" x="2137"/>
        <item h="1" m="1" x="1596"/>
        <item h="1" m="1" x="1445"/>
        <item h="1" m="1" x="1446"/>
        <item h="1" m="1" x="1597"/>
        <item h="1" m="1" x="1598"/>
        <item h="1" m="1" x="1599"/>
        <item h="1" m="1" x="1601"/>
        <item h="1" m="1" x="1602"/>
        <item h="1" m="1" x="1454"/>
        <item h="1" m="1" x="1604"/>
        <item h="1" m="1" x="1457"/>
        <item h="1" m="1" x="1465"/>
        <item h="1" m="1" x="1464"/>
        <item h="1" m="1" x="1606"/>
        <item h="1" m="1" x="1456"/>
        <item h="1" m="1" x="1458"/>
        <item h="1" m="1" x="1607"/>
        <item h="1" m="1" x="1608"/>
        <item h="1" m="1" x="1609"/>
        <item h="1" m="1" x="1473"/>
        <item h="1" m="1" x="1611"/>
        <item h="1" m="1" x="1470"/>
        <item h="1" m="1" x="1467"/>
        <item h="1" m="1" x="1468"/>
        <item h="1" m="1" x="1612"/>
        <item h="1" m="1" x="336"/>
        <item h="1" m="1" x="1619"/>
        <item h="1" m="1" x="906"/>
        <item h="1" m="1" x="1620"/>
        <item h="1" m="1" x="1621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849"/>
        <item h="1" m="1" x="1632"/>
        <item h="1" m="1" x="1633"/>
        <item h="1" m="1" x="1634"/>
        <item h="1" m="1" x="1635"/>
        <item h="1" m="1" x="1636"/>
        <item h="1" m="1" x="1637"/>
        <item h="1" m="1" x="1638"/>
        <item h="1" m="1" x="1640"/>
        <item h="1" m="1" x="1641"/>
        <item h="1" m="1" x="1642"/>
        <item h="1" m="1" x="1643"/>
        <item h="1" m="1" x="1497"/>
        <item h="1" m="1" x="1644"/>
        <item h="1" m="1" x="1645"/>
        <item h="1" m="1" x="1646"/>
        <item h="1" m="1" x="1647"/>
        <item h="1" m="1" x="1648"/>
        <item h="1" m="1" x="1649"/>
        <item h="1" m="1" x="809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508"/>
        <item h="1" m="1" x="1658"/>
        <item h="1" m="1" x="1659"/>
        <item h="1" m="1" x="1660"/>
        <item h="1" m="1" x="1661"/>
        <item h="1" m="1" x="1662"/>
        <item h="1" m="1" x="1663"/>
        <item h="1" m="1" x="1664"/>
        <item h="1" m="1" x="1667"/>
        <item h="1" m="1" x="1668"/>
        <item h="1" m="1" x="1525"/>
        <item h="1" m="1" x="1207"/>
        <item h="1" m="1" x="1671"/>
        <item h="1" m="1" x="1672"/>
        <item h="1" m="1" x="1673"/>
        <item h="1" m="1" x="1674"/>
        <item h="1" m="1" x="1675"/>
        <item h="1" m="1" x="1676"/>
        <item h="1" m="1" x="1677"/>
        <item h="1" m="1" x="1678"/>
        <item h="1" m="1" x="1679"/>
        <item h="1" m="1" x="1680"/>
        <item h="1" m="1" x="1682"/>
        <item h="1" m="1" x="1683"/>
        <item h="1" m="1" x="1684"/>
        <item h="1" m="1" x="1685"/>
        <item h="1" m="1" x="1686"/>
        <item h="1" m="1" x="1687"/>
        <item h="1" m="1" x="1688"/>
        <item h="1" m="1" x="853"/>
        <item h="1" m="1" x="1529"/>
        <item h="1" m="1" x="1692"/>
        <item h="1" m="1" x="1693"/>
        <item h="1" m="1" x="1694"/>
        <item h="1" m="1" x="1695"/>
        <item h="1" m="1" x="854"/>
        <item h="1" m="1" x="1700"/>
        <item h="1" m="1" x="1701"/>
        <item h="1" m="1" x="1702"/>
        <item h="1" m="1" x="855"/>
        <item h="1" m="1" x="1703"/>
        <item h="1" m="1" x="1704"/>
        <item h="1" m="1" x="1705"/>
        <item h="1" m="1" x="857"/>
        <item h="1" m="1" x="1715"/>
        <item h="1" m="1" x="1716"/>
        <item h="1" m="1" x="1717"/>
        <item h="1" m="1" x="859"/>
        <item h="1" m="1" x="1720"/>
        <item h="1" m="1" x="1721"/>
        <item h="1" m="1" x="871"/>
        <item h="1" m="1" x="1722"/>
        <item h="1" m="1" x="1427"/>
        <item h="1" m="1" x="1751"/>
        <item h="1" m="1" x="868"/>
        <item h="1" m="1" x="1096"/>
        <item h="1" m="1" x="925"/>
        <item h="1" m="1" x="872"/>
        <item h="1" m="1" x="1760"/>
        <item h="1" m="1" x="1763"/>
        <item h="1" m="1" x="1769"/>
        <item h="1" m="1" x="1772"/>
        <item h="1" m="1" x="1779"/>
        <item h="1" m="1" x="1783"/>
        <item h="1" m="1" x="1786"/>
        <item h="1" m="1" x="1787"/>
        <item h="1" m="1" x="1788"/>
        <item h="1" m="1" x="1789"/>
        <item h="1" m="1" x="1791"/>
        <item h="1" m="1" x="1792"/>
        <item h="1" m="1" x="860"/>
        <item h="1" m="1" x="1793"/>
        <item h="1" m="1" x="614"/>
        <item h="1" m="1" x="861"/>
        <item h="1" m="1" x="862"/>
        <item h="1" m="1" x="867"/>
        <item h="1" m="1" x="1800"/>
        <item h="1" m="1" x="1801"/>
        <item h="1" m="1" x="1804"/>
        <item h="1" m="1" x="1805"/>
        <item h="1" m="1" x="1806"/>
        <item h="1" m="1" x="865"/>
        <item h="1" m="1" x="866"/>
        <item h="1" m="1" x="1807"/>
        <item h="1" m="1" x="942"/>
        <item h="1" m="1" x="874"/>
        <item h="1" m="1" x="1811"/>
        <item h="1" m="1" x="875"/>
        <item h="1" m="1" x="877"/>
        <item h="1" m="1" x="876"/>
        <item h="1" m="1" x="878"/>
        <item h="1" m="1" x="1813"/>
        <item h="1" m="1" x="1814"/>
        <item h="1" m="1" x="1815"/>
        <item h="1" m="1" x="1817"/>
        <item h="1" m="1" x="1819"/>
        <item h="1" m="1" x="879"/>
        <item h="1" m="1" x="950"/>
        <item h="1" m="1" x="880"/>
        <item h="1" m="1" x="881"/>
        <item h="1" m="1" x="952"/>
        <item h="1" m="1" x="882"/>
        <item h="1" m="1" x="1824"/>
        <item h="1" m="1" x="887"/>
        <item h="1" m="1" x="1554"/>
        <item h="1" m="1" x="885"/>
        <item h="1" m="1" x="886"/>
        <item h="1" m="1" x="889"/>
        <item h="1" m="1" x="888"/>
        <item h="1" m="1" x="1826"/>
        <item h="1" m="1" x="884"/>
        <item h="1" m="1" x="883"/>
        <item h="1" m="1" x="890"/>
        <item h="1" m="1" x="891"/>
        <item h="1" m="1" x="1833"/>
        <item h="1" m="1" x="1835"/>
        <item h="1" m="1" x="1840"/>
        <item h="1" m="1" x="1841"/>
        <item h="1" m="1" x="816"/>
        <item h="1" m="1" x="1559"/>
        <item h="1" m="1" x="1843"/>
        <item h="1" m="1" x="1844"/>
        <item h="1" m="1" x="1563"/>
        <item h="1" m="1" x="1850"/>
        <item h="1" m="1" x="1851"/>
        <item h="1" m="1" x="1852"/>
        <item h="1" m="1" x="896"/>
        <item h="1" m="1" x="1564"/>
        <item h="1" m="1" x="1853"/>
        <item h="1" m="1" x="1565"/>
        <item h="1" m="1" x="1854"/>
        <item h="1" m="1" x="1855"/>
        <item h="1" m="1" x="893"/>
        <item h="1" m="1" x="1863"/>
        <item h="1" m="1" x="1864"/>
        <item h="1" m="1" x="897"/>
        <item h="1" m="1" x="979"/>
        <item h="1" m="1" x="1865"/>
        <item h="1" m="1" x="1866"/>
        <item h="1" m="1" x="1867"/>
        <item h="1" m="1" x="898"/>
        <item h="1" m="1" x="1870"/>
        <item h="1" m="1" x="1871"/>
        <item h="1" m="1" x="1873"/>
        <item h="1" m="1" x="1874"/>
        <item h="1" m="1" x="1876"/>
        <item h="1" m="1" x="1585"/>
        <item h="1" m="1" x="1584"/>
        <item h="1" m="1" x="1586"/>
        <item h="1" m="1" x="1877"/>
        <item h="1" m="1" x="1878"/>
        <item h="1" m="1" x="1588"/>
        <item h="1" m="1" x="1881"/>
        <item h="1" m="1" x="1882"/>
        <item h="1" m="1" x="1884"/>
        <item h="1" m="1" x="1885"/>
        <item h="1" m="1" x="1886"/>
        <item h="1" m="1" x="1887"/>
        <item h="1" m="1" x="1890"/>
        <item h="1" m="1" x="1891"/>
        <item h="1" m="1" x="900"/>
        <item h="1" m="1" x="1892"/>
        <item h="1" m="1" x="1444"/>
        <item h="1" m="1" x="1449"/>
        <item h="1" m="1" x="1450"/>
        <item h="1" m="1" x="1452"/>
        <item h="1" m="1" x="1453"/>
        <item h="1" m="1" x="1455"/>
        <item h="1" m="1" x="1459"/>
        <item h="1" m="1" x="1460"/>
        <item h="1" m="1" x="1462"/>
        <item h="1" m="1" x="1463"/>
        <item h="1" m="1" x="902"/>
        <item h="1" m="1" x="903"/>
        <item h="1" m="1" x="1469"/>
        <item h="1" m="1" x="1471"/>
        <item h="1" m="1" x="1472"/>
        <item h="1" m="1" x="1474"/>
        <item h="1" m="1" x="1476"/>
        <item h="1" m="1" x="1478"/>
        <item h="1" m="1" x="1479"/>
        <item h="1" m="1" x="1480"/>
        <item h="1" m="1" x="1481"/>
        <item h="1" m="1" x="1482"/>
        <item h="1" m="1" x="1483"/>
        <item h="1" m="1" x="1484"/>
        <item h="1" m="1" x="1485"/>
        <item h="1" m="1" x="1486"/>
        <item h="1" m="1" x="1487"/>
        <item h="1" m="1" x="1488"/>
        <item h="1" m="1" x="1490"/>
        <item h="1" m="1" x="1491"/>
        <item h="1" m="1" x="1492"/>
        <item h="1" m="1" x="1493"/>
        <item h="1" m="1" x="1494"/>
        <item h="1" m="1" x="1495"/>
        <item h="1" m="1" x="1496"/>
        <item h="1" m="1" x="1498"/>
        <item h="1" m="1" x="1499"/>
        <item h="1" m="1" x="1500"/>
        <item h="1" m="1" x="1502"/>
        <item h="1" m="1" x="1503"/>
        <item h="1" m="1" x="1504"/>
        <item h="1" m="1" x="1506"/>
        <item h="1" m="1" x="1507"/>
        <item h="1" m="1" x="1512"/>
        <item h="1" m="1" x="1514"/>
        <item h="1" m="1" x="1516"/>
        <item h="1" m="1" x="910"/>
        <item h="1" m="1" x="1519"/>
        <item h="1" m="1" x="1520"/>
        <item h="1" m="1" x="1523"/>
        <item h="1" m="1" x="1524"/>
        <item h="1" m="1" x="1526"/>
        <item h="1" m="1" x="912"/>
        <item h="1" m="1" x="1527"/>
        <item h="1" m="1" x="1528"/>
        <item h="1" m="1" x="1530"/>
        <item h="1" m="1" x="1531"/>
        <item h="1" m="1" x="1532"/>
        <item h="1" m="1" x="1534"/>
        <item h="1" m="1" x="1349"/>
        <item h="1" m="1" x="1536"/>
        <item h="1" m="1" x="1537"/>
        <item h="1" m="1" x="915"/>
        <item h="1" m="1" x="916"/>
        <item h="1" m="1" x="922"/>
        <item h="1" m="1" x="921"/>
        <item h="1" m="1" x="1541"/>
        <item h="1" m="1" x="1542"/>
        <item h="1" m="1" x="928"/>
        <item h="1" m="1" x="1544"/>
        <item h="1" m="1" x="1545"/>
        <item h="1" m="1" x="1546"/>
        <item h="1" m="1" x="933"/>
        <item h="1" m="1" x="932"/>
        <item h="1" m="1" x="1547"/>
        <item h="1" m="1" x="1548"/>
        <item h="1" m="1" x="1549"/>
        <item h="1" m="1" x="1550"/>
        <item h="1" m="1" x="1551"/>
        <item h="1" m="1" x="936"/>
        <item h="1" m="1" x="926"/>
        <item h="1" m="1" x="1552"/>
        <item h="1" m="1" x="944"/>
        <item h="1" m="1" x="947"/>
        <item h="1" m="1" x="948"/>
        <item h="1" m="1" x="953"/>
        <item h="1" m="1" x="965"/>
        <item h="1" m="1" x="1555"/>
        <item h="1" m="1" x="966"/>
        <item h="1" m="1" x="964"/>
        <item h="1" m="1" x="968"/>
        <item h="1" m="1" x="969"/>
        <item h="1" m="1" x="967"/>
        <item h="1" m="1" x="970"/>
        <item h="1" m="1" x="1557"/>
        <item h="1" m="1" x="798"/>
        <item h="1" m="1" x="1558"/>
        <item h="1" m="1" x="1562"/>
        <item h="1" m="1" x="1567"/>
        <item h="1" m="1" x="1568"/>
        <item h="1" m="1" x="1569"/>
        <item h="1" m="1" x="1373"/>
        <item h="1" m="1" x="1570"/>
        <item h="1" m="1" x="1571"/>
        <item h="1" m="1" x="1572"/>
        <item h="1" m="1" x="1573"/>
        <item h="1" m="1" x="1574"/>
        <item h="1" m="1" x="1575"/>
        <item h="1" m="1" x="1576"/>
        <item h="1" m="1" x="975"/>
        <item h="1" m="1" x="1577"/>
        <item h="1" m="1" x="1578"/>
        <item h="1" m="1" x="976"/>
        <item h="1" m="1" x="1581"/>
        <item h="1" m="1" x="1587"/>
        <item h="1" m="1" x="1589"/>
        <item h="1" m="1" x="1118"/>
        <item h="1" m="1" x="1592"/>
        <item h="1" m="1" x="989"/>
        <item h="1" m="1" x="307"/>
        <item h="1" m="1" x="1593"/>
        <item h="1" m="1" x="993"/>
        <item h="1" m="1" x="991"/>
        <item h="1" m="1" x="992"/>
        <item h="1" m="1" x="998"/>
        <item h="1" m="1" x="1382"/>
        <item h="1" m="1" x="999"/>
        <item h="1" m="1" x="901"/>
        <item h="1" m="1" x="1008"/>
        <item h="1" m="1" x="1009"/>
        <item h="1" m="1" x="1007"/>
        <item h="1" m="1" x="1003"/>
        <item h="1" m="1" x="1004"/>
        <item h="1" m="1" x="1005"/>
        <item h="1" m="1" x="1006"/>
        <item h="1" m="1" x="1000"/>
        <item h="1" m="1" x="1002"/>
        <item h="1" m="1" x="1001"/>
        <item h="1" m="1" x="1383"/>
        <item h="1" m="1" x="904"/>
        <item h="1" m="1" x="1299"/>
        <item h="1" m="1" x="1012"/>
        <item h="1" m="1" x="1384"/>
        <item h="1" m="1" x="1303"/>
        <item h="1" m="1" x="1312"/>
        <item h="1" m="1" x="1313"/>
        <item h="1" m="1" x="1385"/>
        <item h="1" m="1" x="1386"/>
        <item h="1" m="1" x="1387"/>
        <item h="1" m="1" x="1314"/>
        <item h="1" m="1" x="1304"/>
        <item h="1" m="1" x="1305"/>
        <item h="1" m="1" x="1307"/>
        <item h="1" m="1" x="1308"/>
        <item h="1" m="1" x="1306"/>
        <item h="1" m="1" x="1015"/>
        <item h="1" m="1" x="1016"/>
        <item h="1" m="1" x="1302"/>
        <item h="1" m="1" x="1317"/>
        <item h="1" m="1" x="1300"/>
        <item h="1" m="1" x="1318"/>
        <item h="1" m="1" x="1388"/>
        <item h="1" m="1" x="1018"/>
        <item h="1" m="1" x="1017"/>
        <item h="1" m="1" x="1389"/>
        <item h="1" m="1" x="1390"/>
        <item h="1" m="1" x="1391"/>
        <item h="1" m="1" x="1392"/>
        <item h="1" m="1" x="1393"/>
        <item h="1" x="160"/>
        <item h="1" m="1" x="1019"/>
        <item h="1" m="1" x="762"/>
        <item h="1" m="1" x="1028"/>
        <item h="1" m="1" x="1029"/>
        <item h="1" m="1" x="1332"/>
        <item h="1" m="1" x="1329"/>
        <item h="1" m="1" x="1330"/>
        <item h="1" m="1" x="1331"/>
        <item h="1" m="1" x="1327"/>
        <item h="1" m="1" x="1394"/>
        <item h="1" m="1" x="1023"/>
        <item h="1" m="1" x="1025"/>
        <item h="1" m="1" x="1024"/>
        <item h="1" m="1" x="1026"/>
        <item h="1" m="1" x="1031"/>
        <item h="1" m="1" x="907"/>
        <item h="1" m="1" x="908"/>
        <item h="1" m="1" x="1034"/>
        <item h="1" m="1" x="1333"/>
        <item h="1" m="1" x="1395"/>
        <item h="1" m="1" x="1396"/>
        <item h="1" m="1" x="1036"/>
        <item h="1" m="1" x="1037"/>
        <item h="1" m="1" x="1397"/>
        <item h="1" m="1" x="1038"/>
        <item h="1" m="1" x="1047"/>
        <item h="1" m="1" x="1048"/>
        <item h="1" m="1" x="1049"/>
        <item h="1" m="1" x="1050"/>
        <item h="1" m="1" x="1398"/>
        <item h="1" m="1" x="1399"/>
        <item h="1" m="1" x="1043"/>
        <item h="1" m="1" x="1044"/>
        <item h="1" m="1" x="1042"/>
        <item h="1" m="1" x="1040"/>
        <item h="1" m="1" x="1041"/>
        <item h="1" m="1" x="1334"/>
        <item h="1" m="1" x="1400"/>
        <item h="1" m="1" x="1401"/>
        <item h="1" m="1" x="1402"/>
        <item h="1" m="1" x="1339"/>
        <item h="1" m="1" x="1335"/>
        <item h="1" m="1" x="1336"/>
        <item h="1" m="1" x="1338"/>
        <item h="1" m="1" x="1337"/>
        <item h="1" m="1" x="1051"/>
        <item h="1" m="1" x="1055"/>
        <item h="1" m="1" x="1057"/>
        <item h="1" m="1" x="1058"/>
        <item h="1" m="1" x="750"/>
        <item h="1" m="1" x="1053"/>
        <item h="1" m="1" x="1054"/>
        <item h="1" m="1" x="1061"/>
        <item h="1" m="1" x="1403"/>
        <item h="1" m="1" x="911"/>
        <item h="1" m="1" x="1065"/>
        <item h="1" m="1" x="1067"/>
        <item h="1" m="1" x="1068"/>
        <item h="1" m="1" x="1069"/>
        <item h="1" m="1" x="1066"/>
        <item h="1" m="1" x="1073"/>
        <item h="1" m="1" x="1071"/>
        <item h="1" m="1" x="1342"/>
        <item h="1" m="1" x="1074"/>
        <item h="1" m="1" x="1075"/>
        <item h="1" m="1" x="1404"/>
        <item h="1" m="1" x="1076"/>
        <item h="1" m="1" x="1077"/>
        <item h="1" m="1" x="1405"/>
        <item h="1" m="1" x="1078"/>
        <item h="1" m="1" x="1344"/>
        <item h="1" m="1" x="1079"/>
        <item h="1" m="1" x="1406"/>
        <item h="1" m="1" x="913"/>
        <item h="1" m="1" x="1080"/>
        <item h="1" m="1" x="914"/>
        <item h="1" m="1" x="1350"/>
        <item h="1" m="1" x="1351"/>
        <item h="1" m="1" x="1347"/>
        <item h="1" m="1" x="1348"/>
        <item h="1" m="1" x="917"/>
        <item h="1" m="1" x="918"/>
        <item h="1" m="1" x="1082"/>
        <item h="1" m="1" x="1083"/>
        <item h="1" m="1" x="1409"/>
        <item h="1" m="1" x="1084"/>
        <item h="1" m="1" x="1085"/>
        <item h="1" m="1" x="1086"/>
        <item h="1" m="1" x="1352"/>
        <item h="1" m="1" x="1356"/>
        <item h="1" m="1" x="1357"/>
        <item h="1" m="1" x="1355"/>
        <item h="1" m="1" x="1358"/>
        <item h="1" m="1" x="1359"/>
        <item h="1" m="1" x="1360"/>
        <item h="1" m="1" x="1361"/>
        <item h="1" m="1" x="931"/>
        <item h="1" m="1" x="1092"/>
        <item h="1" m="1" x="929"/>
        <item h="1" m="1" x="930"/>
        <item h="1" m="1" x="1410"/>
        <item h="1" m="1" x="1411"/>
        <item h="1" m="1" x="1412"/>
        <item h="1" m="1" x="1413"/>
        <item h="1" m="1" x="927"/>
        <item h="1" m="1" x="1353"/>
        <item h="1" m="1" x="934"/>
        <item h="1" m="1" x="935"/>
        <item h="1" m="1" x="937"/>
        <item h="1" m="1" x="1090"/>
        <item h="1" m="1" x="939"/>
        <item h="1" m="1" x="1417"/>
        <item h="1" m="1" x="1418"/>
        <item h="1" m="1" x="1419"/>
        <item h="1" m="1" x="940"/>
        <item h="1" m="1" x="938"/>
        <item h="1" m="1" x="1420"/>
        <item h="1" m="1" x="1421"/>
        <item h="1" m="1" x="1093"/>
        <item h="1" m="1" x="1422"/>
        <item h="1" m="1" x="1088"/>
        <item h="1" m="1" x="1089"/>
        <item h="1" m="1" x="815"/>
        <item h="1" m="1" x="814"/>
        <item h="1" m="1" x="941"/>
        <item h="1" m="1" x="1423"/>
        <item h="1" m="1" x="920"/>
        <item h="1" m="1" x="923"/>
        <item h="1" m="1" x="924"/>
        <item h="1" m="1" x="1364"/>
        <item h="1" m="1" x="1424"/>
        <item h="1" m="1" x="1425"/>
        <item h="1" m="1" x="1426"/>
        <item h="1" m="1" x="1095"/>
        <item h="1" m="1" x="1365"/>
        <item h="1" m="1" x="946"/>
        <item h="1" m="1" x="945"/>
        <item h="1" m="1" x="1097"/>
        <item h="1" m="1" x="943"/>
        <item h="1" m="1" x="1098"/>
        <item h="1" m="1" x="1099"/>
        <item h="1" m="1" x="1100"/>
        <item h="1" m="1" x="1101"/>
        <item h="1" m="1" x="1428"/>
        <item h="1" m="1" x="949"/>
        <item h="1" m="1" x="951"/>
        <item h="1" m="1" x="1102"/>
        <item h="1" m="1" x="954"/>
        <item h="1" m="1" x="1103"/>
        <item h="1" m="1" x="1429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1430"/>
        <item h="1" m="1" x="962"/>
        <item h="1" m="1" x="963"/>
        <item h="1" m="1" x="1432"/>
        <item h="1" m="1" x="1107"/>
        <item h="1" m="1" x="1433"/>
        <item h="1" m="1" x="1434"/>
        <item h="1" m="1" x="558"/>
        <item h="1" m="1" x="1435"/>
        <item h="1" m="1" x="1436"/>
        <item h="1" m="1" x="1437"/>
        <item h="1" m="1" x="1438"/>
        <item h="1" m="1" x="974"/>
        <item h="1" m="1" x="1439"/>
        <item h="1" m="1" x="1440"/>
        <item h="1" m="1" x="1112"/>
        <item h="1" m="1" x="1111"/>
        <item h="1" m="1" x="1109"/>
        <item h="1" m="1" x="1110"/>
        <item h="1" m="1" x="1441"/>
        <item h="1" m="1" x="1113"/>
        <item h="1" m="1" x="981"/>
        <item h="1" m="1" x="980"/>
        <item h="1" m="1" x="978"/>
        <item h="1" m="1" x="977"/>
        <item h="1" m="1" x="1115"/>
        <item h="1" m="1" x="984"/>
        <item h="1" m="1" x="985"/>
        <item h="1" m="1" x="1120"/>
        <item h="1" m="1" x="986"/>
        <item h="1" m="1" x="1123"/>
        <item h="1" m="1" x="1443"/>
        <item h="1" x="108"/>
        <item h="1" m="1" x="1129"/>
        <item h="1" m="1" x="1128"/>
        <item h="1" m="1" x="1379"/>
        <item h="1" m="1" x="1380"/>
        <item h="1" m="1" x="1131"/>
        <item h="1" m="1" x="742"/>
        <item h="1" m="1" x="1138"/>
        <item h="1" m="1" x="995"/>
        <item h="1" m="1" x="996"/>
        <item h="1" m="1" x="997"/>
        <item h="1" m="1" x="1297"/>
        <item h="1" m="1" x="1145"/>
        <item h="1" m="1" x="1146"/>
        <item h="1" m="1" x="1143"/>
        <item h="1" m="1" x="1155"/>
        <item h="1" m="1" x="1010"/>
        <item h="1" m="1" x="1301"/>
        <item h="1" m="1" x="1162"/>
        <item h="1" m="1" x="1309"/>
        <item h="1" m="1" x="1310"/>
        <item h="1" m="1" x="1315"/>
        <item h="1" m="1" x="1316"/>
        <item h="1" m="1" x="1319"/>
        <item h="1" m="1" x="1021"/>
        <item h="1" m="1" x="1020"/>
        <item h="1" m="1" x="1320"/>
        <item h="1" m="1" x="1321"/>
        <item h="1" m="1" x="1322"/>
        <item h="1" m="1" x="1323"/>
        <item h="1" m="1" x="1324"/>
        <item h="1" m="1" x="1164"/>
        <item h="1" m="1" x="1165"/>
        <item h="1" m="1" x="1173"/>
        <item h="1" m="1" x="1178"/>
        <item h="1" m="1" x="1179"/>
        <item h="1" m="1" x="1326"/>
        <item h="1" m="1" x="760"/>
        <item h="1" m="1" x="1027"/>
        <item h="1" m="1" x="1030"/>
        <item h="1" m="1" x="1184"/>
        <item h="1" m="1" x="1192"/>
        <item h="1" m="1" x="1039"/>
        <item h="1" m="1" x="1195"/>
        <item h="1" m="1" x="1045"/>
        <item h="1" m="1" x="1062"/>
        <item h="1" m="1" x="1340"/>
        <item h="1" m="1" x="1060"/>
        <item h="1" m="1" x="1063"/>
        <item h="1" m="1" x="1204"/>
        <item h="1" m="1" x="1070"/>
        <item h="1" m="1" x="1282"/>
        <item h="1" m="1" x="1072"/>
        <item h="1" m="1" x="1341"/>
        <item h="1" m="1" x="1287"/>
        <item h="1" m="1" x="1343"/>
        <item h="1" m="1" x="1345"/>
        <item h="1" m="1" x="1346"/>
        <item h="1" m="1" x="1081"/>
        <item h="1" m="1" x="1230"/>
        <item h="1" m="1" x="1087"/>
        <item h="1" m="1" x="1238"/>
        <item h="1" m="1" x="1362"/>
        <item h="1" m="1" x="1091"/>
        <item h="1" m="1" x="1363"/>
        <item h="1" m="1" x="1094"/>
        <item h="1" m="1" x="1366"/>
        <item h="1" m="1" x="1369"/>
        <item h="1" m="1" x="1370"/>
        <item h="1" m="1" x="1372"/>
        <item h="1" m="1" x="1260"/>
        <item h="1" m="1" x="1261"/>
        <item h="1" x="3"/>
        <item h="1" m="1" x="1263"/>
        <item h="1" m="1" x="1374"/>
        <item h="1" m="1" x="1376"/>
        <item h="1" m="1" x="1121"/>
        <item h="1" m="1" x="1124"/>
        <item h="1" m="1" x="1127"/>
        <item h="1" m="1" x="1269"/>
        <item h="1" m="1" x="1013"/>
        <item h="1" m="1" x="1133"/>
        <item h="1" m="1" x="1134"/>
        <item h="1" m="1" x="1136"/>
        <item h="1" m="1" x="1139"/>
        <item h="1" m="1" x="1140"/>
        <item h="1" m="1" x="1141"/>
        <item h="1" m="1" x="1142"/>
        <item h="1" m="1" x="1144"/>
        <item h="1" m="1" x="1147"/>
        <item h="1" x="90"/>
        <item h="1" m="1" x="1148"/>
        <item h="1" m="1" x="1151"/>
        <item h="1" m="1" x="1152"/>
        <item h="1" m="1" x="1153"/>
        <item h="1" m="1" x="1154"/>
        <item h="1" x="58"/>
        <item h="1" m="1" x="1156"/>
        <item h="1" m="1" x="1157"/>
        <item h="1" m="1" x="1158"/>
        <item h="1" m="1" x="1159"/>
        <item h="1" m="1" x="1160"/>
        <item h="1" m="1" x="1161"/>
        <item h="1" x="137"/>
        <item h="1" m="1" x="1166"/>
        <item h="1" m="1" x="1167"/>
        <item h="1" m="1" x="1168"/>
        <item h="1" m="1" x="1169"/>
        <item h="1" m="1" x="1170"/>
        <item h="1" m="1" x="1171"/>
        <item h="1" m="1" x="1172"/>
        <item h="1" m="1" x="1174"/>
        <item h="1" m="1" x="1175"/>
        <item h="1" m="1" x="1176"/>
        <item h="1" m="1" x="1177"/>
        <item h="1" m="1" x="1180"/>
        <item h="1" m="1" x="1181"/>
        <item h="1" m="1" x="1182"/>
        <item h="1" m="1" x="1183"/>
        <item h="1" m="1" x="1185"/>
        <item h="1" m="1" x="1186"/>
        <item h="1" m="1" x="1187"/>
        <item h="1" m="1" x="1188"/>
        <item h="1" m="1" x="1189"/>
        <item h="1" m="1" x="1190"/>
        <item h="1" m="1" x="1191"/>
        <item h="1" m="1" x="1193"/>
        <item h="1" m="1" x="1194"/>
        <item h="1" m="1" x="1196"/>
        <item h="1" m="1" x="1197"/>
        <item h="1" m="1" x="1198"/>
        <item h="1" m="1" x="1199"/>
        <item h="1" m="1" x="1200"/>
        <item h="1" m="1" x="1201"/>
        <item h="1" m="1" x="1206"/>
        <item h="1" m="1" x="1208"/>
        <item h="1" m="1" x="1209"/>
        <item h="1" m="1" x="1214"/>
        <item h="1" m="1" x="1215"/>
        <item h="1" m="1" x="1216"/>
        <item h="1" m="1" x="1217"/>
        <item h="1" m="1" x="1218"/>
        <item h="1" m="1" x="1220"/>
        <item h="1" m="1" x="1221"/>
        <item h="1" m="1" x="1222"/>
        <item h="1" m="1" x="1223"/>
        <item h="1" m="1" x="1225"/>
        <item h="1" m="1" x="1226"/>
        <item h="1" m="1" x="1227"/>
        <item h="1" m="1" x="1228"/>
        <item h="1" m="1" x="1229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9"/>
        <item h="1" m="1" x="1240"/>
        <item h="1" m="1" x="1241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1249"/>
        <item h="1" m="1" x="1250"/>
        <item h="1" m="1" x="1251"/>
        <item h="1" m="1" x="1252"/>
        <item h="1" m="1" x="1254"/>
        <item h="1" m="1" x="1255"/>
        <item h="1" m="1" x="1256"/>
        <item h="1" m="1" x="1258"/>
        <item h="1" m="1" x="1259"/>
        <item h="1" m="1" x="1264"/>
        <item h="1" m="1" x="1268"/>
        <item h="1" m="1" x="1270"/>
        <item h="1" m="1" x="1271"/>
        <item h="1" m="1" x="1272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3"/>
        <item h="1" m="1" x="1284"/>
        <item h="1" m="1" x="1285"/>
        <item h="1" m="1" x="1286"/>
        <item h="1" m="1" x="1288"/>
        <item h="1" m="1" x="1290"/>
        <item h="1" m="1" x="1292"/>
        <item h="1" m="1" x="1293"/>
        <item h="1" m="1" x="1294"/>
        <item h="1" m="1" x="1295"/>
        <item h="1" m="1" x="1296"/>
        <item h="1" m="1" x="671"/>
        <item h="1" m="1" x="508"/>
        <item h="1" m="1" x="509"/>
        <item h="1" x="5"/>
        <item h="1" m="1" x="514"/>
        <item h="1" m="1" x="673"/>
        <item h="1" m="1" x="674"/>
        <item h="1" m="1" x="675"/>
        <item h="1" m="1" x="676"/>
        <item h="1" m="1" x="677"/>
        <item h="1" m="1" x="678"/>
        <item h="1" m="1" x="679"/>
        <item h="1" m="1" x="680"/>
        <item h="1" m="1" x="681"/>
        <item h="1" m="1" x="682"/>
        <item h="1" m="1" x="683"/>
        <item h="1" m="1" x="684"/>
        <item h="1" m="1" x="685"/>
        <item h="1" m="1" x="686"/>
        <item h="1" m="1" x="687"/>
        <item h="1" m="1" x="688"/>
        <item h="1" m="1" x="689"/>
        <item h="1" m="1" x="690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432"/>
        <item h="1" m="1" x="515"/>
        <item h="1" m="1" x="516"/>
        <item h="1" m="1" x="703"/>
        <item h="1" m="1" x="704"/>
        <item h="1" m="1" x="438"/>
        <item h="1" m="1" x="705"/>
        <item h="1" x="13"/>
        <item h="1" m="1" x="527"/>
        <item h="1" m="1" x="519"/>
        <item h="1" m="1" x="517"/>
        <item h="1" m="1" x="436"/>
        <item h="1" m="1" x="442"/>
        <item h="1" m="1" x="707"/>
        <item h="1" m="1" x="708"/>
        <item h="1" m="1" x="709"/>
        <item h="1" m="1" x="524"/>
        <item h="1" m="1" x="710"/>
        <item h="1" m="1" x="711"/>
        <item h="1" m="1" x="526"/>
        <item h="1" m="1" x="534"/>
        <item h="1" m="1" x="713"/>
        <item h="1" m="1" x="714"/>
        <item h="1" m="1" x="715"/>
        <item h="1" m="1" x="716"/>
        <item h="1" m="1" x="717"/>
        <item h="1" m="1" x="718"/>
        <item h="1" m="1" x="719"/>
        <item h="1" m="1" x="720"/>
        <item h="1" m="1" x="532"/>
        <item h="1" m="1" x="721"/>
        <item h="1" m="1" x="528"/>
        <item h="1" m="1" x="529"/>
        <item h="1" m="1" x="535"/>
        <item h="1" m="1" x="723"/>
        <item h="1" x="41"/>
        <item h="1" m="1" x="536"/>
        <item h="1" m="1" x="724"/>
        <item h="1" m="1" x="725"/>
        <item h="1" m="1" x="726"/>
        <item h="1" m="1" x="727"/>
        <item h="1" m="1" x="530"/>
        <item h="1" m="1" x="531"/>
        <item h="1" x="47"/>
        <item h="1" x="57"/>
        <item h="1" x="59"/>
        <item h="1" m="1" x="457"/>
        <item h="1" m="1" x="458"/>
        <item h="1" x="54"/>
        <item h="1" m="1" x="553"/>
        <item h="1" m="1" x="552"/>
        <item h="1" x="60"/>
        <item h="1" m="1" x="728"/>
        <item h="1" m="1" x="729"/>
        <item h="1" m="1" x="565"/>
        <item h="1" m="1" x="730"/>
        <item h="1" m="1" x="731"/>
        <item h="1" m="1" x="733"/>
        <item h="1" m="1" x="463"/>
        <item h="1" m="1" x="461"/>
        <item h="1" m="1" x="460"/>
        <item h="1" x="65"/>
        <item h="1" m="1" x="462"/>
        <item h="1" m="1" x="735"/>
        <item h="1" m="1" x="736"/>
        <item h="1" m="1" x="737"/>
        <item h="1" m="1" x="470"/>
        <item h="1" m="1" x="579"/>
        <item h="1" m="1" x="574"/>
        <item h="1" m="1" x="575"/>
        <item h="1" m="1" x="576"/>
        <item h="1" m="1" x="577"/>
        <item h="1" x="103"/>
        <item h="1" x="104"/>
        <item h="1" x="105"/>
        <item h="1" x="107"/>
        <item h="1" x="114"/>
        <item h="1" m="1" x="741"/>
        <item h="1" m="1" x="743"/>
        <item h="1" m="1" x="581"/>
        <item h="1" m="1" x="582"/>
        <item h="1" m="1" x="744"/>
        <item h="1" m="1" x="584"/>
        <item h="1" m="1" x="585"/>
        <item h="1" m="1" x="745"/>
        <item h="1" m="1" x="589"/>
        <item h="1" x="127"/>
        <item h="1" m="1" x="590"/>
        <item h="1" m="1" x="591"/>
        <item h="1" m="1" x="592"/>
        <item h="1" m="1" x="604"/>
        <item h="1" m="1" x="746"/>
        <item h="1" m="1" x="607"/>
        <item h="1" m="1" x="605"/>
        <item h="1" m="1" x="609"/>
        <item h="1" m="1" x="610"/>
        <item h="1" m="1" x="611"/>
        <item h="1" m="1" x="612"/>
        <item h="1" x="141"/>
        <item h="1" m="1" x="748"/>
        <item h="1" m="1" x="617"/>
        <item h="1" m="1" x="749"/>
        <item h="1" m="1" x="751"/>
        <item h="1" m="1" x="753"/>
        <item h="1" m="1" x="615"/>
        <item h="1" m="1" x="754"/>
        <item h="1" m="1" x="755"/>
        <item h="1" m="1" x="756"/>
        <item h="1" m="1" x="757"/>
        <item h="1" m="1" x="618"/>
        <item h="1" m="1" x="758"/>
        <item h="1" m="1" x="759"/>
        <item h="1" m="1" x="619"/>
        <item h="1" x="184"/>
        <item h="1" m="1" x="761"/>
        <item h="1" m="1" x="763"/>
        <item h="1" x="162"/>
        <item h="1" x="164"/>
        <item h="1" x="165"/>
        <item h="1" x="166"/>
        <item h="1" x="167"/>
        <item h="1" m="1" x="764"/>
        <item h="1" m="1" x="766"/>
        <item h="1" m="1" x="767"/>
        <item h="1" m="1" x="768"/>
        <item h="1" m="1" x="769"/>
        <item h="1" m="1" x="770"/>
        <item h="1" m="1" x="626"/>
        <item h="1" m="1" x="624"/>
        <item h="1" m="1" x="625"/>
        <item h="1" x="194"/>
        <item h="1" x="195"/>
        <item h="1" m="1" x="489"/>
        <item h="1" m="1" x="772"/>
        <item h="1" m="1" x="637"/>
        <item h="1" m="1" x="633"/>
        <item h="1" m="1" x="629"/>
        <item h="1" m="1" x="631"/>
        <item h="1" x="197"/>
        <item h="1" m="1" x="639"/>
        <item h="1" m="1" x="638"/>
        <item h="1" x="219"/>
        <item h="1" m="1" x="493"/>
        <item h="1" m="1" x="773"/>
        <item h="1" m="1" x="643"/>
        <item h="1" m="1" x="774"/>
        <item h="1" m="1" x="644"/>
        <item h="1" m="1" x="775"/>
        <item h="1" m="1" x="645"/>
        <item h="1" m="1" x="776"/>
        <item h="1" m="1" x="646"/>
        <item h="1" m="1" x="778"/>
        <item h="1" m="1" x="781"/>
        <item h="1" m="1" x="782"/>
        <item h="1" m="1" x="494"/>
        <item h="1" m="1" x="783"/>
        <item h="1" m="1" x="647"/>
        <item h="1" m="1" x="648"/>
        <item h="1" m="1" x="785"/>
        <item h="1" x="245"/>
        <item h="1" m="1" x="649"/>
        <item h="1" x="249"/>
        <item h="1" x="250"/>
        <item h="1" m="1" x="653"/>
        <item h="1" m="1" x="787"/>
        <item h="1" m="1" x="788"/>
        <item h="1" m="1" x="789"/>
        <item h="1" m="1" x="496"/>
        <item h="1" m="1" x="659"/>
        <item h="1" m="1" x="655"/>
        <item h="1" m="1" x="656"/>
        <item h="1" m="1" x="657"/>
        <item h="1" m="1" x="658"/>
        <item h="1" x="258"/>
        <item h="1" m="1" x="660"/>
        <item h="1" m="1" x="790"/>
        <item h="1" m="1" x="791"/>
        <item h="1" m="1" x="792"/>
        <item h="1" x="257"/>
        <item h="1" m="1" x="793"/>
        <item h="1" m="1" x="794"/>
        <item h="1" m="1" x="795"/>
        <item h="1" m="1" x="797"/>
        <item h="1" m="1" x="661"/>
        <item h="1" m="1" x="410"/>
        <item h="1" m="1" x="413"/>
        <item h="1" m="1" x="799"/>
        <item h="1" m="1" x="411"/>
        <item h="1" m="1" x="800"/>
        <item h="1" m="1" x="801"/>
        <item h="1" m="1" x="802"/>
        <item h="1" m="1" x="803"/>
        <item h="1" m="1" x="665"/>
        <item h="1" m="1" x="670"/>
        <item h="1" m="1" x="668"/>
        <item h="1" m="1" x="669"/>
        <item h="1" m="1" x="427"/>
        <item h="1" m="1" x="506"/>
        <item h="1" m="1" x="507"/>
        <item h="1" x="6"/>
        <item h="1" m="1" x="510"/>
        <item h="1" m="1" x="511"/>
        <item h="1" m="1" x="512"/>
        <item h="1" m="1" x="435"/>
        <item h="1" m="1" x="518"/>
        <item h="1" m="1" x="441"/>
        <item h="1" m="1" x="521"/>
        <item h="1" m="1" x="522"/>
        <item h="1" m="1" x="523"/>
        <item h="1" m="1" x="443"/>
        <item h="1" m="1" x="525"/>
        <item h="1" m="1" x="445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4"/>
        <item h="1" m="1" x="545"/>
        <item h="1" m="1" x="546"/>
        <item h="1" m="1" x="547"/>
        <item h="1" m="1" x="548"/>
        <item h="1" m="1" x="549"/>
        <item h="1" m="1" x="550"/>
        <item h="1" m="1" x="454"/>
        <item h="1" m="1" x="551"/>
        <item h="1" m="1" x="554"/>
        <item h="1" m="1" x="456"/>
        <item h="1" m="1" x="555"/>
        <item h="1" m="1" x="556"/>
        <item h="1" m="1" x="557"/>
        <item h="1" m="1" x="559"/>
        <item h="1" m="1" x="561"/>
        <item h="1" m="1" x="562"/>
        <item h="1" m="1" x="563"/>
        <item h="1" m="1" x="464"/>
        <item h="1" m="1" x="466"/>
        <item h="1" m="1" x="467"/>
        <item h="1" m="1" x="468"/>
        <item h="1" m="1" x="570"/>
        <item h="1" m="1" x="572"/>
        <item h="1" m="1" x="573"/>
        <item h="1" m="1" x="578"/>
        <item h="1" x="82"/>
        <item h="1" m="1" x="580"/>
        <item h="1" x="102"/>
        <item h="1" x="117"/>
        <item h="1" m="1" x="583"/>
        <item h="1" m="1" x="586"/>
        <item h="1" m="1" x="587"/>
        <item h="1" m="1" x="588"/>
        <item h="1" m="1" x="593"/>
        <item h="1" m="1" x="594"/>
        <item h="1" m="1" x="595"/>
        <item h="1" x="135"/>
        <item h="1" m="1" x="597"/>
        <item h="1" x="138"/>
        <item h="1" m="1" x="598"/>
        <item h="1" m="1" x="616"/>
        <item h="1" m="1" x="620"/>
        <item h="1" m="1" x="622"/>
        <item h="1" x="169"/>
        <item h="1" x="171"/>
        <item h="1" x="182"/>
        <item h="1" m="1" x="627"/>
        <item h="1" m="1" x="628"/>
        <item h="1" m="1" x="491"/>
        <item h="1" m="1" x="490"/>
        <item h="1" m="1" x="389"/>
        <item h="1" x="203"/>
        <item h="1" x="198"/>
        <item h="1" m="1" x="630"/>
        <item h="1" m="1" x="634"/>
        <item h="1" m="1" x="635"/>
        <item h="1" m="1" x="636"/>
        <item h="1" m="1" x="641"/>
        <item h="1" m="1" x="642"/>
        <item h="1" x="231"/>
        <item h="1" x="232"/>
        <item h="1" m="1" x="495"/>
        <item h="1" x="237"/>
        <item h="1" m="1" x="650"/>
        <item h="1" m="1" x="651"/>
        <item h="1" m="1" x="652"/>
        <item h="1" x="240"/>
        <item h="1" m="1" x="654"/>
        <item h="1" x="262"/>
        <item h="1" m="1" x="500"/>
        <item h="1" x="276"/>
        <item h="1" x="277"/>
        <item h="1" m="1" x="666"/>
        <item h="1" m="1" x="667"/>
        <item h="1" x="282"/>
        <item h="1" x="0"/>
        <item h="1" m="1" x="428"/>
        <item h="1" m="1" x="430"/>
        <item h="1" m="1" x="431"/>
        <item h="1" x="11"/>
        <item h="1" x="12"/>
        <item h="1" m="1" x="433"/>
        <item h="1" m="1" x="434"/>
        <item h="1" m="1" x="437"/>
        <item h="1" m="1" x="439"/>
        <item h="1" m="1" x="440"/>
        <item h="1" m="1" x="444"/>
        <item h="1" m="1" x="446"/>
        <item h="1" m="1" x="447"/>
        <item h="1" m="1" x="448"/>
        <item h="1" m="1" x="449"/>
        <item h="1" m="1" x="322"/>
        <item h="1" m="1" x="323"/>
        <item h="1" m="1" x="450"/>
        <item h="1" m="1" x="451"/>
        <item h="1" m="1" x="319"/>
        <item h="1" m="1" x="452"/>
        <item h="1" m="1" x="453"/>
        <item h="1" x="56"/>
        <item h="1" m="1" x="455"/>
        <item h="1" m="1" x="344"/>
        <item h="1" m="1" x="349"/>
        <item h="1" x="92"/>
        <item h="1" x="80"/>
        <item h="1" x="94"/>
        <item h="1" m="1" x="345"/>
        <item h="1" m="1" x="346"/>
        <item h="1" x="101"/>
        <item h="1" m="1" x="354"/>
        <item h="1" m="1" x="473"/>
        <item h="1" m="1" x="474"/>
        <item h="1" m="1" x="475"/>
        <item h="1" m="1" x="476"/>
        <item h="1" m="1" x="477"/>
        <item h="1" m="1" x="478"/>
        <item h="1" m="1" x="480"/>
        <item h="1" x="132"/>
        <item h="1" m="1" x="368"/>
        <item h="1" m="1" x="366"/>
        <item h="1" m="1" x="370"/>
        <item h="1" x="146"/>
        <item h="1" m="1" x="482"/>
        <item h="1" m="1" x="483"/>
        <item h="1" m="1" x="484"/>
        <item h="1" m="1" x="378"/>
        <item h="1" x="190"/>
        <item h="1" x="191"/>
        <item h="1" x="217"/>
        <item h="1" m="1" x="388"/>
        <item h="1" m="1" x="387"/>
        <item h="1" m="1" x="492"/>
        <item h="1" x="204"/>
        <item h="1" x="205"/>
        <item h="1" x="209"/>
        <item h="1" x="225"/>
        <item h="1" x="233"/>
        <item h="1" x="238"/>
        <item h="1" m="1" x="394"/>
        <item h="1" m="1" x="395"/>
        <item h="1" m="1" x="396"/>
        <item h="1" m="1" x="398"/>
        <item h="1" m="1" x="399"/>
        <item h="1" x="255"/>
        <item h="1" m="1" x="404"/>
        <item h="1" m="1" x="405"/>
        <item h="1" m="1" x="406"/>
        <item h="1" m="1" x="407"/>
        <item h="1" x="260"/>
        <item h="1" x="263"/>
        <item h="1" m="1" x="497"/>
        <item h="1" m="1" x="498"/>
        <item h="1" m="1" x="414"/>
        <item h="1" m="1" x="415"/>
        <item h="1" m="1" x="416"/>
        <item h="1" m="1" x="502"/>
        <item h="1" m="1" x="503"/>
        <item h="1" m="1" x="505"/>
        <item h="1" m="1" x="418"/>
        <item h="1" m="1" x="420"/>
        <item h="1" m="1" x="421"/>
        <item h="1" m="1" x="422"/>
        <item h="1" m="1" x="423"/>
        <item h="1" m="1" x="424"/>
        <item h="1" m="1" x="425"/>
        <item h="1" x="291"/>
        <item h="1" m="1" x="419"/>
        <item h="1" m="1" x="293"/>
        <item h="1" m="1" x="294"/>
        <item h="1" m="1" x="295"/>
        <item h="1" m="1" x="296"/>
        <item h="1" m="1" x="297"/>
        <item h="1" m="1" x="298"/>
        <item h="1" x="16"/>
        <item h="1" x="17"/>
        <item h="1" m="1" x="300"/>
        <item h="1" m="1" x="302"/>
        <item h="1" m="1" x="303"/>
        <item h="1" m="1" x="304"/>
        <item h="1" m="1" x="305"/>
        <item h="1" m="1" x="306"/>
        <item h="1" x="37"/>
        <item h="1" x="38"/>
        <item h="1" m="1" x="308"/>
        <item h="1" m="1" x="309"/>
        <item h="1" m="1" x="310"/>
        <item h="1" m="1" x="311"/>
        <item h="1" x="39"/>
        <item h="1" m="1" x="312"/>
        <item h="1" m="1" x="313"/>
        <item h="1" m="1" x="314"/>
        <item h="1" m="1" x="316"/>
        <item h="1" m="1" x="317"/>
        <item h="1" x="27"/>
        <item h="1" m="1" x="320"/>
        <item h="1" m="1" x="321"/>
        <item h="1" m="1" x="324"/>
        <item h="1" m="1" x="325"/>
        <item h="1" m="1" x="326"/>
        <item h="1" x="32"/>
        <item h="1" x="33"/>
        <item h="1" m="1" x="327"/>
        <item h="1" m="1" x="328"/>
        <item h="1" x="26"/>
        <item h="1" m="1" x="329"/>
        <item h="1" m="1" x="330"/>
        <item h="1" m="1" x="331"/>
        <item h="1" m="1" x="333"/>
        <item h="1" m="1" x="334"/>
        <item h="1" m="1" x="340"/>
        <item h="1" m="1" x="341"/>
        <item h="1" m="1" x="342"/>
        <item h="1" x="95"/>
        <item h="1" x="76"/>
        <item h="1" m="1" x="347"/>
        <item h="1" m="1" x="351"/>
        <item h="1" m="1" x="352"/>
        <item h="1" m="1" x="353"/>
        <item h="1" x="115"/>
        <item h="1" x="120"/>
        <item h="1" m="1" x="356"/>
        <item h="1" m="1" x="357"/>
        <item h="1" m="1" x="358"/>
        <item h="1" m="1" x="359"/>
        <item h="1" m="1" x="360"/>
        <item h="1" m="1" x="361"/>
        <item h="1" m="1" x="362"/>
        <item h="1" m="1" x="363"/>
        <item h="1" m="1" x="364"/>
        <item h="1" x="123"/>
        <item h="1" x="124"/>
        <item h="1" m="1" x="369"/>
        <item h="1" m="1" x="371"/>
        <item h="1" m="1" x="372"/>
        <item h="1" m="1" x="373"/>
        <item h="1" m="1" x="374"/>
        <item h="1" m="1" x="375"/>
        <item h="1" m="1" x="377"/>
        <item h="1" x="178"/>
        <item h="1" x="179"/>
        <item h="1" x="175"/>
        <item h="1" x="177"/>
        <item h="1" x="192"/>
        <item h="1" m="1" x="379"/>
        <item h="1" m="1" x="380"/>
        <item h="1" m="1" x="381"/>
        <item h="1" m="1" x="382"/>
        <item h="1" m="1" x="384"/>
        <item h="1" x="208"/>
        <item h="1" x="212"/>
        <item h="1" x="211"/>
        <item h="1" x="200"/>
        <item h="1" x="201"/>
        <item h="1" x="202"/>
        <item h="1" m="1" x="390"/>
        <item h="1" m="1" x="391"/>
        <item h="1" m="1" x="392"/>
        <item h="1" x="224"/>
        <item h="1" x="239"/>
        <item h="1" m="1" x="397"/>
        <item h="1" m="1" x="400"/>
        <item h="1" x="251"/>
        <item h="1" m="1" x="401"/>
        <item h="1" m="1" x="403"/>
        <item h="1" m="1" x="417"/>
        <item h="1" x="273"/>
        <item h="1" x="288"/>
        <item h="1" x="289"/>
        <item h="1" m="1" x="426"/>
        <item h="1" x="7"/>
        <item h="1" x="8"/>
        <item h="1" x="9"/>
        <item h="1" x="15"/>
        <item h="1" x="18"/>
        <item h="1" x="19"/>
        <item h="1" x="20"/>
        <item h="1" x="21"/>
        <item h="1" x="22"/>
        <item h="1" x="23"/>
        <item h="1" x="24"/>
        <item h="1" x="28"/>
        <item h="1" x="30"/>
        <item h="1" x="31"/>
        <item h="1" x="34"/>
        <item h="1" x="35"/>
        <item h="1" x="36"/>
        <item h="1" x="42"/>
        <item h="1" x="43"/>
        <item h="1" x="45"/>
        <item h="1" x="46"/>
        <item h="1" x="48"/>
        <item h="1" x="49"/>
        <item h="1" x="50"/>
        <item h="1" x="51"/>
        <item h="1" x="52"/>
        <item h="1" x="55"/>
        <item h="1" x="64"/>
        <item h="1" x="67"/>
        <item h="1" x="68"/>
        <item h="1" x="69"/>
        <item h="1" x="70"/>
        <item h="1" x="71"/>
        <item h="1" x="72"/>
        <item h="1" x="73"/>
        <item h="1" x="78"/>
        <item h="1" x="86"/>
        <item h="1" x="87"/>
        <item h="1" x="97"/>
        <item h="1" x="99"/>
        <item h="1" x="100"/>
        <item h="1" x="106"/>
        <item h="1" x="110"/>
        <item h="1" x="112"/>
        <item h="1" x="113"/>
        <item h="1" x="118"/>
        <item h="1" x="136"/>
        <item h="1" x="147"/>
        <item h="1" x="148"/>
        <item h="1" x="149"/>
        <item h="1" x="150"/>
        <item h="1" x="151"/>
        <item h="1" x="153"/>
        <item h="1" x="154"/>
        <item h="1" x="157"/>
        <item h="1" x="158"/>
        <item h="1" x="172"/>
        <item h="1" x="176"/>
        <item h="1" x="187"/>
        <item h="1" x="188"/>
        <item h="1" x="189"/>
        <item h="1" x="193"/>
        <item h="1" x="196"/>
        <item h="1" x="206"/>
        <item h="1" x="213"/>
        <item h="1" x="214"/>
        <item h="1" x="215"/>
        <item h="1" x="216"/>
        <item h="1" x="218"/>
        <item h="1" x="220"/>
        <item h="1" x="228"/>
        <item h="1" x="234"/>
        <item h="1" x="235"/>
        <item h="1" x="241"/>
        <item h="1" x="242"/>
        <item h="1" x="243"/>
        <item h="1" x="244"/>
        <item h="1" x="252"/>
        <item h="1" x="253"/>
        <item h="1" x="254"/>
        <item h="1" x="259"/>
        <item h="1" x="261"/>
        <item h="1" x="267"/>
        <item h="1" x="271"/>
        <item h="1" x="272"/>
        <item h="1" x="278"/>
        <item h="1" x="279"/>
        <item h="1" x="280"/>
        <item h="1" x="281"/>
        <item h="1" x="283"/>
        <item h="1" x="284"/>
        <item h="1" x="285"/>
        <item h="1" x="286"/>
        <item h="1" x="2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7"/>
    </i>
    <i r="1">
      <x v="8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8">
    <format dxfId="1053">
      <pivotArea type="all" dataOnly="0" outline="0" fieldPosition="0"/>
    </format>
    <format dxfId="1052">
      <pivotArea outline="0" collapsedLevelsAreSubtotals="1" fieldPosition="0"/>
    </format>
    <format dxfId="1051">
      <pivotArea field="27" type="button" dataOnly="0" labelOnly="1" outline="0" axis="axisPage" fieldPosition="0"/>
    </format>
    <format dxfId="1050">
      <pivotArea outline="0" collapsedLevelsAreSubtotals="1" fieldPosition="0"/>
    </format>
    <format dxfId="1049">
      <pivotArea dataOnly="0" labelOnly="1" grandRow="1" outline="0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dataOnly="0" labelOnly="1" grandRow="1" outline="0" fieldPosition="0"/>
    </format>
    <format dxfId="1045">
      <pivotArea dataOnly="0" labelOnly="1" outline="0" axis="axisValues" fieldPosition="0"/>
    </format>
    <format dxfId="1044">
      <pivotArea type="all" dataOnly="0" outline="0" fieldPosition="0"/>
    </format>
    <format dxfId="1043">
      <pivotArea outline="0" collapsedLevelsAreSubtotals="1" fieldPosition="0"/>
    </format>
    <format dxfId="1042">
      <pivotArea dataOnly="0" labelOnly="1" grandRow="1" outline="0" fieldPosition="0"/>
    </format>
    <format dxfId="1041">
      <pivotArea dataOnly="0" labelOnly="1" outline="0" axis="axisValues" fieldPosition="0"/>
    </format>
    <format dxfId="1040">
      <pivotArea grandRow="1" outline="0" collapsedLevelsAreSubtotals="1" fieldPosition="0"/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dataOnly="0" labelOnly="1" grandRow="1" outline="0" fieldPosition="0"/>
    </format>
    <format dxfId="1036">
      <pivotArea dataOnly="0" labelOnly="1" outline="0" axis="axisValues" fieldPosition="0"/>
    </format>
    <format dxfId="1035">
      <pivotArea type="all" dataOnly="0" outline="0" fieldPosition="0"/>
    </format>
    <format dxfId="1034">
      <pivotArea outline="0" collapsedLevelsAreSubtotals="1" fieldPosition="0"/>
    </format>
    <format dxfId="1033">
      <pivotArea dataOnly="0" labelOnly="1" grandRow="1" outline="0" fieldPosition="0"/>
    </format>
    <format dxfId="1032">
      <pivotArea dataOnly="0" labelOnly="1" outline="0" axis="axisValues" fieldPosition="0"/>
    </format>
    <format dxfId="1031">
      <pivotArea type="all" dataOnly="0" outline="0" fieldPosition="0"/>
    </format>
    <format dxfId="1030">
      <pivotArea type="all" dataOnly="0" outline="0" fieldPosition="0"/>
    </format>
    <format dxfId="1029">
      <pivotArea type="all" dataOnly="0" outline="0" fieldPosition="0"/>
    </format>
    <format>
      <pivotArea type="all" dataOnly="0" outline="0" fieldPosition="0"/>
    </format>
    <format dxfId="1028">
      <pivotArea type="all" dataOnly="0" outline="0" fieldPosition="0"/>
    </format>
    <format>
      <pivotArea type="all" dataOnly="0" outline="0" fieldPosition="0"/>
    </format>
    <format dxfId="1027">
      <pivotArea grandRow="1" outline="0" collapsedLevelsAreSubtotals="1" fieldPosition="0"/>
    </format>
    <format>
      <pivotArea type="all" dataOnly="0" outline="0" fieldPosition="0"/>
    </format>
    <format dxfId="1026">
      <pivotArea type="all" dataOnly="0" outline="0" fieldPosition="0"/>
    </format>
    <format dxfId="1025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1024">
      <pivotArea outline="0" collapsedLevelsAreSubtotals="1" fieldPosition="0"/>
    </format>
    <format dxfId="1023">
      <pivotArea type="all" dataOnly="0" outline="0" fieldPosition="0"/>
    </format>
    <format dxfId="1022">
      <pivotArea outline="0" collapsedLevelsAreSubtotals="1" fieldPosition="0"/>
    </format>
    <format dxfId="1021">
      <pivotArea dataOnly="0" labelOnly="1" grandRow="1" outline="0" fieldPosition="0"/>
    </format>
    <format dxfId="1020">
      <pivotArea dataOnly="0" labelOnly="1" outline="0" axis="axisValues" fieldPosition="0"/>
    </format>
    <format dxfId="1019">
      <pivotArea type="all" dataOnly="0" outline="0" fieldPosition="0"/>
    </format>
    <format dxfId="1018">
      <pivotArea outline="0" collapsedLevelsAreSubtotals="1" fieldPosition="0"/>
    </format>
    <format dxfId="1017">
      <pivotArea dataOnly="0" labelOnly="1" outline="0" axis="axisValues" fieldPosition="0"/>
    </format>
    <format dxfId="1016">
      <pivotArea dataOnly="0" labelOnly="1" grandRow="1" outline="0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47" type="button" dataOnly="0" labelOnly="1" outline="0" axis="axisRow" fieldPosition="0"/>
    </format>
    <format dxfId="1012">
      <pivotArea dataOnly="0" labelOnly="1" fieldPosition="0">
        <references count="1">
          <reference field="47" count="1">
            <x v="0"/>
          </reference>
        </references>
      </pivotArea>
    </format>
    <format dxfId="1011">
      <pivotArea dataOnly="0" labelOnly="1" grandRow="1" outline="0" fieldPosition="0"/>
    </format>
    <format dxfId="1010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009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008">
      <pivotArea field="47" type="button" dataOnly="0" labelOnly="1" outline="0" axis="axisRow" fieldPosition="0"/>
    </format>
    <format dxfId="1007">
      <pivotArea dataOnly="0" labelOnly="1" fieldPosition="0">
        <references count="1">
          <reference field="47" count="1">
            <x v="0"/>
          </reference>
        </references>
      </pivotArea>
    </format>
    <format dxfId="1006">
      <pivotArea dataOnly="0" labelOnly="1" grandRow="1" outline="0" fieldPosition="0"/>
    </format>
    <format dxfId="1005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004">
      <pivotArea outline="0" collapsedLevelsAreSubtotals="1" fieldPosition="0"/>
    </format>
    <format dxfId="1003"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10" cacheId="15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56">
  <location ref="A20:F29" firstHeaderRow="1" firstDataRow="2" firstDataCol="1"/>
  <pivotFields count="45">
    <pivotField showAll="0"/>
    <pivotField showAll="0"/>
    <pivotField showAll="0"/>
    <pivotField showAll="0">
      <items count="8001">
        <item x="377"/>
        <item m="1" x="4417"/>
        <item m="1" x="6069"/>
        <item m="1" x="7382"/>
        <item m="1" x="2258"/>
        <item m="1" x="7380"/>
        <item m="1" x="5438"/>
        <item m="1" x="7379"/>
        <item m="1" x="7377"/>
        <item m="1" x="4406"/>
        <item m="1" x="2384"/>
        <item m="1" x="2369"/>
        <item m="1" x="7376"/>
        <item m="1" x="1041"/>
        <item m="1" x="7374"/>
        <item m="1" x="7772"/>
        <item m="1" x="7771"/>
        <item m="1" x="7770"/>
        <item m="1" x="7371"/>
        <item m="1" x="7383"/>
        <item m="1" x="7769"/>
        <item m="1" x="7768"/>
        <item m="1" x="7951"/>
        <item m="1" x="7370"/>
        <item m="1" x="7369"/>
        <item m="1" x="7367"/>
        <item m="1" x="7386"/>
        <item m="1" x="7950"/>
        <item m="1" x="7385"/>
        <item m="1" x="7384"/>
        <item m="1" x="7368"/>
        <item m="1" x="7366"/>
        <item m="1" x="7372"/>
        <item m="1" x="7387"/>
        <item m="1" x="2260"/>
        <item m="1" x="7767"/>
        <item m="1" x="7773"/>
        <item m="1" x="7952"/>
        <item m="1" x="7388"/>
        <item m="1" x="7061"/>
        <item m="1" x="7394"/>
        <item m="1" x="7662"/>
        <item m="1" x="7955"/>
        <item m="1" x="7390"/>
        <item m="1" x="7396"/>
        <item m="1" x="7389"/>
        <item m="1" x="7375"/>
        <item m="1" x="7395"/>
        <item m="1" x="7949"/>
        <item m="1" x="7968"/>
        <item m="1" x="7969"/>
        <item m="1" x="7122"/>
        <item m="1" x="7664"/>
        <item m="1" x="7778"/>
        <item m="1" x="7779"/>
        <item m="1" x="7777"/>
        <item m="1" x="7964"/>
        <item m="1" x="7965"/>
        <item m="1" x="7406"/>
        <item m="1" x="6357"/>
        <item m="1" x="7026"/>
        <item m="1" x="7403"/>
        <item m="1" x="7966"/>
        <item m="1" x="7954"/>
        <item m="1" x="7953"/>
        <item m="1" x="7402"/>
        <item m="1" x="7404"/>
        <item m="1" x="7401"/>
        <item m="1" x="6343"/>
        <item m="1" x="7124"/>
        <item m="1" x="6746"/>
        <item m="1" x="6830"/>
        <item m="1" x="7967"/>
        <item m="1" x="4849"/>
        <item m="1" x="7407"/>
        <item m="1" x="7410"/>
        <item m="1" x="7409"/>
        <item m="1" x="7780"/>
        <item m="1" x="6318"/>
        <item m="1" x="2429"/>
        <item m="1" x="2438"/>
        <item m="1" x="2431"/>
        <item m="1" x="2432"/>
        <item m="1" x="2436"/>
        <item m="1" x="6314"/>
        <item m="1" x="6315"/>
        <item m="1" x="6322"/>
        <item m="1" x="6326"/>
        <item m="1" x="6311"/>
        <item m="1" x="6333"/>
        <item m="1" x="6306"/>
        <item m="1" x="6307"/>
        <item m="1" x="5704"/>
        <item m="1" x="6308"/>
        <item m="1" x="6340"/>
        <item m="1" x="6350"/>
        <item m="1" x="6325"/>
        <item m="1" x="6324"/>
        <item m="1" x="6303"/>
        <item m="1" x="6302"/>
        <item m="1" x="6297"/>
        <item m="1" x="6329"/>
        <item m="1" x="6327"/>
        <item m="1" x="6328"/>
        <item m="1" x="6330"/>
        <item m="1" x="6304"/>
        <item m="1" x="6301"/>
        <item m="1" x="6305"/>
        <item m="1" x="6331"/>
        <item m="1" x="6332"/>
        <item m="1" x="6321"/>
        <item m="1" x="6320"/>
        <item m="1" x="6310"/>
        <item m="1" x="6319"/>
        <item m="1" x="6323"/>
        <item m="1" x="2261"/>
        <item m="1" x="6299"/>
        <item m="1" x="5702"/>
        <item m="1" x="6316"/>
        <item m="1" x="6317"/>
        <item m="1" x="6312"/>
        <item m="1" x="6298"/>
        <item m="1" x="6300"/>
        <item m="1" x="5701"/>
        <item m="1" x="6313"/>
        <item m="1" x="6309"/>
        <item m="1" x="6341"/>
        <item m="1" x="7973"/>
        <item m="1" x="7418"/>
        <item m="1" x="6353"/>
        <item m="1" x="1042"/>
        <item m="1" x="7663"/>
        <item m="1" x="7776"/>
        <item m="1" x="7781"/>
        <item m="1" x="7774"/>
        <item m="1" x="7419"/>
        <item m="1" x="7416"/>
        <item m="1" x="7414"/>
        <item m="1" x="7782"/>
        <item m="1" x="7041"/>
        <item m="1" x="7136"/>
        <item m="1" x="2895"/>
        <item m="1" x="7956"/>
        <item m="1" x="7960"/>
        <item m="1" x="7975"/>
        <item m="1" x="7983"/>
        <item m="1" x="7970"/>
        <item m="1" x="7971"/>
        <item m="1" x="7974"/>
        <item m="1" x="7426"/>
        <item m="1" x="7784"/>
        <item m="1" x="7961"/>
        <item m="1" x="7957"/>
        <item m="1" x="7958"/>
        <item m="1" x="7972"/>
        <item m="1" x="7422"/>
        <item m="1" x="7423"/>
        <item m="1" x="6983"/>
        <item m="1" x="7775"/>
        <item m="1" x="7391"/>
        <item m="1" x="7424"/>
        <item m="1" x="7977"/>
        <item m="1" x="609"/>
        <item m="1" x="7392"/>
        <item m="1" x="7393"/>
        <item m="1" x="7959"/>
        <item m="1" x="7962"/>
        <item m="1" x="7417"/>
        <item m="1" x="7963"/>
        <item m="1" x="7665"/>
        <item m="1" x="7783"/>
        <item m="1" x="7127"/>
        <item m="1" x="7666"/>
        <item m="1" x="7397"/>
        <item m="1" x="7398"/>
        <item m="1" x="7421"/>
        <item m="1" x="7399"/>
        <item m="1" x="7400"/>
        <item m="1" x="7420"/>
        <item m="1" x="7427"/>
        <item m="1" x="7978"/>
        <item m="1" x="7405"/>
        <item m="1" x="7984"/>
        <item m="1" x="7077"/>
        <item m="1" x="7291"/>
        <item m="1" x="7413"/>
        <item m="1" x="5481"/>
        <item m="1" x="7440"/>
        <item m="1" x="7982"/>
        <item m="1" x="7415"/>
        <item m="1" x="7979"/>
        <item m="1" x="7432"/>
        <item m="1" x="7976"/>
        <item m="1" x="7408"/>
        <item m="1" x="7428"/>
        <item m="1" x="7429"/>
        <item m="1" x="5754"/>
        <item m="1" x="7078"/>
        <item m="1" x="6941"/>
        <item m="1" x="6942"/>
        <item m="1" x="6945"/>
        <item m="1" x="6944"/>
        <item m="1" x="6943"/>
        <item m="1" x="7341"/>
        <item m="1" x="7343"/>
        <item m="1" x="7785"/>
        <item m="1" x="7430"/>
        <item m="1" x="7431"/>
        <item m="1" x="7411"/>
        <item m="1" x="7412"/>
        <item m="1" x="7434"/>
        <item m="1" x="7433"/>
        <item m="1" x="7437"/>
        <item m="1" x="7438"/>
        <item m="1" x="7439"/>
        <item m="1" x="7016"/>
        <item m="1" x="7787"/>
        <item m="1" x="7672"/>
        <item m="1" x="7669"/>
        <item m="1" x="7680"/>
        <item m="1" x="7980"/>
        <item m="1" x="7987"/>
        <item m="1" x="7670"/>
        <item m="1" x="7447"/>
        <item m="1" x="7981"/>
        <item m="1" x="7441"/>
        <item m="1" x="7442"/>
        <item m="1" x="6498"/>
        <item m="1" x="7449"/>
        <item m="1" x="7425"/>
        <item m="1" x="7086"/>
        <item m="1" x="7085"/>
        <item m="1" x="7323"/>
        <item m="1" x="7788"/>
        <item m="1" x="7786"/>
        <item m="1" x="6990"/>
        <item m="1" x="7667"/>
        <item m="1" x="7671"/>
        <item m="1" x="7789"/>
        <item m="1" x="7988"/>
        <item m="1" x="7989"/>
        <item m="1" x="7231"/>
        <item m="1" x="7986"/>
        <item m="1" x="6898"/>
        <item m="1" x="6897"/>
        <item m="1" x="6904"/>
        <item m="1" x="6903"/>
        <item m="1" x="6902"/>
        <item m="1" x="6901"/>
        <item m="1" x="6900"/>
        <item m="1" x="6899"/>
        <item m="1" x="5943"/>
        <item m="1" x="7679"/>
        <item m="1" x="6337"/>
        <item m="1" x="7453"/>
        <item m="1" x="7268"/>
        <item m="1" x="7269"/>
        <item m="1" x="7272"/>
        <item m="1" x="7467"/>
        <item m="1" x="7450"/>
        <item m="1" x="7149"/>
        <item m="1" x="7985"/>
        <item m="1" x="7125"/>
        <item m="1" x="7790"/>
        <item m="1" x="7668"/>
        <item m="1" x="7451"/>
        <item m="1" x="7452"/>
        <item m="1" x="7454"/>
        <item m="1" x="7435"/>
        <item m="1" x="7993"/>
        <item m="1" x="7994"/>
        <item m="1" x="7681"/>
        <item m="1" x="7673"/>
        <item m="1" x="7791"/>
        <item m="1" x="7990"/>
        <item m="1" x="7991"/>
        <item m="1" x="7992"/>
        <item m="1" x="7682"/>
        <item m="1" x="7684"/>
        <item m="1" x="7686"/>
        <item m="1" x="6612"/>
        <item m="1" x="6925"/>
        <item m="1" x="7997"/>
        <item m="1" x="7455"/>
        <item m="1" x="7683"/>
        <item m="1" x="6947"/>
        <item m="1" x="7458"/>
        <item m="1" x="7075"/>
        <item m="1" x="7436"/>
        <item m="1" x="7322"/>
        <item m="1" x="7459"/>
        <item m="1" x="7460"/>
        <item m="1" x="5687"/>
        <item m="1" x="5688"/>
        <item m="1" x="5689"/>
        <item m="1" x="5690"/>
        <item m="1" x="7462"/>
        <item m="1" x="7446"/>
        <item m="1" x="7057"/>
        <item m="1" x="6613"/>
        <item m="1" x="7685"/>
        <item m="1" x="7674"/>
        <item m="1" x="7675"/>
        <item m="1" x="6491"/>
        <item m="1" x="7996"/>
        <item m="1" x="7795"/>
        <item m="1" x="7678"/>
        <item m="1" x="7676"/>
        <item m="1" x="7677"/>
        <item m="1" x="7448"/>
        <item m="1" x="6338"/>
        <item m="1" x="7995"/>
        <item m="1" x="7792"/>
        <item m="1" x="7235"/>
        <item m="1" x="7998"/>
        <item m="1" x="7444"/>
        <item m="1" x="7089"/>
        <item m="1" x="6938"/>
        <item m="1" x="7999"/>
        <item m="1" x="6989"/>
        <item m="1" x="7793"/>
        <item m="1" x="7794"/>
        <item m="1" x="7443"/>
        <item m="1" x="2250"/>
        <item m="1" x="2274"/>
        <item m="1" x="7464"/>
        <item m="1" x="7060"/>
        <item m="1" x="7243"/>
        <item m="1" x="7465"/>
        <item m="1" x="7456"/>
        <item m="1" x="7690"/>
        <item m="1" x="7463"/>
        <item m="1" x="6891"/>
        <item m="1" x="7796"/>
        <item m="1" x="7472"/>
        <item m="1" x="7474"/>
        <item m="1" x="7457"/>
        <item m="1" x="7471"/>
        <item m="1" x="7490"/>
        <item m="1" x="7470"/>
        <item m="1" x="6349"/>
        <item m="1" x="6206"/>
        <item m="1" x="6934"/>
        <item m="1" x="7797"/>
        <item m="1" x="7468"/>
        <item m="1" x="7469"/>
        <item m="1" x="7491"/>
        <item m="1" x="7486"/>
        <item m="1" x="7473"/>
        <item m="1" x="7373"/>
        <item m="1" x="7802"/>
        <item m="1" x="7499"/>
        <item m="1" x="7688"/>
        <item m="1" x="7689"/>
        <item m="1" x="7497"/>
        <item m="1" x="7480"/>
        <item m="1" x="7485"/>
        <item m="1" x="7492"/>
        <item m="1" x="7461"/>
        <item m="1" x="7058"/>
        <item m="1" x="5712"/>
        <item m="1" x="7803"/>
        <item m="1" x="7804"/>
        <item m="1" x="7798"/>
        <item m="1" x="7800"/>
        <item m="1" x="7801"/>
        <item m="1" x="7481"/>
        <item m="1" x="7466"/>
        <item m="1" x="7475"/>
        <item m="1" x="7687"/>
        <item m="1" x="7500"/>
        <item m="1" x="7489"/>
        <item m="1" x="7477"/>
        <item m="1" x="7478"/>
        <item m="1" x="7496"/>
        <item m="1" x="7498"/>
        <item m="1" x="7494"/>
        <item m="1" x="7263"/>
        <item m="1" x="7270"/>
        <item m="1" x="7271"/>
        <item m="1" x="7493"/>
        <item m="1" x="7479"/>
        <item m="1" x="7482"/>
        <item m="1" x="7082"/>
        <item m="1" x="7090"/>
        <item m="1" x="7808"/>
        <item m="1" x="6972"/>
        <item m="1" x="6973"/>
        <item m="1" x="7502"/>
        <item m="1" x="7501"/>
        <item m="1" x="7476"/>
        <item m="1" x="7799"/>
        <item m="1" x="7487"/>
        <item m="1" x="7488"/>
        <item m="1" x="7484"/>
        <item m="1" x="7805"/>
        <item m="1" x="7948"/>
        <item m="1" x="7445"/>
        <item m="1" x="7483"/>
        <item m="1" x="6916"/>
        <item m="1" x="6914"/>
        <item m="1" x="6917"/>
        <item m="1" x="7504"/>
        <item m="1" x="7812"/>
        <item m="1" x="7831"/>
        <item m="1" x="7832"/>
        <item m="1" x="7528"/>
        <item m="1" x="7123"/>
        <item m="1" x="7530"/>
        <item m="1" x="7531"/>
        <item m="1" x="7532"/>
        <item m="1" x="7816"/>
        <item m="1" x="7817"/>
        <item m="1" x="7302"/>
        <item m="1" x="7818"/>
        <item m="1" x="7819"/>
        <item m="1" x="7820"/>
        <item m="1" x="7806"/>
        <item m="1" x="7505"/>
        <item m="1" x="7807"/>
        <item m="1" x="7821"/>
        <item m="1" x="7822"/>
        <item m="1" x="7823"/>
        <item m="1" x="7506"/>
        <item m="1" x="7809"/>
        <item m="1" x="7824"/>
        <item m="1" x="7826"/>
        <item m="1" x="7507"/>
        <item m="1" x="7694"/>
        <item m="1" x="7508"/>
        <item m="1" x="7810"/>
        <item m="1" x="7509"/>
        <item m="1" x="7811"/>
        <item m="1" x="7691"/>
        <item m="1" x="7692"/>
        <item m="1" x="7495"/>
        <item m="1" x="7829"/>
        <item m="1" x="7830"/>
        <item m="1" x="7813"/>
        <item m="1" x="7814"/>
        <item m="1" x="7510"/>
        <item m="1" x="7511"/>
        <item m="1" x="7695"/>
        <item m="1" x="7815"/>
        <item m="1" x="7833"/>
        <item m="1" x="7512"/>
        <item m="1" x="7513"/>
        <item m="1" x="7697"/>
        <item m="1" x="7698"/>
        <item m="1" x="7520"/>
        <item m="1" x="7838"/>
        <item m="1" x="7083"/>
        <item m="1" x="7521"/>
        <item m="1" x="7839"/>
        <item m="1" x="7522"/>
        <item m="1" x="7840"/>
        <item m="1" x="7841"/>
        <item m="1" x="7842"/>
        <item m="1" x="7523"/>
        <item m="1" x="7526"/>
        <item m="1" x="7503"/>
        <item m="1" x="7699"/>
        <item m="1" x="7825"/>
        <item m="1" x="7527"/>
        <item m="1" x="7843"/>
        <item m="1" x="7550"/>
        <item m="1" x="7059"/>
        <item m="1" x="7827"/>
        <item m="1" x="7828"/>
        <item m="1" x="7844"/>
        <item m="1" x="7845"/>
        <item m="1" x="7846"/>
        <item m="1" x="7247"/>
        <item m="1" x="7536"/>
        <item m="1" x="7537"/>
        <item m="1" x="7701"/>
        <item m="1" x="7053"/>
        <item m="1" x="7702"/>
        <item m="1" x="7054"/>
        <item m="1" x="7703"/>
        <item m="1" x="7834"/>
        <item m="1" x="7847"/>
        <item m="1" x="7848"/>
        <item m="1" x="7835"/>
        <item m="1" x="6962"/>
        <item m="1" x="7836"/>
        <item m="1" x="7837"/>
        <item m="1" x="7849"/>
        <item m="1" x="7850"/>
        <item m="1" x="7851"/>
        <item m="1" x="7852"/>
        <item m="1" x="7853"/>
        <item m="1" x="7696"/>
        <item m="1" x="7004"/>
        <item m="1" x="6335"/>
        <item m="1" x="7538"/>
        <item m="1" x="2440"/>
        <item m="1" x="2262"/>
        <item m="1" x="2271"/>
        <item m="1" x="7514"/>
        <item m="1" x="7854"/>
        <item m="1" x="7515"/>
        <item m="1" x="7516"/>
        <item m="1" x="7517"/>
        <item m="1" x="7518"/>
        <item m="1" x="7519"/>
        <item m="1" x="7855"/>
        <item m="1" x="7378"/>
        <item m="1" x="7381"/>
        <item m="1" x="7693"/>
        <item m="1" x="7363"/>
        <item m="1" x="7364"/>
        <item m="1" x="7856"/>
        <item m="1" x="7857"/>
        <item m="1" x="7700"/>
        <item m="1" x="7539"/>
        <item m="1" x="7858"/>
        <item m="1" x="7859"/>
        <item m="1" x="7860"/>
        <item m="1" x="7861"/>
        <item m="1" x="7541"/>
        <item m="1" x="7862"/>
        <item m="1" x="7863"/>
        <item m="1" x="7324"/>
        <item m="1" x="7864"/>
        <item m="1" x="7542"/>
        <item m="1" x="7865"/>
        <item m="1" x="7866"/>
        <item m="1" x="7867"/>
        <item m="1" x="7868"/>
        <item m="1" x="7708"/>
        <item m="1" x="7709"/>
        <item m="1" x="7710"/>
        <item m="1" x="7544"/>
        <item m="1" x="7869"/>
        <item m="1" x="7870"/>
        <item m="1" x="7524"/>
        <item m="1" x="7871"/>
        <item m="1" x="7718"/>
        <item m="1" x="7719"/>
        <item m="1" x="7704"/>
        <item m="1" x="7525"/>
        <item m="1" x="7872"/>
        <item m="1" x="7705"/>
        <item m="1" x="7264"/>
        <item m="1" x="7873"/>
        <item m="1" x="7874"/>
        <item m="1" x="7875"/>
        <item m="1" x="7720"/>
        <item m="1" x="7545"/>
        <item m="1" x="7876"/>
        <item m="1" x="7877"/>
        <item m="1" x="7878"/>
        <item m="1" x="7879"/>
        <item m="1" x="7880"/>
        <item m="1" x="7881"/>
        <item m="1" x="7055"/>
        <item m="1" x="7882"/>
        <item m="1" x="7883"/>
        <item m="1" x="7884"/>
        <item m="1" x="7885"/>
        <item m="1" x="7265"/>
        <item m="1" x="7886"/>
        <item m="1" x="7887"/>
        <item m="1" x="7888"/>
        <item m="1" x="7529"/>
        <item m="1" x="7889"/>
        <item m="1" x="7890"/>
        <item m="1" x="7891"/>
        <item m="1" x="7551"/>
        <item m="1" x="7721"/>
        <item m="1" x="5351"/>
        <item m="1" x="6816"/>
        <item m="1" x="7722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723"/>
        <item m="1" x="7903"/>
        <item m="1" x="7904"/>
        <item m="1" x="7724"/>
        <item m="1" x="7552"/>
        <item m="1" x="7238"/>
        <item m="1" x="7725"/>
        <item m="1" x="7726"/>
        <item m="1" x="7905"/>
        <item m="1" x="7906"/>
        <item m="1" x="7907"/>
        <item m="1" x="7908"/>
        <item m="1" x="7727"/>
        <item m="1" x="7909"/>
        <item m="1" x="7706"/>
        <item m="1" x="7910"/>
        <item m="1" x="7911"/>
        <item m="1" x="7912"/>
        <item m="1" x="7913"/>
        <item m="1" x="7914"/>
        <item m="1" x="7557"/>
        <item m="1" x="7707"/>
        <item m="1" x="7533"/>
        <item m="1" x="7915"/>
        <item m="1" x="7916"/>
        <item m="1" x="7534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535"/>
        <item m="1" x="7928"/>
        <item m="1" x="7929"/>
        <item m="1" x="7930"/>
        <item m="1" x="7931"/>
        <item m="1" x="7932"/>
        <item m="1" x="7933"/>
        <item m="1" x="7934"/>
        <item m="1" x="7935"/>
        <item m="1" x="7728"/>
        <item m="1" x="7729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574"/>
        <item m="1" x="7730"/>
        <item m="1" x="7946"/>
        <item m="1" x="6493"/>
        <item m="1" x="6870"/>
        <item m="1" x="7947"/>
        <item m="1" x="7711"/>
        <item m="1" x="7731"/>
        <item m="1" x="7015"/>
        <item m="1" x="7342"/>
        <item m="1" x="7013"/>
        <item m="1" x="7563"/>
        <item m="1" x="6979"/>
        <item m="1" x="7564"/>
        <item m="1" x="7712"/>
        <item m="1" x="7713"/>
        <item m="1" x="7565"/>
        <item m="1" x="7566"/>
        <item m="1" x="6980"/>
        <item m="1" x="7714"/>
        <item m="1" x="7540"/>
        <item m="1" x="7046"/>
        <item m="1" x="7715"/>
        <item m="1" x="7716"/>
        <item m="1" x="7117"/>
        <item m="1" x="7717"/>
        <item m="1" x="6614"/>
        <item m="1" x="7573"/>
        <item m="1" x="7543"/>
        <item m="1" x="7256"/>
        <item m="1" x="6871"/>
        <item m="1" x="7257"/>
        <item m="1" x="7156"/>
        <item m="1" x="7157"/>
        <item m="1" x="7158"/>
        <item m="1" x="7575"/>
        <item m="1" x="7576"/>
        <item m="1" x="7546"/>
        <item m="1" x="7547"/>
        <item m="1" x="7732"/>
        <item m="1" x="7733"/>
        <item m="1" x="7734"/>
        <item m="1" x="7735"/>
        <item m="1" x="7548"/>
        <item m="1" x="7549"/>
        <item m="1" x="7577"/>
        <item m="1" x="7578"/>
        <item m="1" x="7242"/>
        <item m="1" x="7579"/>
        <item m="1" x="7232"/>
        <item m="1" x="7736"/>
        <item m="1" x="7737"/>
        <item m="1" x="7738"/>
        <item m="1" x="7739"/>
        <item m="1" x="7580"/>
        <item m="1" x="7740"/>
        <item m="1" x="7331"/>
        <item m="1" x="7553"/>
        <item m="1" x="7554"/>
        <item m="1" x="7555"/>
        <item m="1" x="7741"/>
        <item m="1" x="7742"/>
        <item m="1" x="7743"/>
        <item m="1" x="7744"/>
        <item m="1" x="7556"/>
        <item m="1" x="7266"/>
        <item m="1" x="7267"/>
        <item m="1" x="6863"/>
        <item m="1" x="7148"/>
        <item m="1" x="7183"/>
        <item m="1" x="7558"/>
        <item m="1" x="7745"/>
        <item m="1" x="7559"/>
        <item m="1" x="7746"/>
        <item m="1" x="7161"/>
        <item m="1" x="7560"/>
        <item m="1" x="7162"/>
        <item m="1" x="7163"/>
        <item m="1" x="7164"/>
        <item m="1" x="7561"/>
        <item m="1" x="7562"/>
        <item m="1" x="7747"/>
        <item m="1" x="7748"/>
        <item m="1" x="7087"/>
        <item m="1" x="7318"/>
        <item m="1" x="7749"/>
        <item m="1" x="7750"/>
        <item m="1" x="7751"/>
        <item m="1" x="7581"/>
        <item m="1" x="7186"/>
        <item m="1" x="7361"/>
        <item m="1" x="7752"/>
        <item m="1" x="7582"/>
        <item m="1" x="7753"/>
        <item m="1" x="7754"/>
        <item m="1" x="7134"/>
        <item m="1" x="7303"/>
        <item m="1" x="7304"/>
        <item m="1" x="7583"/>
        <item m="1" x="6205"/>
        <item m="1" x="6342"/>
        <item m="1" x="7567"/>
        <item m="1" x="6344"/>
        <item m="1" x="7568"/>
        <item m="1" x="7569"/>
        <item m="1" x="7027"/>
        <item m="1" x="7755"/>
        <item m="1" x="7756"/>
        <item m="1" x="7757"/>
        <item m="1" x="7584"/>
        <item m="1" x="7758"/>
        <item m="1" x="7759"/>
        <item m="1" x="7760"/>
        <item m="1" x="7761"/>
        <item m="1" x="7762"/>
        <item m="1" x="7763"/>
        <item m="1" x="7570"/>
        <item m="1" x="7571"/>
        <item m="1" x="7572"/>
        <item m="1" x="7764"/>
        <item m="1" x="7585"/>
        <item m="1" x="7586"/>
        <item m="1" x="7336"/>
        <item m="1" x="7587"/>
        <item m="1" x="7765"/>
        <item m="1" x="7179"/>
        <item m="1" x="7766"/>
        <item m="1" x="7351"/>
        <item m="1" x="7352"/>
        <item m="1" x="7353"/>
        <item m="1" x="6296"/>
        <item m="1" x="7126"/>
        <item m="1" x="6982"/>
        <item m="1" x="7588"/>
        <item m="1" x="7589"/>
        <item m="1" x="7590"/>
        <item m="1" x="7260"/>
        <item m="1" x="7591"/>
        <item m="1" x="7249"/>
        <item m="1" x="6786"/>
        <item m="1" x="6913"/>
        <item m="1" x="6615"/>
        <item m="1" x="7255"/>
        <item m="1" x="7592"/>
        <item m="1" x="7593"/>
        <item m="1" x="7594"/>
        <item m="1" x="7332"/>
        <item m="1" x="7286"/>
        <item m="1" x="7287"/>
        <item m="1" x="7595"/>
        <item m="1" x="7185"/>
        <item m="1" x="7596"/>
        <item m="1" x="7305"/>
        <item m="1" x="7007"/>
        <item m="1" x="6616"/>
        <item m="1" x="7597"/>
        <item m="1" x="7598"/>
        <item m="1" x="7599"/>
        <item m="1" x="7600"/>
        <item m="1" x="7159"/>
        <item m="1" x="7601"/>
        <item m="1" x="7602"/>
        <item m="1" x="7603"/>
        <item m="1" x="7604"/>
        <item m="1" x="7605"/>
        <item m="1" x="7606"/>
        <item m="1" x="7607"/>
        <item m="1" x="7608"/>
        <item m="1" x="7160"/>
        <item m="1" x="7609"/>
        <item m="1" x="7610"/>
        <item m="1" x="7611"/>
        <item m="1" x="7612"/>
        <item m="1" x="7613"/>
        <item m="1" x="7614"/>
        <item m="1" x="7615"/>
        <item m="1" x="7616"/>
        <item m="1" x="7261"/>
        <item m="1" x="7617"/>
        <item m="1" x="7051"/>
        <item m="1" x="7208"/>
        <item m="1" x="7209"/>
        <item m="1" x="7618"/>
        <item m="1" x="7337"/>
        <item m="1" x="7338"/>
        <item m="1" x="7619"/>
        <item m="1" x="7620"/>
        <item m="1" x="6778"/>
        <item m="1" x="7621"/>
        <item m="1" x="7622"/>
        <item m="1" x="7623"/>
        <item m="1" x="7624"/>
        <item m="1" x="7625"/>
        <item m="1" x="7626"/>
        <item m="1" x="7627"/>
        <item m="1" x="7029"/>
        <item m="1" x="7030"/>
        <item m="1" x="7365"/>
        <item m="1" x="7170"/>
        <item m="1" x="7628"/>
        <item m="1" x="7299"/>
        <item m="1" x="7629"/>
        <item m="1" x="7106"/>
        <item m="1" x="7630"/>
        <item m="1" x="7317"/>
        <item m="1" x="7248"/>
        <item m="1" x="7631"/>
        <item m="1" x="7632"/>
        <item m="1" x="7633"/>
        <item m="1" x="7354"/>
        <item m="1" x="7355"/>
        <item m="1" x="7356"/>
        <item m="1" x="7357"/>
        <item m="1" x="7358"/>
        <item m="1" x="7359"/>
        <item m="1" x="7360"/>
        <item m="1" x="7233"/>
        <item m="1" x="7300"/>
        <item m="1" x="7273"/>
        <item m="1" x="7274"/>
        <item m="1" x="7634"/>
        <item m="1" x="7635"/>
        <item m="1" x="7636"/>
        <item m="1" x="7637"/>
        <item m="1" x="6492"/>
        <item m="1" x="6494"/>
        <item m="1" x="7638"/>
        <item m="1" x="7639"/>
        <item m="1" x="7640"/>
        <item m="1" x="7641"/>
        <item m="1" x="7642"/>
        <item m="1" x="7643"/>
        <item m="1" x="7644"/>
        <item m="1" x="7645"/>
        <item m="1" x="7047"/>
        <item m="1" x="7048"/>
        <item m="1" x="7646"/>
        <item m="1" x="7647"/>
        <item m="1" x="7648"/>
        <item m="1" x="7649"/>
        <item m="1" x="7650"/>
        <item m="1" x="7278"/>
        <item m="1" x="7237"/>
        <item m="1" x="7651"/>
        <item m="1" x="7652"/>
        <item m="1" x="7653"/>
        <item m="1" x="7236"/>
        <item m="1" x="7654"/>
        <item m="1" x="7655"/>
        <item m="1" x="7656"/>
        <item m="1" x="7657"/>
        <item m="1" x="7658"/>
        <item m="1" x="765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80"/>
        <item m="1" x="7165"/>
        <item m="1" x="7660"/>
        <item m="1" x="7661"/>
        <item m="1" x="7174"/>
        <item m="1" x="7175"/>
        <item m="1" x="7176"/>
        <item m="1" x="7188"/>
        <item m="1" x="7348"/>
        <item m="1" x="7349"/>
        <item m="1" x="7135"/>
        <item m="1" x="7137"/>
        <item m="1" x="7023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50"/>
        <item m="1" x="7151"/>
        <item m="1" x="7152"/>
        <item m="1" x="7153"/>
        <item m="1" x="7154"/>
        <item m="1" x="7155"/>
        <item m="1" x="6495"/>
        <item m="1" x="6618"/>
        <item m="1" x="7044"/>
        <item m="1" x="7167"/>
        <item m="1" x="7166"/>
        <item m="1" x="7169"/>
        <item m="1" x="7168"/>
        <item m="1" x="7171"/>
        <item m="1" x="7172"/>
        <item m="1" x="7173"/>
        <item m="1" x="7049"/>
        <item m="1" x="7050"/>
        <item m="1" x="6872"/>
        <item m="1" x="7177"/>
        <item m="1" x="7178"/>
        <item m="1" x="7180"/>
        <item m="1" x="7182"/>
        <item m="1" x="7181"/>
        <item m="1" x="7193"/>
        <item m="1" x="7184"/>
        <item m="1" x="7194"/>
        <item m="1" x="7192"/>
        <item m="1" x="7187"/>
        <item m="1" x="7189"/>
        <item m="1" x="7190"/>
        <item m="1" x="7191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7"/>
        <item m="1" x="7206"/>
        <item m="1" x="7234"/>
        <item m="1" x="6499"/>
        <item m="1" x="7239"/>
        <item m="1" x="5255"/>
        <item m="1" x="7063"/>
        <item m="1" x="7068"/>
        <item m="1" x="7240"/>
        <item m="1" x="7241"/>
        <item m="1" x="7244"/>
        <item m="1" x="7245"/>
        <item m="1" x="7246"/>
        <item m="1" x="7250"/>
        <item m="1" x="7071"/>
        <item m="1" x="7253"/>
        <item m="1" x="7254"/>
        <item m="1" x="6787"/>
        <item m="1" x="7251"/>
        <item m="1" x="7258"/>
        <item m="1" x="6617"/>
        <item m="1" x="7259"/>
        <item m="1" x="6794"/>
        <item m="1" x="7262"/>
        <item m="1" x="7277"/>
        <item m="1" x="7275"/>
        <item m="1" x="7276"/>
        <item m="1" x="7279"/>
        <item m="1" x="7281"/>
        <item m="1" x="7282"/>
        <item m="1" x="7283"/>
        <item m="1" x="7080"/>
        <item m="1" x="7081"/>
        <item m="1" x="7079"/>
        <item m="1" x="7084"/>
        <item m="1" x="7284"/>
        <item m="1" x="7285"/>
        <item m="1" x="7088"/>
        <item m="1" x="7289"/>
        <item m="1" x="7288"/>
        <item m="1" x="7290"/>
        <item m="1" x="7292"/>
        <item m="1" x="7293"/>
        <item m="1" x="7294"/>
        <item m="1" x="7295"/>
        <item m="1" x="7296"/>
        <item m="1" x="7297"/>
        <item m="1" x="7298"/>
        <item m="1" x="7094"/>
        <item m="1" x="7095"/>
        <item m="1" x="7096"/>
        <item m="1" x="7097"/>
        <item m="1" x="7301"/>
        <item m="1" x="7108"/>
        <item m="1" x="7109"/>
        <item m="1" x="7306"/>
        <item m="1" x="7307"/>
        <item m="1" x="7308"/>
        <item m="1" x="7312"/>
        <item m="1" x="7119"/>
        <item m="1" x="7311"/>
        <item m="1" x="7309"/>
        <item m="1" x="7310"/>
        <item m="1" x="7313"/>
        <item m="1" x="7315"/>
        <item m="1" x="7316"/>
        <item m="1" x="7314"/>
        <item m="1" x="7319"/>
        <item m="1" x="7320"/>
        <item m="1" x="7321"/>
        <item m="1" x="7120"/>
        <item m="1" x="7121"/>
        <item m="1" x="7326"/>
        <item m="1" x="7325"/>
        <item m="1" x="6976"/>
        <item m="1" x="7327"/>
        <item m="1" x="7328"/>
        <item m="1" x="7330"/>
        <item m="1" x="7329"/>
        <item m="1" x="6619"/>
        <item m="1" x="7333"/>
        <item m="1" x="7334"/>
        <item m="1" x="6620"/>
        <item m="1" x="6823"/>
        <item m="1" x="7339"/>
        <item m="1" x="7335"/>
        <item m="1" x="7340"/>
        <item m="1" x="7350"/>
        <item m="1" x="7344"/>
        <item m="1" x="7345"/>
        <item m="1" x="7346"/>
        <item m="1" x="7347"/>
        <item m="1" x="7362"/>
        <item m="1" x="6829"/>
        <item m="1" x="7010"/>
        <item m="1" x="7014"/>
        <item m="1" x="7252"/>
        <item m="1" x="7011"/>
        <item m="1" x="7012"/>
        <item m="1" x="7017"/>
        <item m="1" x="7018"/>
        <item m="1" x="7019"/>
        <item m="1" x="7020"/>
        <item m="1" x="7021"/>
        <item m="1" x="7022"/>
        <item m="1" x="6352"/>
        <item m="1" x="7024"/>
        <item m="1" x="7025"/>
        <item m="1" x="7028"/>
        <item m="1" x="6853"/>
        <item m="1" x="6854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6348"/>
        <item m="1" x="7042"/>
        <item m="1" x="5553"/>
        <item m="1" x="5554"/>
        <item m="1" x="6920"/>
        <item m="1" x="7043"/>
        <item m="1" x="6877"/>
        <item m="1" x="6876"/>
        <item m="1" x="7045"/>
        <item m="1" x="7052"/>
        <item m="1" x="6347"/>
        <item m="1" x="6896"/>
        <item m="1" x="4432"/>
        <item m="1" x="6892"/>
        <item m="1" x="6906"/>
        <item m="1" x="7056"/>
        <item m="1" x="6911"/>
        <item m="1" x="7062"/>
        <item m="1" x="7064"/>
        <item m="1" x="6356"/>
        <item m="1" x="7065"/>
        <item m="1" x="7066"/>
        <item m="1" x="7067"/>
        <item m="1" x="6351"/>
        <item m="1" x="6339"/>
        <item m="1" x="7069"/>
        <item m="1" x="4426"/>
        <item m="1" x="7070"/>
        <item m="1" x="6922"/>
        <item m="1" x="6073"/>
        <item m="1" x="6202"/>
        <item m="1" x="6203"/>
        <item m="1" x="6921"/>
        <item m="1" x="7072"/>
        <item m="1" x="7073"/>
        <item m="1" x="7074"/>
        <item m="1" x="6788"/>
        <item m="1" x="6500"/>
        <item m="1" x="6783"/>
        <item m="1" x="6784"/>
        <item m="1" x="6785"/>
        <item m="1" x="6621"/>
        <item m="1" x="6497"/>
        <item m="1" x="7076"/>
        <item m="1" x="6931"/>
        <item m="1" x="5069"/>
        <item m="1" x="6345"/>
        <item m="1" x="7091"/>
        <item m="1" x="7092"/>
        <item m="1" x="7093"/>
        <item m="1" x="7098"/>
        <item m="1" x="7099"/>
        <item m="1" x="7100"/>
        <item m="1" x="7101"/>
        <item m="1" x="7102"/>
        <item m="1" x="7103"/>
        <item m="1" x="7104"/>
        <item m="1" x="7105"/>
        <item m="1" x="7107"/>
        <item m="1" x="6507"/>
        <item m="1" x="6496"/>
        <item m="1" x="7110"/>
        <item m="1" x="6808"/>
        <item m="1" x="7111"/>
        <item m="1" x="7112"/>
        <item m="1" x="6201"/>
        <item m="1" x="7113"/>
        <item m="1" x="6806"/>
        <item m="1" x="7114"/>
        <item m="1" x="7115"/>
        <item m="1" x="6807"/>
        <item m="1" x="7116"/>
        <item m="1" x="6809"/>
        <item m="1" x="7118"/>
        <item m="1" x="6207"/>
        <item m="1" x="6957"/>
        <item m="1" x="6965"/>
        <item m="1" x="6966"/>
        <item m="1" x="6967"/>
        <item m="1" x="6334"/>
        <item m="1" x="6977"/>
        <item m="1" x="6978"/>
        <item m="1" x="6981"/>
        <item m="1" x="6208"/>
        <item m="1" x="6821"/>
        <item m="1" x="6822"/>
        <item m="1" x="6996"/>
        <item m="1" x="6997"/>
        <item m="1" x="6995"/>
        <item m="1" x="6993"/>
        <item m="1" x="6994"/>
        <item m="1" x="7128"/>
        <item m="1" x="7129"/>
        <item m="1" x="7130"/>
        <item m="1" x="7000"/>
        <item m="1" x="7001"/>
        <item m="1" x="7005"/>
        <item m="1" x="7131"/>
        <item m="1" x="7132"/>
        <item m="1" x="7133"/>
        <item m="1" x="6831"/>
        <item m="1" x="6832"/>
        <item m="1" x="6626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755"/>
        <item m="1" x="6622"/>
        <item m="1" x="6848"/>
        <item m="1" x="6849"/>
        <item m="1" x="6850"/>
        <item m="1" x="6851"/>
        <item m="1" x="6852"/>
        <item m="1" x="6624"/>
        <item m="1" x="6753"/>
        <item m="1" x="6754"/>
        <item m="1" x="6855"/>
        <item m="1" x="6856"/>
        <item m="1" x="6857"/>
        <item m="1" x="6858"/>
        <item m="1" x="6859"/>
        <item m="1" x="6860"/>
        <item m="1" x="6368"/>
        <item m="1" x="6759"/>
        <item m="1" x="6861"/>
        <item m="1" x="6758"/>
        <item m="1" x="6862"/>
        <item m="1" x="4489"/>
        <item m="1" x="6764"/>
        <item m="1" x="6864"/>
        <item m="1" x="6865"/>
        <item m="1" x="6866"/>
        <item m="1" x="6867"/>
        <item m="1" x="6868"/>
        <item m="1" x="6869"/>
        <item m="1" x="6336"/>
        <item m="1" x="5555"/>
        <item m="1" x="4573"/>
        <item m="1" x="4572"/>
        <item m="1" x="6873"/>
        <item m="1" x="6874"/>
        <item m="1" x="6875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3"/>
        <item m="1" x="6894"/>
        <item m="1" x="6895"/>
        <item m="1" x="6905"/>
        <item m="1" x="6907"/>
        <item m="1" x="6908"/>
        <item m="1" x="6627"/>
        <item m="1" x="6628"/>
        <item m="1" x="6629"/>
        <item m="1" x="6630"/>
        <item m="1" x="6631"/>
        <item m="1" x="6909"/>
        <item m="1" x="6910"/>
        <item m="1" x="6912"/>
        <item m="1" x="6623"/>
        <item m="1" x="6915"/>
        <item m="1" x="6775"/>
        <item m="1" x="6779"/>
        <item m="1" x="6918"/>
        <item m="1" x="6919"/>
        <item m="1" x="4398"/>
        <item m="1" x="6789"/>
        <item m="1" x="6097"/>
        <item m="1" x="6792"/>
        <item m="1" x="6923"/>
        <item m="1" x="6793"/>
        <item m="1" x="6927"/>
        <item m="1" x="4416"/>
        <item m="1" x="6924"/>
        <item m="1" x="6795"/>
        <item m="1" x="6926"/>
        <item m="1" x="6928"/>
        <item m="1" x="6929"/>
        <item m="1" x="6930"/>
        <item m="1" x="6932"/>
        <item m="1" x="6933"/>
        <item m="1" x="6935"/>
        <item m="1" x="6936"/>
        <item m="1" x="6937"/>
        <item m="1" x="6800"/>
        <item m="1" x="6939"/>
        <item m="1" x="6940"/>
        <item m="1" x="6946"/>
        <item m="1" x="6810"/>
        <item m="1" x="6948"/>
        <item m="1" x="6949"/>
        <item m="1" x="6504"/>
        <item m="1" x="6950"/>
        <item m="1" x="6114"/>
        <item m="1" x="6951"/>
        <item m="1" x="6952"/>
        <item m="1" x="6373"/>
        <item m="1" x="6953"/>
        <item m="1" x="6954"/>
        <item m="1" x="6955"/>
        <item m="1" x="6956"/>
        <item m="1" x="6346"/>
        <item m="1" x="6958"/>
        <item m="1" x="6959"/>
        <item m="1" x="6960"/>
        <item m="1" x="6961"/>
        <item m="1" x="6963"/>
        <item m="1" x="6964"/>
        <item m="1" x="6968"/>
        <item m="1" x="6969"/>
        <item m="1" x="6970"/>
        <item m="1" x="6971"/>
        <item m="1" x="6974"/>
        <item m="1" x="6975"/>
        <item m="1" x="6984"/>
        <item m="1" x="6985"/>
        <item m="1" x="6986"/>
        <item m="1" x="6987"/>
        <item m="1" x="6988"/>
        <item m="1" x="6819"/>
        <item m="1" x="6991"/>
        <item m="1" x="6992"/>
        <item m="1" x="6998"/>
        <item m="1" x="6999"/>
        <item m="1" x="7002"/>
        <item m="1" x="7003"/>
        <item m="1" x="6204"/>
        <item m="1" x="7006"/>
        <item m="1" x="7008"/>
        <item m="1" x="7009"/>
        <item m="1" x="5390"/>
        <item m="1" x="4554"/>
        <item m="1" x="4612"/>
        <item m="1" x="5122"/>
        <item m="1" x="5902"/>
        <item m="1" x="6511"/>
        <item m="1" x="6744"/>
        <item m="1" x="6745"/>
        <item m="1" x="6633"/>
        <item m="1" x="6637"/>
        <item m="1" x="6638"/>
        <item m="1" x="6639"/>
        <item m="1" x="6747"/>
        <item m="1" x="6748"/>
        <item m="1" x="6749"/>
        <item m="1" x="6750"/>
        <item m="1" x="6751"/>
        <item m="1" x="6752"/>
        <item m="1" x="6756"/>
        <item m="1" x="6757"/>
        <item m="1" x="6760"/>
        <item m="1" x="6761"/>
        <item m="1" x="6762"/>
        <item m="1" x="6763"/>
        <item m="1" x="6765"/>
        <item m="1" x="6766"/>
        <item m="1" x="6767"/>
        <item m="1" x="6768"/>
        <item m="1" x="6371"/>
        <item m="1" x="6769"/>
        <item m="1" x="6770"/>
        <item m="1" x="6771"/>
        <item m="1" x="6772"/>
        <item m="1" x="5663"/>
        <item m="1" x="5637"/>
        <item m="1" x="5638"/>
        <item m="1" x="5639"/>
        <item m="1" x="4544"/>
        <item m="1" x="4545"/>
        <item m="1" x="6773"/>
        <item m="1" x="6774"/>
        <item m="1" x="6647"/>
        <item m="1" x="6648"/>
        <item m="1" x="6649"/>
        <item m="1" x="6650"/>
        <item m="1" x="6651"/>
        <item m="1" x="6652"/>
        <item m="1" x="6643"/>
        <item m="1" x="6644"/>
        <item m="1" x="6645"/>
        <item m="1" x="6646"/>
        <item m="1" x="6490"/>
        <item m="1" x="6632"/>
        <item m="1" x="6776"/>
        <item m="1" x="6777"/>
        <item m="1" x="6625"/>
        <item m="1" x="6780"/>
        <item m="1" x="6781"/>
        <item m="1" x="6071"/>
        <item m="1" x="6072"/>
        <item m="1" x="6076"/>
        <item m="1" x="6641"/>
        <item m="1" x="6077"/>
        <item m="1" x="6642"/>
        <item m="1" x="6782"/>
        <item m="1" x="6790"/>
        <item m="1" x="6791"/>
        <item m="1" x="6796"/>
        <item m="1" x="6797"/>
        <item m="1" x="6798"/>
        <item m="1" x="6799"/>
        <item m="1" x="5297"/>
        <item m="1" x="5761"/>
        <item m="1" x="5762"/>
        <item m="1" x="5763"/>
        <item m="1" x="5764"/>
        <item m="1" x="5765"/>
        <item m="1" x="5755"/>
        <item m="1" x="6635"/>
        <item m="1" x="6360"/>
        <item m="1" x="5806"/>
        <item m="1" x="6362"/>
        <item m="1" x="6363"/>
        <item m="1" x="6364"/>
        <item m="1" x="6801"/>
        <item m="1" x="6802"/>
        <item m="1" x="6634"/>
        <item m="1" x="6803"/>
        <item m="1" x="6804"/>
        <item m="1" x="6805"/>
        <item m="1" x="6811"/>
        <item m="1" x="6812"/>
        <item m="1" x="6813"/>
        <item m="1" x="6814"/>
        <item m="1" x="6815"/>
        <item m="1" x="6636"/>
        <item m="1" x="5837"/>
        <item m="1" x="6817"/>
        <item m="1" x="6818"/>
        <item m="1" x="5403"/>
        <item m="1" x="6509"/>
        <item m="1" x="6640"/>
        <item m="1" x="6015"/>
        <item m="1" x="6820"/>
        <item m="1" x="5866"/>
        <item m="1" x="6016"/>
        <item m="1" x="6190"/>
        <item m="1" x="6017"/>
        <item m="1" x="6824"/>
        <item m="1" x="6825"/>
        <item m="1" x="6134"/>
        <item m="1" x="6135"/>
        <item m="1" x="6826"/>
        <item m="1" x="6827"/>
        <item m="1" x="6828"/>
        <item m="1" x="6045"/>
        <item m="1" x="4568"/>
        <item m="1" x="6193"/>
        <item m="1" x="5970"/>
        <item m="1" x="4411"/>
        <item m="1" x="5883"/>
        <item m="1" x="5282"/>
        <item m="1" x="6611"/>
        <item m="1" x="2894"/>
        <item m="1" x="6092"/>
        <item m="1" x="4501"/>
        <item m="1" x="4550"/>
        <item m="1" x="6354"/>
        <item m="1" x="6355"/>
        <item m="1" x="6180"/>
        <item m="1" x="5538"/>
        <item m="1" x="4405"/>
        <item m="1" x="6372"/>
        <item m="1" x="6653"/>
        <item m="1" x="6654"/>
        <item m="1" x="6655"/>
        <item m="1" x="6656"/>
        <item m="1" x="6657"/>
        <item m="1" x="6658"/>
        <item m="1" x="6659"/>
        <item m="1" x="6365"/>
        <item m="1" x="6660"/>
        <item m="1" x="6661"/>
        <item m="1" x="6662"/>
        <item m="1" x="6663"/>
        <item m="1" x="6664"/>
        <item m="1" x="6665"/>
        <item m="1" x="6666"/>
        <item m="1" x="6667"/>
        <item m="1" x="6502"/>
        <item m="1" x="6668"/>
        <item m="1" x="6669"/>
        <item m="1" x="6670"/>
        <item m="1" x="6004"/>
        <item m="1" x="4574"/>
        <item m="1" x="5766"/>
        <item m="1" x="6671"/>
        <item m="1" x="5612"/>
        <item m="1" x="5321"/>
        <item m="1" x="5669"/>
        <item m="1" x="5322"/>
        <item m="1" x="6672"/>
        <item m="1" x="6673"/>
        <item m="1" x="6674"/>
        <item m="1" x="6675"/>
        <item m="1" x="6513"/>
        <item m="1" x="6209"/>
        <item m="1" x="6676"/>
        <item m="1" x="6074"/>
        <item m="1" x="6075"/>
        <item m="1" x="6677"/>
        <item m="1" x="6678"/>
        <item m="1" x="5752"/>
        <item m="1" x="6679"/>
        <item m="1" x="6680"/>
        <item m="1" x="6681"/>
        <item m="1" x="6682"/>
        <item m="1" x="6683"/>
        <item m="1" x="6684"/>
        <item m="1" x="6508"/>
        <item m="1" x="6685"/>
        <item m="1" x="6366"/>
        <item m="1" x="6686"/>
        <item m="1" x="6687"/>
        <item m="1" x="6688"/>
        <item m="1" x="6503"/>
        <item m="1" x="6510"/>
        <item m="1" x="6359"/>
        <item m="1" x="6506"/>
        <item m="1" x="6689"/>
        <item m="1" x="6690"/>
        <item m="1" x="6691"/>
        <item m="1" x="6692"/>
        <item m="1" x="6693"/>
        <item m="1" x="6694"/>
        <item m="1" x="6367"/>
        <item m="1" x="6695"/>
        <item m="1" x="6512"/>
        <item m="1" x="6696"/>
        <item m="1" x="6697"/>
        <item m="1" x="6698"/>
        <item m="1" x="6370"/>
        <item m="1" x="4587"/>
        <item m="1" x="6358"/>
        <item m="1" x="6501"/>
        <item m="1" x="6699"/>
        <item m="1" x="6700"/>
        <item m="1" x="6701"/>
        <item m="1" x="6702"/>
        <item m="1" x="6703"/>
        <item m="1" x="6704"/>
        <item m="1" x="6211"/>
        <item m="1" x="6212"/>
        <item m="1" x="5901"/>
        <item m="1" x="6210"/>
        <item m="1" x="6705"/>
        <item m="1" x="6706"/>
        <item m="1" x="6707"/>
        <item m="1" x="6708"/>
        <item m="1" x="5357"/>
        <item m="1" x="6709"/>
        <item m="1" x="6710"/>
        <item m="1" x="6711"/>
        <item m="1" x="6003"/>
        <item m="1" x="6027"/>
        <item m="1" x="5270"/>
        <item m="1" x="6712"/>
        <item m="1" x="6713"/>
        <item m="1" x="5777"/>
        <item m="1" x="6505"/>
        <item m="1" x="5778"/>
        <item m="1" x="5779"/>
        <item m="1" x="5780"/>
        <item m="1" x="5641"/>
        <item m="1" x="6714"/>
        <item m="1" x="6715"/>
        <item m="1" x="6716"/>
        <item m="1" x="615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5801"/>
        <item m="1" x="5802"/>
        <item m="1" x="6361"/>
        <item m="1" x="6225"/>
        <item m="1" x="5350"/>
        <item m="1" x="5355"/>
        <item m="1" x="6728"/>
        <item m="1" x="6729"/>
        <item m="1" x="5839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726"/>
        <item m="1" x="5480"/>
        <item m="1" x="5727"/>
        <item m="1" x="5728"/>
        <item m="1" x="6514"/>
        <item m="1" x="6515"/>
        <item m="1" x="5479"/>
        <item m="1" x="6730"/>
        <item m="1" x="6093"/>
        <item m="1" x="6731"/>
        <item m="1" x="6732"/>
        <item m="1" x="6733"/>
        <item m="1" x="6734"/>
        <item m="1" x="6735"/>
        <item m="1" x="6736"/>
        <item m="1" x="5853"/>
        <item m="1" x="5854"/>
        <item m="1" x="6737"/>
        <item m="1" x="6738"/>
        <item m="1" x="6739"/>
        <item m="1" x="6002"/>
        <item m="1" x="5391"/>
        <item m="1" x="5392"/>
        <item m="1" x="4472"/>
        <item m="1" x="5805"/>
        <item m="1" x="5348"/>
        <item m="1" x="5353"/>
        <item m="1" x="5349"/>
        <item m="1" x="5352"/>
        <item m="1" x="5723"/>
        <item m="1" x="6078"/>
        <item m="1" x="6543"/>
        <item m="1" x="6740"/>
        <item m="1" x="6741"/>
        <item m="1" x="6742"/>
        <item m="1" x="6743"/>
        <item m="1" x="5676"/>
        <item m="1" x="6433"/>
        <item m="1" x="5486"/>
        <item m="1" x="6140"/>
        <item m="1" x="6141"/>
        <item m="1" x="6194"/>
        <item m="1" x="6197"/>
        <item m="1" x="6198"/>
        <item m="1" x="6195"/>
        <item m="1" x="6196"/>
        <item m="1" x="6199"/>
        <item m="1" x="6200"/>
        <item m="1" x="5975"/>
        <item m="1" x="5466"/>
        <item m="1" x="6369"/>
        <item m="1" x="6152"/>
        <item m="1" x="6516"/>
        <item m="1" x="6517"/>
        <item m="1" x="6374"/>
        <item m="1" x="6376"/>
        <item m="1" x="5724"/>
        <item m="1" x="5725"/>
        <item m="1" x="6182"/>
        <item m="1" x="5132"/>
        <item m="1" x="5838"/>
        <item m="1" x="5230"/>
        <item m="1" x="5231"/>
        <item m="1" x="6378"/>
        <item m="1" x="6518"/>
        <item m="1" x="6519"/>
        <item m="1" x="6520"/>
        <item m="1" x="6521"/>
        <item m="1" x="6522"/>
        <item m="1" x="6213"/>
        <item m="1" x="6523"/>
        <item m="1" x="6524"/>
        <item m="1" x="6525"/>
        <item m="1" x="6526"/>
        <item m="1" x="6527"/>
        <item m="1" x="6528"/>
        <item m="1" x="6529"/>
        <item m="1" x="5644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4"/>
        <item m="1" x="6545"/>
        <item m="1" x="6546"/>
        <item m="1" x="6547"/>
        <item m="1" x="6548"/>
        <item m="1" x="6549"/>
        <item m="1" x="6550"/>
        <item m="1" x="6386"/>
        <item m="1" x="6389"/>
        <item m="1" x="6390"/>
        <item m="1" x="6391"/>
        <item m="1" x="6392"/>
        <item m="1" x="6387"/>
        <item m="1" x="6388"/>
        <item m="1" x="6396"/>
        <item m="1" x="5781"/>
        <item m="1" x="6410"/>
        <item m="1" x="6411"/>
        <item m="1" x="6412"/>
        <item m="1" x="6416"/>
        <item m="1" x="6417"/>
        <item m="1" x="6418"/>
        <item m="1" x="6413"/>
        <item m="1" x="6414"/>
        <item m="1" x="6415"/>
        <item m="1" x="5800"/>
        <item m="1" x="5320"/>
        <item m="1" x="6551"/>
        <item m="1" x="6552"/>
        <item m="1" x="6553"/>
        <item m="1" x="6554"/>
        <item m="1" x="6555"/>
        <item m="1" x="6556"/>
        <item m="1" x="5622"/>
        <item m="1" x="6557"/>
        <item m="1" x="5857"/>
        <item m="1" x="6001"/>
        <item m="1" x="5999"/>
        <item m="1" x="6005"/>
        <item m="1" x="6000"/>
        <item m="1" x="6028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5557"/>
        <item m="1" x="6435"/>
        <item m="1" x="6567"/>
        <item m="1" x="6568"/>
        <item m="1" x="6569"/>
        <item m="1" x="6444"/>
        <item m="1" x="6438"/>
        <item m="1" x="6570"/>
        <item m="1" x="6571"/>
        <item m="1" x="6572"/>
        <item m="1" x="5721"/>
        <item m="1" x="6440"/>
        <item m="1" x="6573"/>
        <item m="1" x="6216"/>
        <item m="1" x="4436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446"/>
        <item m="1" x="6583"/>
        <item m="1" x="6584"/>
        <item m="1" x="6447"/>
        <item m="1" x="6221"/>
        <item m="1" x="6222"/>
        <item m="1" x="6585"/>
        <item m="1" x="6586"/>
        <item m="1" x="6587"/>
        <item m="1" x="6588"/>
        <item m="1" x="6589"/>
        <item m="1" x="6590"/>
        <item m="1" x="6223"/>
        <item m="1" x="4609"/>
        <item m="1" x="646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5485"/>
        <item m="1" x="6602"/>
        <item m="1" x="6603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6604"/>
        <item m="1" x="6188"/>
        <item m="1" x="6098"/>
        <item m="1" x="6605"/>
        <item m="1" x="6606"/>
        <item m="1" x="5737"/>
        <item m="1" x="5738"/>
        <item m="1" x="5465"/>
        <item m="1" x="6607"/>
        <item m="1" x="6608"/>
        <item m="1" x="5654"/>
        <item m="1" x="6609"/>
        <item m="1" x="5209"/>
        <item m="1" x="5782"/>
        <item m="1" x="5316"/>
        <item m="1" x="5799"/>
        <item m="1" x="6133"/>
        <item m="1" x="6215"/>
        <item m="1" x="4449"/>
        <item m="1" x="6218"/>
        <item m="1" x="5314"/>
        <item m="1" x="5315"/>
        <item m="1" x="6610"/>
        <item m="1" x="6224"/>
        <item m="1" x="5123"/>
        <item m="1" x="6375"/>
        <item m="1" x="5483"/>
        <item m="1" x="5484"/>
        <item m="1" x="5735"/>
        <item m="1" x="5193"/>
        <item m="1" x="5736"/>
        <item m="1" x="6377"/>
        <item m="1" x="6227"/>
        <item m="1" x="5242"/>
        <item m="1" x="6230"/>
        <item m="1" x="6379"/>
        <item m="1" x="5708"/>
        <item m="1" x="5709"/>
        <item m="1" x="5710"/>
        <item m="1" x="6380"/>
        <item m="1" x="6381"/>
        <item m="1" x="6382"/>
        <item m="1" x="5194"/>
        <item m="1" x="5195"/>
        <item m="1" x="5196"/>
        <item m="1" x="5657"/>
        <item m="1" x="6383"/>
        <item m="1" x="6384"/>
        <item m="1" x="6385"/>
        <item m="1" x="6393"/>
        <item m="1" x="6394"/>
        <item m="1" x="6395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5028"/>
        <item m="1" x="6246"/>
        <item m="1" x="6406"/>
        <item m="1" x="6407"/>
        <item m="1" x="6408"/>
        <item m="1" x="6409"/>
        <item m="1" x="6419"/>
        <item m="1" x="6420"/>
        <item m="1" x="6421"/>
        <item m="1" x="6422"/>
        <item m="1" x="5808"/>
        <item m="1" x="6423"/>
        <item m="1" x="6424"/>
        <item m="1" x="6425"/>
        <item m="1" x="6426"/>
        <item m="1" x="6427"/>
        <item m="1" x="6428"/>
        <item m="1" x="6429"/>
        <item m="1" x="6214"/>
        <item m="1" x="6430"/>
        <item m="1" x="6431"/>
        <item m="1" x="5858"/>
        <item m="1" x="5634"/>
        <item m="1" x="6018"/>
        <item m="1" x="5436"/>
        <item m="1" x="5437"/>
        <item m="1" x="6432"/>
        <item m="1" x="6434"/>
        <item m="1" x="5393"/>
        <item m="1" x="6436"/>
        <item m="1" x="6437"/>
        <item m="1" x="6439"/>
        <item m="1" x="5162"/>
        <item m="1" x="4444"/>
        <item m="1" x="6441"/>
        <item m="1" x="6173"/>
        <item m="1" x="6217"/>
        <item m="1" x="6219"/>
        <item m="1" x="6442"/>
        <item m="1" x="6443"/>
        <item m="1" x="4663"/>
        <item m="1" x="6445"/>
        <item m="1" x="4458"/>
        <item m="1" x="6220"/>
        <item m="1" x="4457"/>
        <item m="1" x="4463"/>
        <item m="1" x="4470"/>
        <item m="1" x="5394"/>
        <item m="1" x="6448"/>
        <item m="1" x="6449"/>
        <item m="1" x="5570"/>
        <item m="1" x="6450"/>
        <item m="1" x="2896"/>
        <item m="1" x="6451"/>
        <item m="1" x="6035"/>
        <item m="1" x="6452"/>
        <item m="1" x="6453"/>
        <item m="1" x="6454"/>
        <item m="1" x="6455"/>
        <item m="1" x="6456"/>
        <item m="1" x="6457"/>
        <item m="1" x="6458"/>
        <item m="1" x="6459"/>
        <item m="1" x="6461"/>
        <item m="1" x="6462"/>
        <item m="1" x="5826"/>
        <item m="1" x="6463"/>
        <item m="1" x="5549"/>
        <item m="1" x="5551"/>
        <item m="1" x="5550"/>
        <item m="1" x="5552"/>
        <item m="1" x="6464"/>
        <item m="1" x="6465"/>
        <item m="1" x="6466"/>
        <item m="1" x="6192"/>
        <item m="1" x="5482"/>
        <item m="1" x="5733"/>
        <item m="1" x="5734"/>
        <item m="1" x="5830"/>
        <item m="1" x="5831"/>
        <item m="1" x="6231"/>
        <item m="1" x="6232"/>
        <item m="1" x="6233"/>
        <item m="1" x="6467"/>
        <item m="1" x="5759"/>
        <item m="1" x="6468"/>
        <item m="1" x="6469"/>
        <item m="1" x="6470"/>
        <item m="1" x="6471"/>
        <item m="1" x="6472"/>
        <item m="1" x="6473"/>
        <item m="1" x="6474"/>
        <item m="1" x="6475"/>
        <item m="1" x="6019"/>
        <item m="1" x="6476"/>
        <item m="1" x="6477"/>
        <item m="1" x="6189"/>
        <item m="1" x="6127"/>
        <item m="1" x="6478"/>
        <item m="1" x="6479"/>
        <item m="1" x="6480"/>
        <item m="1" x="6029"/>
        <item m="1" x="5397"/>
        <item m="1" x="6481"/>
        <item m="1" x="5706"/>
        <item m="1" x="4427"/>
        <item m="1" x="4461"/>
        <item m="1" x="6260"/>
        <item m="1" x="6482"/>
        <item m="1" x="4460"/>
        <item m="1" x="4466"/>
        <item m="1" x="4467"/>
        <item m="1" x="4505"/>
        <item m="1" x="6483"/>
        <item m="1" x="6484"/>
        <item m="1" x="2292"/>
        <item m="1" x="4490"/>
        <item m="1" x="6254"/>
        <item m="1" x="6265"/>
        <item m="1" x="4543"/>
        <item m="1" x="6268"/>
        <item m="1" x="6485"/>
        <item m="1" x="6486"/>
        <item m="1" x="4571"/>
        <item m="1" x="6487"/>
        <item m="1" x="5578"/>
        <item m="1" x="6488"/>
        <item m="1" x="6274"/>
        <item m="1" x="6489"/>
        <item m="1" x="4806"/>
        <item m="1" x="6226"/>
        <item m="1" x="5730"/>
        <item m="1" x="5731"/>
        <item m="1" x="6181"/>
        <item m="1" x="6062"/>
        <item m="1" x="5680"/>
        <item m="1" x="6228"/>
        <item m="1" x="6229"/>
        <item m="1" x="5835"/>
        <item m="1" x="5833"/>
        <item m="1" x="5834"/>
        <item m="1" x="6234"/>
        <item m="1" x="6155"/>
        <item m="1" x="4942"/>
        <item m="1" x="6235"/>
        <item m="1" x="5611"/>
        <item m="1" x="5667"/>
        <item m="1" x="5283"/>
        <item m="1" x="5015"/>
        <item m="1" x="6236"/>
        <item m="1" x="6237"/>
        <item m="1" x="6238"/>
        <item m="1" x="6239"/>
        <item m="1" x="6240"/>
        <item m="1" x="5284"/>
        <item m="1" x="6241"/>
        <item m="1" x="6242"/>
        <item m="1" x="6243"/>
        <item m="1" x="5938"/>
        <item m="1" x="6244"/>
        <item m="1" x="6245"/>
        <item m="1" x="5774"/>
        <item m="1" x="5775"/>
        <item m="1" x="5776"/>
        <item m="1" x="5769"/>
        <item m="1" x="5770"/>
        <item m="1" x="5771"/>
        <item m="1" x="5772"/>
        <item m="1" x="5773"/>
        <item m="1" x="5978"/>
        <item m="1" x="5059"/>
        <item m="1" x="5497"/>
        <item m="1" x="5060"/>
        <item m="1" x="5498"/>
        <item m="1" x="5790"/>
        <item m="1" x="5791"/>
        <item m="1" x="5495"/>
        <item m="1" x="5496"/>
        <item m="1" x="5029"/>
        <item m="1" x="5030"/>
        <item m="1" x="5788"/>
        <item m="1" x="5979"/>
        <item m="1" x="5493"/>
        <item m="1" x="5494"/>
        <item m="1" x="5807"/>
        <item m="1" x="5804"/>
        <item m="1" x="6247"/>
        <item m="1" x="5803"/>
        <item m="1" x="6248"/>
        <item m="1" x="6249"/>
        <item m="1" x="5620"/>
        <item m="1" x="5621"/>
        <item m="1" x="6250"/>
        <item m="1" x="6251"/>
        <item m="1" x="5213"/>
        <item m="1" x="5633"/>
        <item m="1" x="5635"/>
        <item m="1" x="5636"/>
        <item m="1" x="6021"/>
        <item m="1" x="5867"/>
        <item m="1" x="5855"/>
        <item m="1" x="5856"/>
        <item m="1" x="6022"/>
        <item m="1" x="6023"/>
        <item m="1" x="6024"/>
        <item m="1" x="6025"/>
        <item m="1" x="6020"/>
        <item m="1" x="6252"/>
        <item m="1" x="6129"/>
        <item m="1" x="6128"/>
        <item m="1" x="5882"/>
        <item m="1" x="6033"/>
        <item m="1" x="6115"/>
        <item m="1" x="6253"/>
        <item m="1" x="6099"/>
        <item m="1" x="4428"/>
        <item m="1" x="6171"/>
        <item m="1" x="4431"/>
        <item m="1" x="4434"/>
        <item m="1" x="4473"/>
        <item m="1" x="4997"/>
        <item m="1" x="6255"/>
        <item m="1" x="1748"/>
        <item m="1" x="6256"/>
        <item m="1" x="6257"/>
        <item m="1" x="6258"/>
        <item m="1" x="6259"/>
        <item m="1" x="4513"/>
        <item m="1" x="4676"/>
        <item m="1" x="6109"/>
        <item m="1" x="5967"/>
        <item m="1" x="4527"/>
        <item m="1" x="4450"/>
        <item m="1" x="6261"/>
        <item m="1" x="6262"/>
        <item m="1" x="6263"/>
        <item m="1" x="6264"/>
        <item m="1" x="6266"/>
        <item m="1" x="6267"/>
        <item m="1" x="4536"/>
        <item m="1" x="4556"/>
        <item m="1" x="4564"/>
        <item m="1" x="4565"/>
        <item m="1" x="6269"/>
        <item m="1" x="6270"/>
        <item m="1" x="6271"/>
        <item m="1" x="6053"/>
        <item m="1" x="6272"/>
        <item m="1" x="6273"/>
        <item m="1" x="6154"/>
        <item m="1" x="6055"/>
        <item m="1" x="6164"/>
        <item m="1" x="6167"/>
        <item m="1" x="6165"/>
        <item m="1" x="6163"/>
        <item m="1" x="6162"/>
        <item m="1" x="5596"/>
        <item m="1" x="6275"/>
        <item m="1" x="5005"/>
        <item m="1" x="5361"/>
        <item m="1" x="6153"/>
        <item m="1" x="6276"/>
        <item m="1" x="6277"/>
        <item m="1" x="6278"/>
        <item m="1" x="5556"/>
        <item m="1" x="5729"/>
        <item m="1" x="6095"/>
        <item m="1" x="5732"/>
        <item m="1" x="5836"/>
        <item m="1" x="5939"/>
        <item m="1" x="5940"/>
        <item m="1" x="6279"/>
        <item m="1" x="5666"/>
        <item m="1" x="5664"/>
        <item m="1" x="5668"/>
        <item m="1" x="5665"/>
        <item m="1" x="5768"/>
        <item m="1" x="6121"/>
        <item m="1" x="6122"/>
        <item m="1" x="4412"/>
        <item m="1" x="6280"/>
        <item m="1" x="6281"/>
        <item m="1" x="6047"/>
        <item m="1" x="6146"/>
        <item m="1" x="6056"/>
        <item m="1" x="5964"/>
        <item m="1" x="6139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138"/>
        <item m="1" x="6291"/>
        <item m="1" x="6292"/>
        <item m="1" x="6293"/>
        <item m="1" x="6166"/>
        <item m="1" x="6294"/>
        <item m="1" x="6295"/>
        <item m="1" x="5565"/>
        <item m="1" x="6142"/>
        <item m="1" x="6143"/>
        <item m="1" x="6144"/>
        <item m="1" x="6145"/>
        <item m="1" x="5905"/>
        <item m="1" x="6147"/>
        <item m="1" x="6148"/>
        <item m="1" x="4825"/>
        <item m="1" x="4474"/>
        <item m="1" x="4905"/>
        <item m="1" x="4441"/>
        <item m="1" x="2899"/>
        <item m="1" x="5909"/>
        <item m="1" x="6149"/>
        <item m="1" x="4926"/>
        <item m="1" x="6150"/>
        <item m="1" x="6151"/>
        <item m="1" x="6157"/>
        <item m="1" x="6158"/>
        <item m="1" x="6159"/>
        <item m="1" x="6160"/>
        <item m="1" x="6161"/>
        <item m="1" x="6168"/>
        <item m="1" x="6169"/>
        <item m="1" x="5932"/>
        <item m="1" x="6170"/>
        <item m="1" x="4944"/>
        <item m="1" x="4941"/>
        <item m="1" x="5192"/>
        <item m="1" x="4945"/>
        <item m="1" x="5937"/>
        <item m="1" x="5619"/>
        <item m="1" x="5226"/>
        <item m="1" x="5623"/>
        <item m="1" x="5661"/>
        <item m="1" x="4567"/>
        <item m="1" x="5640"/>
        <item m="1" x="5941"/>
        <item m="1" x="6172"/>
        <item m="1" x="5679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9"/>
        <item m="1" x="5700"/>
        <item m="1" x="5691"/>
        <item m="1" x="5705"/>
        <item m="1" x="4996"/>
        <item m="1" x="6174"/>
        <item m="1" x="6175"/>
        <item m="1" x="6176"/>
        <item m="1" x="5457"/>
        <item m="1" x="5455"/>
        <item m="1" x="6177"/>
        <item m="1" x="6178"/>
        <item m="1" x="6179"/>
        <item m="1" x="5456"/>
        <item m="1" x="5460"/>
        <item m="1" x="6070"/>
        <item m="1" x="5713"/>
        <item m="1" x="6088"/>
        <item m="1" x="6087"/>
        <item m="1" x="5750"/>
        <item m="1" x="5976"/>
        <item m="1" x="5017"/>
        <item m="1" x="6183"/>
        <item m="1" x="6184"/>
        <item m="1" x="5288"/>
        <item m="1" x="5294"/>
        <item m="1" x="5767"/>
        <item m="1" x="5757"/>
        <item m="1" x="5031"/>
        <item m="1" x="5504"/>
        <item m="1" x="5505"/>
        <item m="1" x="5797"/>
        <item m="1" x="5068"/>
        <item m="1" x="5798"/>
        <item m="1" x="4374"/>
        <item m="1" x="5812"/>
        <item m="1" x="4560"/>
        <item m="1" x="4561"/>
        <item m="1" x="6185"/>
        <item m="1" x="5319"/>
        <item m="1" x="6186"/>
        <item m="1" x="5818"/>
        <item m="1" x="3543"/>
        <item m="1" x="5817"/>
        <item m="1" x="6110"/>
        <item m="1" x="6187"/>
        <item m="1" x="5996"/>
        <item m="1" x="4459"/>
        <item m="1" x="5825"/>
        <item m="1" x="4886"/>
        <item m="1" x="5829"/>
        <item m="1" x="5828"/>
        <item m="1" x="5840"/>
        <item m="1" x="5859"/>
        <item m="1" x="5865"/>
        <item m="1" x="6118"/>
        <item m="1" x="6007"/>
        <item m="1" x="5868"/>
        <item m="1" x="6006"/>
        <item m="1" x="5113"/>
        <item m="1" x="5873"/>
        <item m="1" x="6123"/>
        <item m="1" x="6124"/>
        <item m="1" x="6125"/>
        <item m="1" x="6126"/>
        <item m="1" x="6130"/>
        <item m="1" x="6136"/>
        <item m="1" x="5881"/>
        <item m="1" x="5197"/>
        <item m="1" x="5381"/>
        <item m="1" x="5888"/>
        <item m="1" x="5382"/>
        <item m="1" x="6191"/>
        <item m="1" x="4693"/>
        <item m="1" x="5399"/>
        <item m="1" x="5395"/>
        <item m="1" x="5396"/>
        <item m="1" x="5562"/>
        <item m="1" x="5563"/>
        <item m="1" x="5564"/>
        <item m="1" x="5574"/>
        <item m="1" x="5575"/>
        <item m="1" x="2328"/>
        <item m="1" x="5915"/>
        <item m="1" x="5914"/>
        <item m="1" x="6048"/>
        <item m="1" x="5908"/>
        <item m="1" x="4491"/>
        <item m="1" x="5581"/>
        <item m="1" x="5582"/>
        <item m="1" x="5583"/>
        <item m="1" x="5579"/>
        <item m="1" x="5920"/>
        <item m="1" x="5165"/>
        <item m="1" x="5921"/>
        <item m="1" x="6049"/>
        <item m="1" x="5580"/>
        <item m="1" x="5584"/>
        <item m="1" x="6050"/>
        <item m="1" x="4452"/>
        <item m="1" x="4453"/>
        <item m="1" x="6051"/>
        <item m="1" x="4910"/>
        <item m="1" x="6052"/>
        <item m="1" x="4911"/>
        <item m="1" x="5926"/>
        <item m="1" x="6054"/>
        <item m="1" x="6057"/>
        <item m="1" x="6058"/>
        <item m="1" x="6059"/>
        <item m="1" x="6060"/>
        <item m="1" x="2897"/>
        <item m="1" x="4838"/>
        <item m="1" x="4839"/>
        <item m="1" x="5199"/>
        <item m="1" x="6061"/>
        <item m="1" x="5605"/>
        <item m="1" x="4948"/>
        <item m="1" x="5200"/>
        <item m="1" x="5441"/>
        <item m="1" x="5442"/>
        <item m="1" x="5617"/>
        <item m="1" x="5618"/>
        <item m="1" x="5936"/>
        <item m="1" x="5217"/>
        <item m="1" x="5631"/>
        <item m="1" x="5632"/>
        <item m="1" x="4968"/>
        <item m="1" x="5658"/>
        <item m="1" x="5659"/>
        <item m="1" x="5660"/>
        <item m="1" x="5656"/>
        <item m="1" x="5942"/>
        <item m="1" x="5945"/>
        <item m="1" x="5946"/>
        <item m="1" x="5234"/>
        <item m="1" x="5235"/>
        <item m="1" x="5236"/>
        <item m="1" x="5944"/>
        <item m="1" x="5947"/>
        <item m="1" x="5948"/>
        <item m="1" x="5250"/>
        <item m="1" x="5968"/>
        <item m="1" x="6063"/>
        <item m="1" x="6064"/>
        <item m="1" x="6065"/>
        <item m="1" x="6066"/>
        <item m="1" x="6067"/>
        <item m="1" x="6068"/>
        <item m="1" x="5453"/>
        <item m="1" x="5273"/>
        <item m="1" x="5973"/>
        <item m="1" x="5972"/>
        <item m="1" x="5974"/>
        <item m="1" x="4437"/>
        <item m="1" x="4438"/>
        <item m="1" x="4439"/>
        <item m="1" x="5722"/>
        <item m="1" x="6079"/>
        <item m="1" x="6080"/>
        <item m="1" x="6081"/>
        <item m="1" x="5739"/>
        <item m="1" x="6082"/>
        <item m="1" x="6083"/>
        <item m="1" x="6084"/>
        <item m="1" x="6085"/>
        <item m="1" x="5740"/>
        <item m="1" x="6086"/>
        <item m="1" x="5741"/>
        <item m="1" x="6089"/>
        <item m="1" x="5742"/>
        <item m="1" x="5469"/>
        <item m="1" x="5743"/>
        <item m="1" x="6090"/>
        <item m="1" x="6091"/>
        <item m="1" x="6094"/>
        <item m="1" x="6096"/>
        <item m="1" x="5468"/>
        <item m="1" x="3632"/>
        <item m="1" x="5749"/>
        <item m="1" x="5009"/>
        <item m="1" x="5751"/>
        <item m="1" x="4518"/>
        <item m="1" x="4528"/>
        <item m="1" x="4529"/>
        <item m="1" x="4530"/>
        <item m="1" x="5287"/>
        <item m="1" x="5758"/>
        <item m="1" x="5760"/>
        <item m="1" x="5050"/>
        <item m="1" x="5058"/>
        <item m="1" x="5300"/>
        <item m="1" x="5035"/>
        <item m="1" x="5506"/>
        <item m="1" x="5508"/>
        <item m="1" x="5034"/>
        <item m="1" x="5036"/>
        <item m="1" x="5032"/>
        <item m="1" x="5507"/>
        <item m="1" x="5501"/>
        <item m="1" x="5502"/>
        <item m="1" x="5503"/>
        <item m="1" x="5033"/>
        <item m="1" x="4608"/>
        <item m="1" x="6100"/>
        <item m="1" x="6101"/>
        <item m="1" x="6102"/>
        <item m="1" x="4881"/>
        <item m="1" x="6103"/>
        <item m="1" x="5317"/>
        <item m="1" x="5318"/>
        <item m="1" x="5089"/>
        <item m="1" x="5992"/>
        <item m="1" x="6104"/>
        <item m="1" x="6105"/>
        <item m="1" x="5088"/>
        <item m="1" x="5993"/>
        <item m="1" x="4456"/>
        <item m="1" x="4526"/>
        <item m="1" x="5981"/>
        <item m="1" x="5982"/>
        <item m="1" x="4469"/>
        <item m="1" x="6106"/>
        <item m="1" x="6107"/>
        <item m="1" x="6108"/>
        <item m="1" x="5986"/>
        <item m="1" x="6111"/>
        <item m="1" x="6112"/>
        <item m="1" x="6113"/>
        <item m="1" x="6116"/>
        <item m="1" x="4515"/>
        <item m="1" x="6117"/>
        <item m="1" x="5824"/>
        <item m="1" x="5997"/>
        <item m="1" x="5851"/>
        <item m="1" x="5998"/>
        <item m="1" x="6026"/>
        <item m="1" x="6010"/>
        <item m="1" x="6011"/>
        <item m="1" x="5869"/>
        <item m="1" x="6012"/>
        <item m="1" x="6013"/>
        <item m="1" x="6014"/>
        <item m="1" x="5864"/>
        <item m="1" x="6034"/>
        <item m="1" x="6119"/>
        <item m="1" x="6120"/>
        <item m="1" x="6131"/>
        <item m="1" x="6132"/>
        <item m="1" x="6137"/>
        <item m="1" x="5558"/>
        <item m="1" x="5559"/>
        <item m="1" x="5560"/>
        <item m="1" x="5561"/>
        <item m="1" x="5903"/>
        <item m="1" x="5904"/>
        <item m="1" x="5906"/>
        <item m="1" x="5573"/>
        <item m="1" x="5907"/>
        <item m="1" x="5910"/>
        <item m="1" x="5911"/>
        <item m="1" x="5912"/>
        <item m="1" x="5913"/>
        <item m="1" x="5916"/>
        <item m="1" x="5917"/>
        <item m="1" x="5918"/>
        <item m="1" x="5919"/>
        <item m="1" x="4443"/>
        <item m="1" x="5577"/>
        <item m="1" x="5922"/>
        <item m="1" x="5923"/>
        <item m="1" x="5924"/>
        <item m="1" x="5925"/>
        <item m="1" x="4909"/>
        <item m="1" x="4421"/>
        <item m="1" x="5927"/>
        <item m="1" x="5928"/>
        <item m="1" x="5929"/>
        <item m="1" x="5930"/>
        <item m="1" x="5931"/>
        <item m="1" x="4939"/>
        <item m="1" x="4837"/>
        <item m="1" x="5259"/>
        <item m="1" x="4946"/>
        <item m="1" x="2901"/>
        <item m="1" x="5933"/>
        <item m="1" x="5211"/>
        <item m="1" x="5934"/>
        <item m="1" x="5935"/>
        <item m="1" x="5614"/>
        <item m="1" x="5615"/>
        <item m="1" x="5616"/>
        <item m="1" x="5613"/>
        <item m="1" x="4611"/>
        <item m="1" x="4969"/>
        <item m="1" x="5630"/>
        <item m="1" x="5212"/>
        <item m="1" x="5643"/>
        <item m="1" x="4966"/>
        <item m="1" x="4967"/>
        <item m="1" x="5222"/>
        <item m="1" x="5624"/>
        <item m="1" x="5625"/>
        <item m="1" x="5626"/>
        <item m="1" x="5627"/>
        <item m="1" x="5628"/>
        <item m="1" x="5629"/>
        <item m="1" x="5223"/>
        <item m="1" x="5655"/>
        <item m="1" x="5662"/>
        <item m="1" x="2903"/>
        <item m="1" x="5671"/>
        <item m="1" x="5243"/>
        <item m="1" x="5965"/>
        <item m="1" x="5681"/>
        <item m="1" x="5966"/>
        <item m="1" x="5683"/>
        <item m="1" x="4664"/>
        <item m="1" x="5447"/>
        <item m="1" x="5697"/>
        <item m="1" x="4994"/>
        <item m="1" x="5703"/>
        <item m="1" x="5707"/>
        <item m="1" x="5692"/>
        <item m="1" x="5693"/>
        <item m="1" x="5694"/>
        <item m="1" x="5695"/>
        <item m="1" x="5696"/>
        <item m="1" x="5711"/>
        <item m="1" x="5971"/>
        <item m="1" x="5717"/>
        <item m="1" x="5718"/>
        <item m="1" x="5719"/>
        <item m="1" x="5720"/>
        <item m="1" x="5271"/>
        <item m="1" x="5470"/>
        <item m="1" x="5462"/>
        <item m="1" x="5475"/>
        <item m="1" x="5476"/>
        <item m="1" x="5744"/>
        <item m="1" x="5477"/>
        <item m="1" x="5016"/>
        <item m="1" x="4509"/>
        <item m="1" x="4507"/>
        <item m="1" x="4517"/>
        <item m="1" x="4511"/>
        <item m="1" x="4423"/>
        <item m="1" x="5018"/>
        <item m="1" x="4878"/>
        <item m="1" x="4879"/>
        <item m="1" x="5019"/>
        <item m="1" x="4877"/>
        <item m="1" x="5977"/>
        <item m="1" x="5756"/>
        <item m="1" x="5499"/>
        <item m="1" x="5022"/>
        <item m="1" x="5500"/>
        <item m="1" x="5023"/>
        <item m="1" x="5793"/>
        <item m="1" x="5794"/>
        <item m="1" x="5795"/>
        <item m="1" x="5796"/>
        <item m="1" x="5070"/>
        <item m="1" x="5809"/>
        <item m="1" x="5810"/>
        <item m="1" x="5811"/>
        <item m="1" x="5980"/>
        <item m="1" x="5983"/>
        <item m="1" x="5984"/>
        <item m="1" x="5985"/>
        <item m="1" x="5987"/>
        <item m="1" x="4451"/>
        <item m="1" x="5988"/>
        <item m="1" x="4468"/>
        <item m="1" x="5989"/>
        <item m="1" x="5534"/>
        <item m="1" x="5990"/>
        <item m="1" x="5991"/>
        <item m="1" x="5994"/>
        <item m="1" x="3597"/>
        <item m="1" x="5819"/>
        <item m="1" x="5087"/>
        <item m="1" x="4455"/>
        <item m="1" x="5995"/>
        <item m="1" x="4523"/>
        <item m="1" x="4524"/>
        <item m="1" x="4534"/>
        <item m="1" x="5530"/>
        <item m="1" x="5832"/>
        <item m="1" x="5841"/>
        <item m="1" x="5842"/>
        <item m="1" x="5354"/>
        <item m="1" x="5845"/>
        <item m="1" x="5846"/>
        <item m="1" x="5843"/>
        <item m="1" x="5844"/>
        <item m="1" x="5363"/>
        <item m="1" x="5364"/>
        <item m="1" x="5362"/>
        <item m="1" x="5367"/>
        <item m="1" x="5849"/>
        <item m="1" x="5850"/>
        <item m="1" x="5368"/>
        <item m="1" x="5106"/>
        <item m="1" x="5852"/>
        <item m="1" x="6008"/>
        <item m="1" x="6009"/>
        <item m="1" x="6030"/>
        <item m="1" x="6031"/>
        <item m="1" x="6032"/>
        <item m="1" x="5874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5886"/>
        <item m="1" x="5887"/>
        <item m="1" x="5884"/>
        <item m="1" x="5885"/>
        <item m="1" x="6046"/>
        <item m="1" x="5400"/>
        <item m="1" x="5126"/>
        <item m="1" x="5127"/>
        <item m="1" x="5128"/>
        <item m="1" x="5129"/>
        <item m="1" x="5130"/>
        <item m="1" x="5131"/>
        <item m="1" x="5141"/>
        <item m="1" x="5140"/>
        <item m="1" x="5136"/>
        <item m="1" x="5137"/>
        <item m="1" x="5138"/>
        <item m="1" x="5139"/>
        <item m="1" x="5405"/>
        <item m="1" x="5566"/>
        <item m="1" x="5567"/>
        <item m="1" x="5568"/>
        <item m="1" x="5569"/>
        <item m="1" x="5135"/>
        <item m="1" x="5133"/>
        <item m="1" x="5147"/>
        <item m="1" x="5148"/>
        <item m="1" x="5149"/>
        <item m="1" x="5142"/>
        <item m="1" x="5143"/>
        <item m="1" x="5144"/>
        <item m="1" x="5145"/>
        <item m="1" x="5146"/>
        <item m="1" x="4894"/>
        <item m="1" x="5152"/>
        <item m="1" x="5151"/>
        <item m="1" x="5150"/>
        <item m="1" x="5571"/>
        <item m="1" x="4418"/>
        <item m="1" x="5572"/>
        <item m="1" x="5576"/>
        <item m="1" x="5585"/>
        <item m="1" x="5404"/>
        <item m="1" x="4636"/>
        <item m="1" x="5586"/>
        <item m="1" x="5587"/>
        <item m="1" x="5588"/>
        <item m="1" x="5589"/>
        <item m="1" x="5590"/>
        <item m="1" x="5161"/>
        <item m="1" x="2900"/>
        <item m="1" x="5591"/>
        <item m="1" x="5592"/>
        <item m="1" x="5415"/>
        <item m="1" x="5416"/>
        <item m="1" x="5418"/>
        <item m="1" x="5419"/>
        <item m="1" x="5420"/>
        <item m="1" x="5417"/>
        <item m="1" x="5593"/>
        <item m="1" x="5594"/>
        <item m="1" x="5595"/>
        <item m="1" x="5597"/>
        <item m="1" x="5598"/>
        <item m="1" x="5599"/>
        <item m="1" x="5600"/>
        <item m="1" x="5601"/>
        <item m="1" x="5602"/>
        <item m="1" x="4940"/>
        <item m="1" x="4429"/>
        <item m="1" x="5603"/>
        <item m="1" x="5604"/>
        <item m="1" x="4840"/>
        <item m="1" x="4841"/>
        <item m="1" x="4617"/>
        <item m="1" x="5606"/>
        <item m="1" x="5607"/>
        <item m="1" x="5608"/>
        <item m="1" x="5609"/>
        <item m="1" x="5610"/>
        <item m="1" x="5220"/>
        <item m="1" x="5642"/>
        <item m="1" x="5219"/>
        <item m="1" x="5670"/>
        <item m="1" x="5672"/>
        <item m="1" x="5673"/>
        <item m="1" x="5674"/>
        <item m="1" x="5232"/>
        <item m="1" x="5233"/>
        <item m="1" x="5239"/>
        <item m="1" x="5675"/>
        <item m="1" x="5677"/>
        <item m="1" x="5678"/>
        <item m="1" x="5682"/>
        <item m="1" x="5684"/>
        <item m="1" x="5685"/>
        <item m="1" x="5686"/>
        <item m="1" x="5256"/>
        <item m="1" x="5698"/>
        <item m="1" x="5699"/>
        <item m="1" x="4477"/>
        <item m="1" x="5714"/>
        <item m="1" x="5715"/>
        <item m="1" x="5716"/>
        <item m="1" x="5745"/>
        <item m="1" x="5746"/>
        <item m="1" x="5747"/>
        <item m="1" x="5472"/>
        <item m="1" x="5473"/>
        <item m="1" x="5748"/>
        <item m="1" x="5474"/>
        <item m="1" x="5463"/>
        <item m="1" x="5753"/>
        <item m="1" x="4510"/>
        <item m="1" x="4506"/>
        <item m="1" x="4508"/>
        <item m="1" x="4531"/>
        <item m="1" x="4876"/>
        <item m="1" x="5783"/>
        <item m="1" x="5784"/>
        <item m="1" x="5785"/>
        <item m="1" x="5492"/>
        <item m="1" x="5786"/>
        <item m="1" x="5787"/>
        <item m="1" x="5063"/>
        <item m="1" x="5789"/>
        <item m="1" x="5065"/>
        <item m="1" x="5066"/>
        <item m="1" x="5067"/>
        <item m="1" x="4319"/>
        <item m="1" x="5062"/>
        <item m="1" x="5302"/>
        <item m="1" x="5509"/>
        <item m="1" x="5303"/>
        <item m="1" x="5792"/>
        <item m="1" x="5064"/>
        <item m="1" x="5056"/>
        <item m="1" x="5054"/>
        <item m="1" x="5055"/>
        <item m="1" x="5071"/>
        <item m="1" x="5511"/>
        <item m="1" x="5813"/>
        <item m="1" x="5814"/>
        <item m="1" x="5815"/>
        <item m="1" x="5816"/>
        <item m="1" x="5305"/>
        <item m="1" x="4464"/>
        <item m="1" x="2164"/>
        <item m="1" x="4885"/>
        <item m="1" x="4520"/>
        <item m="1" x="5820"/>
        <item m="1" x="5821"/>
        <item m="1" x="5822"/>
        <item m="1" x="5823"/>
        <item m="1" x="5521"/>
        <item m="1" x="5092"/>
        <item m="1" x="4688"/>
        <item m="1" x="5827"/>
        <item m="1" x="5847"/>
        <item m="1" x="5848"/>
        <item m="1" x="5358"/>
        <item m="1" x="5860"/>
        <item m="1" x="5861"/>
        <item m="1" x="5862"/>
        <item m="1" x="5863"/>
        <item m="1" x="5870"/>
        <item m="1" x="5871"/>
        <item m="1" x="5872"/>
        <item m="1" x="5875"/>
        <item m="1" x="5876"/>
        <item m="1" x="5877"/>
        <item m="1" x="5878"/>
        <item m="1" x="5879"/>
        <item m="1" x="5880"/>
        <item m="1" x="5360"/>
        <item m="1" x="5124"/>
        <item m="1" x="5125"/>
        <item m="1" x="5134"/>
        <item m="1" x="4889"/>
        <item m="1" x="4890"/>
        <item m="1" x="4891"/>
        <item m="1" x="4892"/>
        <item m="1" x="4893"/>
        <item m="1" x="5406"/>
        <item m="1" x="5407"/>
        <item m="1" x="5408"/>
        <item m="1" x="5409"/>
        <item m="1" x="4601"/>
        <item m="1" x="4493"/>
        <item m="1" x="5410"/>
        <item m="1" x="4602"/>
        <item m="1" x="4603"/>
        <item m="1" x="5411"/>
        <item m="1" x="2339"/>
        <item m="1" x="5163"/>
        <item m="1" x="5412"/>
        <item m="1" x="5164"/>
        <item m="1" x="5166"/>
        <item m="1" x="5413"/>
        <item m="1" x="5414"/>
        <item m="1" x="5170"/>
        <item m="1" x="5171"/>
        <item m="1" x="5421"/>
        <item m="1" x="5422"/>
        <item m="1" x="5156"/>
        <item m="1" x="5155"/>
        <item m="1" x="5423"/>
        <item m="1" x="5424"/>
        <item m="1" x="5425"/>
        <item m="1" x="5160"/>
        <item m="1" x="4907"/>
        <item m="1" x="4906"/>
        <item m="1" x="5426"/>
        <item m="1" x="5174"/>
        <item m="1" x="5427"/>
        <item m="1" x="5175"/>
        <item m="1" x="5428"/>
        <item m="1" x="5429"/>
        <item m="1" x="5430"/>
        <item m="1" x="5431"/>
        <item m="1" x="5432"/>
        <item m="1" x="5433"/>
        <item m="1" x="5434"/>
        <item m="1" x="5435"/>
        <item m="1" x="5183"/>
        <item m="1" x="4943"/>
        <item m="1" x="4653"/>
        <item m="1" x="3421"/>
        <item m="1" x="5439"/>
        <item m="1" x="5440"/>
        <item m="1" x="2913"/>
        <item m="1" x="4963"/>
        <item m="1" x="4957"/>
        <item m="1" x="4958"/>
        <item m="1" x="5206"/>
        <item m="1" x="5207"/>
        <item m="1" x="4723"/>
        <item m="1" x="5214"/>
        <item m="1" x="5215"/>
        <item m="1" x="5216"/>
        <item m="1" x="5208"/>
        <item m="1" x="5224"/>
        <item m="1" x="5225"/>
        <item m="1" x="5218"/>
        <item m="1" x="3291"/>
        <item m="1" x="5443"/>
        <item m="1" x="5444"/>
        <item m="1" x="5445"/>
        <item m="1" x="5446"/>
        <item m="1" x="5253"/>
        <item m="1" x="5448"/>
        <item m="1" x="5487"/>
        <item m="1" x="5488"/>
        <item m="1" x="4540"/>
        <item m="1" x="4541"/>
        <item m="1" x="5449"/>
        <item m="1" x="5450"/>
        <item m="1" x="5451"/>
        <item m="1" x="5452"/>
        <item m="1" x="2333"/>
        <item m="1" x="5454"/>
        <item m="1" x="4479"/>
        <item m="1" x="4478"/>
        <item m="1" x="4869"/>
        <item m="1" x="5458"/>
        <item m="1" x="5459"/>
        <item m="1" x="5489"/>
        <item m="1" x="4871"/>
        <item m="1" x="4870"/>
        <item m="1" x="5263"/>
        <item m="1" x="4872"/>
        <item m="1" x="4392"/>
        <item m="1" x="5461"/>
        <item m="1" x="5464"/>
        <item m="1" x="5467"/>
        <item m="1" x="5471"/>
        <item m="1" x="5002"/>
        <item m="1" x="5277"/>
        <item m="1" x="5478"/>
        <item m="1" x="4555"/>
        <item m="1" x="5518"/>
        <item m="1" x="5006"/>
        <item m="1" x="4588"/>
        <item m="1" x="5531"/>
        <item m="1" x="5532"/>
        <item m="1" x="4422"/>
        <item m="1" x="5014"/>
        <item m="1" x="5490"/>
        <item m="1" x="5491"/>
        <item m="1" x="5289"/>
        <item m="1" x="5290"/>
        <item m="1" x="5291"/>
        <item m="1" x="5026"/>
        <item m="1" x="5027"/>
        <item m="1" x="5051"/>
        <item m="1" x="5061"/>
        <item m="1" x="4546"/>
        <item m="1" x="5510"/>
        <item m="1" x="5512"/>
        <item m="1" x="5308"/>
        <item m="1" x="5513"/>
        <item m="1" x="5307"/>
        <item m="1" x="5306"/>
        <item m="1" x="5514"/>
        <item m="1" x="5515"/>
        <item m="1" x="5516"/>
        <item m="1" x="5517"/>
        <item m="1" x="5519"/>
        <item m="1" x="4465"/>
        <item m="1" x="5520"/>
        <item m="1" x="2910"/>
        <item m="1" x="5522"/>
        <item m="1" x="5523"/>
        <item m="1" x="3550"/>
        <item m="1" x="5524"/>
        <item m="1" x="5525"/>
        <item m="1" x="5526"/>
        <item m="1" x="3293"/>
        <item m="1" x="5328"/>
        <item m="1" x="5527"/>
        <item m="1" x="5528"/>
        <item m="1" x="5529"/>
        <item m="1" x="5537"/>
        <item m="1" x="5330"/>
        <item m="1" x="5342"/>
        <item m="1" x="5343"/>
        <item m="1" x="5344"/>
        <item m="1" x="5346"/>
        <item m="1" x="5347"/>
        <item m="1" x="5543"/>
        <item m="1" x="5533"/>
        <item m="1" x="5371"/>
        <item m="1" x="5370"/>
        <item m="1" x="5535"/>
        <item m="1" x="5536"/>
        <item m="1" x="4368"/>
        <item m="1" x="5539"/>
        <item m="1" x="5540"/>
        <item m="1" x="5541"/>
        <item m="1" x="5542"/>
        <item m="1" x="5386"/>
        <item m="1" x="5544"/>
        <item m="1" x="4375"/>
        <item m="1" x="5545"/>
        <item m="1" x="5546"/>
        <item m="1" x="5547"/>
        <item m="1" x="5548"/>
        <item m="1" x="5402"/>
        <item m="1" x="4604"/>
        <item m="1" x="4605"/>
        <item m="1" x="5153"/>
        <item m="1" x="4011"/>
        <item m="1" x="2898"/>
        <item m="1" x="5154"/>
        <item m="1" x="5157"/>
        <item m="1" x="5158"/>
        <item m="1" x="5159"/>
        <item m="1" x="4828"/>
        <item m="1" x="5167"/>
        <item m="1" x="4923"/>
        <item m="1" x="4924"/>
        <item m="1" x="4925"/>
        <item m="1" x="5168"/>
        <item m="1" x="5169"/>
        <item m="1" x="5172"/>
        <item m="1" x="5173"/>
        <item m="1" x="5176"/>
        <item m="1" x="5177"/>
        <item m="1" x="5178"/>
        <item m="1" x="5179"/>
        <item m="1" x="5384"/>
        <item m="1" x="5180"/>
        <item m="1" x="5181"/>
        <item m="1" x="5182"/>
        <item m="1" x="5184"/>
        <item m="1" x="5185"/>
        <item m="1" x="5186"/>
        <item m="1" x="5187"/>
        <item m="1" x="5188"/>
        <item m="1" x="3881"/>
        <item m="1" x="5189"/>
        <item m="1" x="5190"/>
        <item m="1" x="5191"/>
        <item m="1" x="5198"/>
        <item m="1" x="4949"/>
        <item m="1" x="5201"/>
        <item m="1" x="5202"/>
        <item m="1" x="5203"/>
        <item m="1" x="5204"/>
        <item m="1" x="5205"/>
        <item m="1" x="4960"/>
        <item m="1" x="4961"/>
        <item m="1" x="4962"/>
        <item m="1" x="4964"/>
        <item m="1" x="4965"/>
        <item m="1" x="4952"/>
        <item m="1" x="4956"/>
        <item m="1" x="5210"/>
        <item m="1" x="5260"/>
        <item m="1" x="5385"/>
        <item m="1" x="5221"/>
        <item m="1" x="5227"/>
        <item m="1" x="5228"/>
        <item m="1" x="5229"/>
        <item m="1" x="5237"/>
        <item m="1" x="5238"/>
        <item m="1" x="5240"/>
        <item m="1" x="5241"/>
        <item m="1" x="5244"/>
        <item m="1" x="5245"/>
        <item m="1" x="5246"/>
        <item m="1" x="5247"/>
        <item m="1" x="5248"/>
        <item m="1" x="5249"/>
        <item m="1" x="5251"/>
        <item m="1" x="5252"/>
        <item m="1" x="5254"/>
        <item m="1" x="4993"/>
        <item m="1" x="4995"/>
        <item m="1" x="5257"/>
        <item m="1" x="5258"/>
        <item m="1" x="3656"/>
        <item m="1" x="5261"/>
        <item m="1" x="5262"/>
        <item m="1" x="4750"/>
        <item m="1" x="4751"/>
        <item m="1" x="4752"/>
        <item m="1" x="5264"/>
        <item m="1" x="5265"/>
        <item m="1" x="5266"/>
        <item m="1" x="5267"/>
        <item m="1" x="5268"/>
        <item m="1" x="5269"/>
        <item m="1" x="4425"/>
        <item m="1" x="4440"/>
        <item m="1" x="4597"/>
        <item m="1" x="4584"/>
        <item m="1" x="5281"/>
        <item m="1" x="4581"/>
        <item m="1" x="5272"/>
        <item m="1" x="5274"/>
        <item m="1" x="5275"/>
        <item m="1" x="5276"/>
        <item m="1" x="5278"/>
        <item m="1" x="5279"/>
        <item m="1" x="5280"/>
        <item m="1" x="5004"/>
        <item m="1" x="4497"/>
        <item m="1" x="5010"/>
        <item m="1" x="5389"/>
        <item m="1" x="5285"/>
        <item m="1" x="5286"/>
        <item m="1" x="5292"/>
        <item m="1" x="5293"/>
        <item m="1" x="5295"/>
        <item m="1" x="5296"/>
        <item m="1" x="5298"/>
        <item m="1" x="5299"/>
        <item m="1" x="5024"/>
        <item m="1" x="5025"/>
        <item m="1" x="2904"/>
        <item m="1" x="5037"/>
        <item m="1" x="5038"/>
        <item m="1" x="5039"/>
        <item m="1" x="5052"/>
        <item m="1" x="5053"/>
        <item m="1" x="1049"/>
        <item m="1" x="5301"/>
        <item m="1" x="5304"/>
        <item m="1" x="5309"/>
        <item m="1" x="5310"/>
        <item m="1" x="5311"/>
        <item m="1" x="5312"/>
        <item m="1" x="5313"/>
        <item m="1" x="5323"/>
        <item m="1" x="5324"/>
        <item m="1" x="5325"/>
        <item m="1" x="5326"/>
        <item m="1" x="5327"/>
        <item m="1" x="5329"/>
        <item m="1" x="4783"/>
        <item m="1" x="5331"/>
        <item m="1" x="5332"/>
        <item m="1" x="5086"/>
        <item m="1" x="5333"/>
        <item m="1" x="5334"/>
        <item m="1" x="5335"/>
        <item m="1" x="5336"/>
        <item m="1" x="5337"/>
        <item m="1" x="5338"/>
        <item m="1" x="5339"/>
        <item m="1" x="5345"/>
        <item m="1" x="4538"/>
        <item m="1" x="5340"/>
        <item m="1" x="5341"/>
        <item m="1" x="5356"/>
        <item m="1" x="5365"/>
        <item m="1" x="5366"/>
        <item m="1" x="5359"/>
        <item m="1" x="5369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4360"/>
        <item m="1" x="4356"/>
        <item m="1" x="4357"/>
        <item m="1" x="5387"/>
        <item m="1" x="5388"/>
        <item m="1" x="5383"/>
        <item m="1" x="5398"/>
        <item m="1" x="5401"/>
        <item m="1" x="4610"/>
        <item m="1" x="3420"/>
        <item m="1" x="4895"/>
        <item m="1" x="2908"/>
        <item m="1" x="2905"/>
        <item m="1" x="4896"/>
        <item m="1" x="4897"/>
        <item m="1" x="4898"/>
        <item m="1" x="4899"/>
        <item m="1" x="4900"/>
        <item m="1" x="3292"/>
        <item m="1" x="4901"/>
        <item m="1" x="4902"/>
        <item m="1" x="4903"/>
        <item m="1" x="4904"/>
        <item m="1" x="4908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7"/>
        <item m="1" x="4928"/>
        <item m="1" x="4929"/>
        <item m="1" x="4930"/>
        <item m="1" x="4931"/>
        <item m="1" x="4835"/>
        <item m="1" x="4932"/>
        <item m="1" x="4933"/>
        <item m="1" x="4934"/>
        <item m="1" x="4935"/>
        <item m="1" x="4936"/>
        <item m="1" x="4937"/>
        <item m="1" x="4938"/>
        <item m="1" x="4710"/>
        <item m="1" x="4947"/>
        <item m="1" x="3422"/>
        <item m="1" x="4570"/>
        <item m="1" x="4435"/>
        <item m="1" x="4950"/>
        <item m="1" x="4951"/>
        <item m="1" x="4657"/>
        <item m="1" x="4953"/>
        <item m="1" x="4954"/>
        <item m="1" x="3721"/>
        <item m="1" x="4955"/>
        <item m="1" x="3722"/>
        <item m="1" x="4853"/>
        <item m="1" x="4959"/>
        <item m="1" x="4970"/>
        <item m="1" x="4537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447"/>
        <item m="1" x="4856"/>
        <item m="1" x="4857"/>
        <item m="1" x="4858"/>
        <item m="1" x="485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2914"/>
        <item m="1" x="2912"/>
        <item m="1" x="2907"/>
        <item m="1" x="2906"/>
        <item m="1" x="2278"/>
        <item m="1" x="2279"/>
        <item m="1" x="2329"/>
        <item m="1" x="4868"/>
        <item m="1" x="2909"/>
        <item m="1" x="4998"/>
        <item m="1" x="4999"/>
        <item m="1" x="5000"/>
        <item m="1" x="5001"/>
        <item m="1" x="4264"/>
        <item m="1" x="4755"/>
        <item m="1" x="4756"/>
        <item m="1" x="5003"/>
        <item m="1" x="4503"/>
        <item m="1" x="4504"/>
        <item m="1" x="4577"/>
        <item m="1" x="4753"/>
        <item m="1" x="5007"/>
        <item m="1" x="5008"/>
        <item m="1" x="5011"/>
        <item m="1" x="5012"/>
        <item m="1" x="5013"/>
        <item m="1" x="5020"/>
        <item m="1" x="5021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7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383"/>
        <item m="1" x="4678"/>
        <item m="1" x="4784"/>
        <item m="1" x="5085"/>
        <item m="1" x="5090"/>
        <item m="1" x="5091"/>
        <item m="1" x="4519"/>
        <item m="1" x="4521"/>
        <item m="1" x="5093"/>
        <item m="1" x="5094"/>
        <item m="1" x="5095"/>
        <item m="1" x="5096"/>
        <item m="1" x="5097"/>
        <item m="1" x="4796"/>
        <item m="1" x="5098"/>
        <item m="1" x="5099"/>
        <item m="1" x="5100"/>
        <item m="1" x="5101"/>
        <item m="1" x="5102"/>
        <item m="1" x="5103"/>
        <item m="1" x="5104"/>
        <item m="1" x="5105"/>
        <item m="1" x="5107"/>
        <item m="1" x="5108"/>
        <item m="1" x="5109"/>
        <item m="1" x="5110"/>
        <item m="1" x="5111"/>
        <item m="1" x="5112"/>
        <item m="1" x="4547"/>
        <item m="1" x="4548"/>
        <item m="1" x="5114"/>
        <item m="1" x="5115"/>
        <item m="1" x="5116"/>
        <item m="1" x="5117"/>
        <item m="1" x="5118"/>
        <item m="1" x="4358"/>
        <item m="1" x="5119"/>
        <item m="1" x="5120"/>
        <item m="1" x="5121"/>
        <item m="1" x="4359"/>
        <item m="1" x="4502"/>
        <item m="1" x="4442"/>
        <item m="1" x="4826"/>
        <item m="1" x="4827"/>
        <item m="1" x="4829"/>
        <item m="1" x="4576"/>
        <item m="1" x="4575"/>
        <item m="1" x="4830"/>
        <item m="1" x="4831"/>
        <item m="1" x="4832"/>
        <item m="1" x="2220"/>
        <item m="1" x="4833"/>
        <item m="1" x="4834"/>
        <item m="1" x="4705"/>
        <item m="1" x="4836"/>
        <item m="1" x="4708"/>
        <item m="1" x="4842"/>
        <item m="1" x="4843"/>
        <item m="1" x="4844"/>
        <item m="1" x="4845"/>
        <item m="1" x="4846"/>
        <item m="1" x="4847"/>
        <item m="1" x="4848"/>
        <item m="1" x="4714"/>
        <item m="1" x="3308"/>
        <item m="1" x="4622"/>
        <item m="1" x="4590"/>
        <item m="1" x="4850"/>
        <item m="1" x="4851"/>
        <item m="1" x="4852"/>
        <item m="1" x="4718"/>
        <item m="1" x="3857"/>
        <item m="1" x="3717"/>
        <item m="1" x="3718"/>
        <item m="1" x="3716"/>
        <item m="1" x="4535"/>
        <item m="1" x="4727"/>
        <item m="1" x="4726"/>
        <item m="1" x="4724"/>
        <item m="1" x="4533"/>
        <item m="1" x="4854"/>
        <item m="1" x="4855"/>
        <item m="1" x="4733"/>
        <item m="1" x="4734"/>
        <item m="1" x="4735"/>
        <item m="1" x="4736"/>
        <item m="1" x="4730"/>
        <item m="1" x="4745"/>
        <item m="1" x="4746"/>
        <item m="1" x="4860"/>
        <item m="1" x="4861"/>
        <item m="1" x="4862"/>
        <item m="1" x="4863"/>
        <item m="1" x="4747"/>
        <item m="1" x="4748"/>
        <item m="1" x="4749"/>
        <item m="1" x="4864"/>
        <item m="1" x="4665"/>
        <item m="1" x="4865"/>
        <item m="1" x="4866"/>
        <item m="1" x="4867"/>
        <item m="1" x="4414"/>
        <item m="1" x="4413"/>
        <item m="1" x="3655"/>
        <item m="1" x="4754"/>
        <item m="1" x="4873"/>
        <item m="1" x="4624"/>
        <item m="1" x="4761"/>
        <item m="1" x="4620"/>
        <item m="1" x="4409"/>
        <item m="1" x="4579"/>
        <item m="1" x="4757"/>
        <item m="1" x="4758"/>
        <item m="1" x="4625"/>
        <item m="1" x="4874"/>
        <item m="1" x="4763"/>
        <item m="1" x="4762"/>
        <item m="1" x="4875"/>
        <item m="1" x="4770"/>
        <item m="1" x="4769"/>
        <item m="1" x="4880"/>
        <item m="1" x="4312"/>
        <item m="1" x="4323"/>
        <item m="1" x="4619"/>
        <item m="1" x="4378"/>
        <item m="1" x="4778"/>
        <item m="1" x="2911"/>
        <item m="1" x="4882"/>
        <item m="1" x="4782"/>
        <item m="1" x="4883"/>
        <item m="1" x="4677"/>
        <item m="1" x="4884"/>
        <item m="1" x="4785"/>
        <item m="1" x="4786"/>
        <item m="1" x="4566"/>
        <item m="1" x="4792"/>
        <item m="1" x="4795"/>
        <item m="1" x="4799"/>
        <item m="1" x="4797"/>
        <item m="1" x="4798"/>
        <item m="1" x="4807"/>
        <item m="1" x="4812"/>
        <item m="1" x="4813"/>
        <item m="1" x="4887"/>
        <item m="1" x="4815"/>
        <item m="1" x="4819"/>
        <item m="1" x="4820"/>
        <item m="1" x="4821"/>
        <item m="1" x="4816"/>
        <item m="1" x="4817"/>
        <item m="1" x="4346"/>
        <item m="1" x="4818"/>
        <item m="1" x="4888"/>
        <item m="1" x="4355"/>
        <item m="1" x="4822"/>
        <item m="1" x="4553"/>
        <item m="1" x="4372"/>
        <item m="1" x="4823"/>
        <item m="1" x="4694"/>
        <item m="1" x="4695"/>
        <item m="1" x="4599"/>
        <item m="1" x="4696"/>
        <item m="1" x="4475"/>
        <item m="1" x="4559"/>
        <item m="1" x="3531"/>
        <item m="1" x="4697"/>
        <item m="1" x="4698"/>
        <item m="1" x="4699"/>
        <item m="1" x="4700"/>
        <item m="1" x="3795"/>
        <item m="1" x="4701"/>
        <item m="1" x="4384"/>
        <item m="1" x="4621"/>
        <item m="1" x="4385"/>
        <item m="1" x="4702"/>
        <item m="1" x="4703"/>
        <item m="1" x="4645"/>
        <item m="1" x="4704"/>
        <item m="1" x="4706"/>
        <item m="1" x="4445"/>
        <item m="1" x="4707"/>
        <item m="1" x="4709"/>
        <item m="1" x="3295"/>
        <item m="1" x="3538"/>
        <item m="1" x="4283"/>
        <item m="1" x="4711"/>
        <item m="1" x="4712"/>
        <item m="1" x="4713"/>
        <item m="1" x="4715"/>
        <item m="1" x="4716"/>
        <item m="1" x="4717"/>
        <item m="1" x="4719"/>
        <item m="1" x="4720"/>
        <item m="1" x="4721"/>
        <item m="1" x="4722"/>
        <item m="1" x="4327"/>
        <item m="1" x="3724"/>
        <item m="1" x="3723"/>
        <item m="1" x="4328"/>
        <item m="1" x="4341"/>
        <item m="1" x="4725"/>
        <item m="1" x="4658"/>
        <item m="1" x="4728"/>
        <item m="1" x="4729"/>
        <item m="1" x="4731"/>
        <item m="1" x="4732"/>
        <item m="1" x="4737"/>
        <item m="1" x="4738"/>
        <item m="1" x="4739"/>
        <item m="1" x="4740"/>
        <item m="1" x="4741"/>
        <item m="1" x="4742"/>
        <item m="1" x="4743"/>
        <item m="1" x="4744"/>
        <item m="1" x="3568"/>
        <item m="1" x="4342"/>
        <item m="1" x="4666"/>
        <item m="1" x="3294"/>
        <item m="1" x="2934"/>
        <item m="1" x="4282"/>
        <item m="1" x="4675"/>
        <item m="1" x="4487"/>
        <item m="1" x="4488"/>
        <item m="1" x="4486"/>
        <item m="1" x="4558"/>
        <item m="1" x="4759"/>
        <item m="1" x="4760"/>
        <item m="1" x="4580"/>
        <item m="1" x="4266"/>
        <item m="1" x="4578"/>
        <item m="1" x="4618"/>
        <item m="1" x="4265"/>
        <item m="1" x="3556"/>
        <item m="1" x="4532"/>
        <item m="1" x="4764"/>
        <item m="1" x="4765"/>
        <item m="1" x="4766"/>
        <item m="1" x="4767"/>
        <item m="1" x="4768"/>
        <item m="1" x="4771"/>
        <item m="1" x="4772"/>
        <item m="1" x="4773"/>
        <item m="1" x="4774"/>
        <item m="1" x="2922"/>
        <item m="1" x="3696"/>
        <item m="1" x="3697"/>
        <item m="1" x="4775"/>
        <item m="1" x="3300"/>
        <item m="1" x="3695"/>
        <item m="1" x="4311"/>
        <item m="1" x="4776"/>
        <item m="1" x="3699"/>
        <item m="1" x="4777"/>
        <item m="1" x="3425"/>
        <item m="1" x="3424"/>
        <item m="1" x="4339"/>
        <item m="1" x="4779"/>
        <item m="1" x="4780"/>
        <item m="1" x="4679"/>
        <item m="1" x="4781"/>
        <item m="1" x="4058"/>
        <item m="1" x="4787"/>
        <item m="1" x="4788"/>
        <item m="1" x="4789"/>
        <item m="1" x="4401"/>
        <item m="1" x="4476"/>
        <item m="1" x="4484"/>
        <item m="1" x="4790"/>
        <item m="1" x="4791"/>
        <item m="1" x="4793"/>
        <item m="1" x="4794"/>
        <item m="1" x="4800"/>
        <item m="1" x="4801"/>
        <item m="1" x="4802"/>
        <item m="1" x="4803"/>
        <item m="1" x="4804"/>
        <item m="1" x="4805"/>
        <item m="1" x="4808"/>
        <item m="1" x="3303"/>
        <item m="1" x="4809"/>
        <item m="1" x="4810"/>
        <item m="1" x="4811"/>
        <item m="1" x="4814"/>
        <item m="1" x="2915"/>
        <item m="1" x="2916"/>
        <item m="1" x="2941"/>
        <item m="1" x="2917"/>
        <item m="1" x="2942"/>
        <item m="1" x="4585"/>
        <item m="1" x="4563"/>
        <item m="1" x="4586"/>
        <item m="1" x="4373"/>
        <item m="1" x="4690"/>
        <item m="1" x="4691"/>
        <item m="1" x="4692"/>
        <item m="1" x="4824"/>
        <item m="1" x="4627"/>
        <item m="1" x="4495"/>
        <item m="1" x="4420"/>
        <item m="1" x="4600"/>
        <item m="1" x="4628"/>
        <item m="1" x="4629"/>
        <item m="1" x="4630"/>
        <item m="1" x="4631"/>
        <item m="1" x="4632"/>
        <item m="1" x="4408"/>
        <item m="1" x="3620"/>
        <item m="1" x="3811"/>
        <item m="1" x="4633"/>
        <item m="1" x="4407"/>
        <item m="1" x="4634"/>
        <item m="1" x="4402"/>
        <item m="1" x="4635"/>
        <item m="1" x="4637"/>
        <item m="1" x="4638"/>
        <item m="1" x="4386"/>
        <item m="1" x="4639"/>
        <item m="1" x="4640"/>
        <item m="1" x="4641"/>
        <item m="1" x="3595"/>
        <item m="1" x="4642"/>
        <item m="1" x="4643"/>
        <item m="1" x="3429"/>
        <item m="1" x="4644"/>
        <item m="1" x="4646"/>
        <item m="1" x="4647"/>
        <item m="1" x="4648"/>
        <item m="1" x="4596"/>
        <item m="1" x="4433"/>
        <item m="1" x="4569"/>
        <item m="1" x="4284"/>
        <item m="1" x="4649"/>
        <item m="1" x="4650"/>
        <item m="1" x="4651"/>
        <item m="1" x="4652"/>
        <item m="1" x="3912"/>
        <item m="1" x="4654"/>
        <item m="1" x="4655"/>
        <item m="1" x="3714"/>
        <item m="1" x="4656"/>
        <item m="1" x="3713"/>
        <item m="1" x="3727"/>
        <item m="1" x="3726"/>
        <item m="1" x="4290"/>
        <item m="1" x="4291"/>
        <item m="1" x="3428"/>
        <item m="1" x="4659"/>
        <item m="1" x="4660"/>
        <item m="1" x="4661"/>
        <item m="1" x="4662"/>
        <item m="1" x="4274"/>
        <item m="1" x="4275"/>
        <item m="1" x="4276"/>
        <item m="1" x="4270"/>
        <item m="1" x="4499"/>
        <item m="1" x="2256"/>
        <item m="1" x="4498"/>
        <item m="1" x="4557"/>
        <item m="1" x="4667"/>
        <item m="1" x="4668"/>
        <item m="1" x="4500"/>
        <item m="1" x="2928"/>
        <item m="1" x="4669"/>
        <item m="1" x="4670"/>
        <item m="1" x="4671"/>
        <item m="1" x="4672"/>
        <item m="1" x="4673"/>
        <item m="1" x="4674"/>
        <item m="1" x="4471"/>
        <item m="1" x="4263"/>
        <item m="1" x="4410"/>
        <item m="1" x="4390"/>
        <item m="1" x="4389"/>
        <item m="1" x="4260"/>
        <item m="1" x="3891"/>
        <item m="1" x="4514"/>
        <item m="1" x="2190"/>
        <item m="1" x="4512"/>
        <item m="1" x="4516"/>
        <item m="1" x="4562"/>
        <item m="1" x="4305"/>
        <item m="1" x="4306"/>
        <item m="1" x="4307"/>
        <item m="1" x="4313"/>
        <item m="1" x="4315"/>
        <item m="1" x="4316"/>
        <item m="1" x="3706"/>
        <item m="1" x="4462"/>
        <item m="1" x="4589"/>
        <item m="1" x="4302"/>
        <item m="1" x="2920"/>
        <item m="1" x="4522"/>
        <item m="1" x="4525"/>
        <item m="1" x="4680"/>
        <item m="1" x="4681"/>
        <item m="1" x="4682"/>
        <item m="1" x="4683"/>
        <item m="1" x="4684"/>
        <item m="1" x="4685"/>
        <item m="1" x="4686"/>
        <item m="1" x="4687"/>
        <item m="1" x="4267"/>
        <item m="1" x="4483"/>
        <item m="1" x="4331"/>
        <item m="1" x="4068"/>
        <item m="1" x="4337"/>
        <item m="1" x="4379"/>
        <item m="1" x="4336"/>
        <item m="1" x="4335"/>
        <item m="1" x="4364"/>
        <item m="1" x="4365"/>
        <item m="1" x="4366"/>
        <item m="1" x="4362"/>
        <item m="1" x="4348"/>
        <item m="1" x="4347"/>
        <item m="1" x="4689"/>
        <item m="1" x="4539"/>
        <item m="1" x="4343"/>
        <item m="1" x="2938"/>
        <item m="1" x="4354"/>
        <item m="1" x="3306"/>
        <item m="1" x="3307"/>
        <item m="1" x="4542"/>
        <item m="1" x="4259"/>
        <item m="1" x="4048"/>
        <item m="1" x="4049"/>
        <item m="1" x="4261"/>
        <item m="1" x="4262"/>
        <item m="1" x="3627"/>
        <item m="1" x="3628"/>
        <item m="1" x="4268"/>
        <item m="1" x="4269"/>
        <item m="1" x="4271"/>
        <item m="1" x="4272"/>
        <item m="1" x="4273"/>
        <item m="1" x="4277"/>
        <item m="1" x="4278"/>
        <item m="1" x="4279"/>
        <item m="1" x="4280"/>
        <item m="1" x="4281"/>
        <item m="1" x="4285"/>
        <item m="1" x="4286"/>
        <item m="1" x="4287"/>
        <item m="1" x="4288"/>
        <item m="1" x="4289"/>
        <item m="1" x="4292"/>
        <item m="1" x="4293"/>
        <item m="1" x="4294"/>
        <item m="1" x="4295"/>
        <item m="1" x="4296"/>
        <item m="1" x="3843"/>
        <item m="1" x="4297"/>
        <item m="1" x="4298"/>
        <item m="1" x="4299"/>
        <item m="1" x="4300"/>
        <item m="1" x="4301"/>
        <item m="1" x="3680"/>
        <item m="1" x="2919"/>
        <item m="1" x="4303"/>
        <item m="1" x="4304"/>
        <item m="1" x="3553"/>
        <item m="1" x="3554"/>
        <item m="1" x="3555"/>
        <item m="1" x="4308"/>
        <item m="1" x="4309"/>
        <item m="1" x="4310"/>
        <item m="1" x="3698"/>
        <item m="1" x="3301"/>
        <item m="1" x="4314"/>
        <item m="1" x="4317"/>
        <item m="1" x="4318"/>
        <item m="1" x="4320"/>
        <item m="1" x="4321"/>
        <item m="1" x="4322"/>
        <item m="1" x="2923"/>
        <item m="1" x="4324"/>
        <item m="1" x="4325"/>
        <item m="1" x="4326"/>
        <item m="1" x="3725"/>
        <item m="1" x="3715"/>
        <item m="1" x="4329"/>
        <item m="1" x="4330"/>
        <item m="1" x="4332"/>
        <item m="1" x="4333"/>
        <item m="1" x="4334"/>
        <item m="1" x="4338"/>
        <item m="1" x="4340"/>
        <item m="1" x="4344"/>
        <item m="1" x="3302"/>
        <item m="1" x="4345"/>
        <item m="1" x="3867"/>
        <item m="1" x="4349"/>
        <item m="1" x="4350"/>
        <item m="1" x="3745"/>
        <item m="1" x="4351"/>
        <item m="1" x="4352"/>
        <item m="1" x="4353"/>
        <item m="1" x="4361"/>
        <item m="1" x="4363"/>
        <item m="1" x="4367"/>
        <item m="1" x="3426"/>
        <item m="1" x="3427"/>
        <item m="1" x="4369"/>
        <item m="1" x="4370"/>
        <item m="1" x="4371"/>
        <item m="1" x="4376"/>
        <item m="1" x="4377"/>
        <item m="1" x="4380"/>
        <item m="1" x="4381"/>
        <item m="1" x="4382"/>
        <item m="1" x="4387"/>
        <item m="1" x="4388"/>
        <item m="1" x="3587"/>
        <item m="1" x="4391"/>
        <item m="1" x="4393"/>
        <item m="1" x="4394"/>
        <item m="1" x="4395"/>
        <item m="1" x="4396"/>
        <item m="1" x="4397"/>
        <item m="1" x="4399"/>
        <item m="1" x="4400"/>
        <item m="1" x="3589"/>
        <item m="1" x="4403"/>
        <item m="1" x="4404"/>
        <item m="1" x="4415"/>
        <item m="1" x="4419"/>
        <item m="1" x="4424"/>
        <item m="1" x="4430"/>
        <item m="1" x="4446"/>
        <item m="1" x="4448"/>
        <item m="1" x="4454"/>
        <item m="1" x="4480"/>
        <item m="1" x="4481"/>
        <item m="1" x="4482"/>
        <item m="1" x="4485"/>
        <item m="1" x="4492"/>
        <item m="1" x="4494"/>
        <item m="1" x="4496"/>
        <item m="1" x="4549"/>
        <item m="1" x="4551"/>
        <item m="1" x="4552"/>
        <item m="1" x="3789"/>
        <item m="1" x="3794"/>
        <item m="1" x="2935"/>
        <item m="1" x="4582"/>
        <item m="1" x="4583"/>
        <item m="1" x="3304"/>
        <item m="1" x="3305"/>
        <item m="1" x="4591"/>
        <item m="1" x="4592"/>
        <item m="1" x="4102"/>
        <item m="1" x="3914"/>
        <item m="1" x="4593"/>
        <item m="1" x="4594"/>
        <item m="1" x="4595"/>
        <item m="1" x="4598"/>
        <item m="1" x="4606"/>
        <item m="1" x="4607"/>
        <item m="1" x="4613"/>
        <item m="1" x="4614"/>
        <item m="1" x="4615"/>
        <item m="1" x="4616"/>
        <item m="1" x="3290"/>
        <item m="1" x="3289"/>
        <item m="1" x="3812"/>
        <item m="1" x="4623"/>
        <item m="1" x="4626"/>
        <item m="1" x="3309"/>
        <item m="1" x="4046"/>
        <item m="1" x="3635"/>
        <item m="1" x="4047"/>
        <item m="1" x="3430"/>
        <item m="1" x="3816"/>
        <item m="1" x="3638"/>
        <item m="1" x="3639"/>
        <item m="1" x="4050"/>
        <item m="1" x="4051"/>
        <item m="1" x="3828"/>
        <item m="1" x="4052"/>
        <item m="1" x="3819"/>
        <item m="1" x="3820"/>
        <item m="1" x="3821"/>
        <item m="1" x="3822"/>
        <item m="1" x="3823"/>
        <item m="1" x="3824"/>
        <item m="1" x="3825"/>
        <item m="1" x="4053"/>
        <item m="1" x="3830"/>
        <item m="1" x="4054"/>
        <item m="1" x="3658"/>
        <item m="1" x="3536"/>
        <item m="1" x="3297"/>
        <item m="1" x="3539"/>
        <item m="1" x="3540"/>
        <item m="1" x="3296"/>
        <item m="1" x="2918"/>
        <item m="1" x="3833"/>
        <item m="1" x="4055"/>
        <item m="1" x="4056"/>
        <item m="1" x="4057"/>
        <item m="1" x="3835"/>
        <item m="1" x="3836"/>
        <item m="1" x="3838"/>
        <item m="1" x="3839"/>
        <item m="1" x="3668"/>
        <item m="1" x="3298"/>
        <item m="1" x="3544"/>
        <item m="1" x="3299"/>
        <item m="1" x="4059"/>
        <item m="1" x="3672"/>
        <item m="1" x="3673"/>
        <item m="1" x="3545"/>
        <item m="1" x="3432"/>
        <item m="1" x="3678"/>
        <item m="1" x="3546"/>
        <item m="1" x="3423"/>
        <item m="1" x="3686"/>
        <item m="1" x="4060"/>
        <item m="1" x="4061"/>
        <item m="1" x="4062"/>
        <item m="1" x="4063"/>
        <item m="1" x="4064"/>
        <item m="1" x="4065"/>
        <item m="1" x="4066"/>
        <item m="1" x="3688"/>
        <item m="1" x="3689"/>
        <item m="1" x="3690"/>
        <item m="1" x="3846"/>
        <item m="1" x="3694"/>
        <item m="1" x="3563"/>
        <item m="1" x="3847"/>
        <item m="1" x="3851"/>
        <item m="1" x="2921"/>
        <item m="1" x="3701"/>
        <item m="1" x="3705"/>
        <item m="1" x="3711"/>
        <item m="1" x="3712"/>
        <item m="1" x="4067"/>
        <item m="1" x="3730"/>
        <item m="1" x="3868"/>
        <item m="1" x="3869"/>
        <item m="1" x="3734"/>
        <item m="1" x="4069"/>
        <item m="1" x="3863"/>
        <item m="1" x="3864"/>
        <item m="1" x="3741"/>
        <item m="1" x="2924"/>
        <item m="1" x="4070"/>
        <item m="1" x="4071"/>
        <item m="1" x="3747"/>
        <item m="1" x="3748"/>
        <item m="1" x="3872"/>
        <item m="1" x="3873"/>
        <item m="1" x="4072"/>
        <item m="1" x="3578"/>
        <item m="1" x="3572"/>
        <item m="1" x="4073"/>
        <item m="1" x="4074"/>
        <item m="1" x="3584"/>
        <item m="1" x="3585"/>
        <item m="1" x="4075"/>
        <item m="1" x="2925"/>
        <item m="1" x="4076"/>
        <item m="1" x="4077"/>
        <item m="1" x="4078"/>
        <item m="1" x="4079"/>
        <item m="1" x="4080"/>
        <item m="1" x="4081"/>
        <item m="1" x="4082"/>
        <item m="1" x="4083"/>
        <item m="1" x="3888"/>
        <item m="1" x="3887"/>
        <item m="1" x="4084"/>
        <item m="1" x="3885"/>
        <item m="1" x="3886"/>
        <item m="1" x="4085"/>
        <item m="1" x="4086"/>
        <item m="1" x="4087"/>
        <item m="1" x="4088"/>
        <item m="1" x="4089"/>
        <item m="1" x="4090"/>
        <item m="1" x="4091"/>
        <item m="1" x="2175"/>
        <item m="1" x="4092"/>
        <item m="1" x="3605"/>
        <item m="1" x="2296"/>
        <item m="1" x="4093"/>
        <item m="1" x="2926"/>
        <item m="1" x="4094"/>
        <item m="1" x="4095"/>
        <item m="1" x="2927"/>
        <item m="1" x="2209"/>
        <item m="1" x="2205"/>
        <item m="1" x="3785"/>
        <item m="1" x="2929"/>
        <item m="1" x="4096"/>
        <item m="1" x="4097"/>
        <item m="1" x="2930"/>
        <item m="1" x="2931"/>
        <item m="1" x="2932"/>
        <item m="1" x="4098"/>
        <item m="1" x="2268"/>
        <item m="1" x="4099"/>
        <item m="1" x="2252"/>
        <item m="1" x="3908"/>
        <item m="1" x="4100"/>
        <item m="1" x="4101"/>
        <item m="1" x="2933"/>
        <item m="1" x="2312"/>
        <item m="1" x="2893"/>
        <item m="1" x="2936"/>
        <item m="1" x="3319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000"/>
        <item m="1" x="4114"/>
        <item m="1" x="4115"/>
        <item m="1" x="4116"/>
        <item m="1" x="4117"/>
        <item m="1" x="4001"/>
        <item m="1" x="4002"/>
        <item m="1" x="4003"/>
        <item m="1" x="4118"/>
        <item m="1" x="4119"/>
        <item m="1" x="4120"/>
        <item m="1" x="4121"/>
        <item m="1" x="3953"/>
        <item m="1" x="3954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010"/>
        <item m="1" x="4139"/>
        <item m="1" x="2937"/>
        <item m="1" x="4140"/>
        <item m="1" x="4141"/>
        <item m="1" x="4142"/>
        <item m="1" x="4143"/>
        <item m="1" x="3801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004"/>
        <item m="1" x="4005"/>
        <item m="1" x="4035"/>
        <item m="1" x="4177"/>
        <item m="1" x="4178"/>
        <item m="1" x="4179"/>
        <item m="1" x="4180"/>
        <item m="1" x="4036"/>
        <item m="1" x="3976"/>
        <item m="1" x="4181"/>
        <item m="1" x="4037"/>
        <item m="1" x="3978"/>
        <item m="1" x="3979"/>
        <item m="1" x="4182"/>
        <item m="1" x="4183"/>
        <item m="1" x="4184"/>
        <item m="1" x="4185"/>
        <item m="1" x="4186"/>
        <item m="1" x="4187"/>
        <item m="1" x="3997"/>
        <item m="1" x="4188"/>
        <item m="1" x="4189"/>
        <item m="1" x="4190"/>
        <item m="1" x="4031"/>
        <item m="1" x="4032"/>
        <item m="1" x="4191"/>
        <item m="1" x="3922"/>
        <item m="1" x="3923"/>
        <item m="1" x="3924"/>
        <item m="1" x="3925"/>
        <item m="1" x="3926"/>
        <item m="1" x="3927"/>
        <item m="1" x="3928"/>
        <item m="1" x="4039"/>
        <item m="1" x="4040"/>
        <item m="1" x="4041"/>
        <item m="1" x="3961"/>
        <item m="1" x="4192"/>
        <item m="1" x="4193"/>
        <item m="1" x="3962"/>
        <item m="1" x="3963"/>
        <item m="1" x="3964"/>
        <item m="1" x="3969"/>
        <item m="1" x="3990"/>
        <item m="1" x="3970"/>
        <item m="1" x="3971"/>
        <item m="1" x="3972"/>
        <item m="1" x="3973"/>
        <item m="1" x="3974"/>
        <item m="1" x="3985"/>
        <item m="1" x="3986"/>
        <item m="1" x="3987"/>
        <item m="1" x="3981"/>
        <item m="1" x="3982"/>
        <item m="1" x="3983"/>
        <item m="1" x="3929"/>
        <item m="1" x="3958"/>
        <item m="1" x="3959"/>
        <item m="1" x="3960"/>
        <item m="1" x="4194"/>
        <item m="1" x="4195"/>
        <item m="1" x="4196"/>
        <item m="1" x="4008"/>
        <item m="1" x="4009"/>
        <item m="1" x="4197"/>
        <item m="1" x="4198"/>
        <item m="1" x="3955"/>
        <item m="1" x="4199"/>
        <item m="1" x="4200"/>
        <item m="1" x="3956"/>
        <item m="1" x="3957"/>
        <item m="1" x="3952"/>
        <item m="1" x="4201"/>
        <item m="1" x="4202"/>
        <item m="1" x="4203"/>
        <item m="1" x="4204"/>
        <item m="1" x="3998"/>
        <item m="1" x="4205"/>
        <item m="1" x="4206"/>
        <item m="1" x="4207"/>
        <item m="1" x="4208"/>
        <item m="1" x="4209"/>
        <item m="1" x="399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006"/>
        <item m="1" x="4007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3930"/>
        <item m="1" x="4012"/>
        <item m="1" x="3938"/>
        <item m="1" x="3937"/>
        <item m="1" x="3936"/>
        <item m="1" x="3935"/>
        <item m="1" x="3934"/>
        <item m="1" x="3933"/>
        <item m="1" x="3932"/>
        <item m="1" x="3948"/>
        <item m="1" x="3949"/>
        <item m="1" x="3950"/>
        <item m="1" x="3951"/>
        <item m="1" x="4020"/>
        <item m="1" x="4021"/>
        <item m="1" x="4022"/>
        <item m="1" x="4023"/>
        <item m="1" x="4024"/>
        <item m="1" x="4025"/>
        <item m="1" x="4236"/>
        <item m="1" x="4237"/>
        <item m="1" x="4238"/>
        <item m="1" x="4239"/>
        <item m="1" x="3975"/>
        <item m="1" x="3977"/>
        <item m="1" x="3980"/>
        <item m="1" x="4240"/>
        <item m="1" x="4241"/>
        <item m="1" x="4242"/>
        <item m="1" x="3947"/>
        <item m="1" x="3946"/>
        <item m="1" x="3945"/>
        <item m="1" x="4013"/>
        <item m="1" x="4014"/>
        <item m="1" x="4015"/>
        <item m="1" x="4016"/>
        <item m="1" x="4243"/>
        <item m="1" x="4244"/>
        <item m="1" x="4028"/>
        <item m="1" x="4029"/>
        <item m="1" x="4030"/>
        <item m="1" x="4018"/>
        <item m="1" x="4019"/>
        <item m="1" x="4017"/>
        <item m="1" x="4026"/>
        <item m="1" x="4027"/>
        <item m="1" x="3921"/>
        <item m="1" x="3984"/>
        <item m="1" x="3989"/>
        <item m="1" x="3991"/>
        <item m="1" x="3992"/>
        <item m="1" x="3993"/>
        <item m="1" x="3994"/>
        <item m="1" x="3965"/>
        <item m="1" x="3966"/>
        <item m="1" x="3967"/>
        <item m="1" x="3968"/>
        <item m="1" x="3995"/>
        <item m="1" x="3996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038"/>
        <item m="1" x="3988"/>
        <item m="1" x="4033"/>
        <item m="1" x="4034"/>
        <item m="1" x="4255"/>
        <item m="1" x="3939"/>
        <item m="1" x="3931"/>
        <item m="1" x="3940"/>
        <item m="1" x="3941"/>
        <item m="1" x="3942"/>
        <item m="1" x="3943"/>
        <item m="1" x="3944"/>
        <item m="1" x="2370"/>
        <item m="1" x="4256"/>
        <item m="1" x="2940"/>
        <item m="1" x="4043"/>
        <item m="1" x="4257"/>
        <item m="1" x="4258"/>
        <item m="1" x="3618"/>
        <item m="1" x="3619"/>
        <item m="1" x="3621"/>
        <item m="1" x="3813"/>
        <item m="1" x="3622"/>
        <item m="1" x="3633"/>
        <item m="1" x="3814"/>
        <item m="1" x="3634"/>
        <item m="1" x="3815"/>
        <item m="1" x="3431"/>
        <item m="1" x="3624"/>
        <item m="1" x="3625"/>
        <item m="1" x="3310"/>
        <item m="1" x="3626"/>
        <item m="1" x="3631"/>
        <item m="1" x="3629"/>
        <item m="1" x="3630"/>
        <item m="1" x="3641"/>
        <item m="1" x="3642"/>
        <item m="1" x="2943"/>
        <item m="1" x="3817"/>
        <item m="1" x="3818"/>
        <item m="1" x="3826"/>
        <item m="1" x="3827"/>
        <item m="1" x="3650"/>
        <item m="1" x="3647"/>
        <item m="1" x="3646"/>
        <item m="1" x="3648"/>
        <item m="1" x="3649"/>
        <item m="1" x="3829"/>
        <item m="1" x="3644"/>
        <item m="1" x="3831"/>
        <item m="1" x="3653"/>
        <item m="1" x="3654"/>
        <item m="1" x="3832"/>
        <item m="1" x="3537"/>
        <item m="1" x="3657"/>
        <item m="1" x="3312"/>
        <item m="1" x="3834"/>
        <item m="1" x="3662"/>
        <item m="1" x="3663"/>
        <item m="1" x="3837"/>
        <item m="1" x="3665"/>
        <item m="1" x="3840"/>
        <item m="1" x="3666"/>
        <item m="1" x="3667"/>
        <item m="1" x="3841"/>
        <item m="1" x="3842"/>
        <item m="1" x="3674"/>
        <item m="1" x="3313"/>
        <item m="1" x="3677"/>
        <item m="1" x="3433"/>
        <item m="1" x="3679"/>
        <item m="1" x="3548"/>
        <item m="1" x="3844"/>
        <item m="1" x="3719"/>
        <item m="1" x="3720"/>
        <item m="1" x="3558"/>
        <item m="1" x="3845"/>
        <item m="1" x="3848"/>
        <item m="1" x="3849"/>
        <item m="1" x="3850"/>
        <item m="1" x="3852"/>
        <item m="1" x="3853"/>
        <item m="1" x="3854"/>
        <item m="1" x="3855"/>
        <item m="1" x="2947"/>
        <item m="1" x="3703"/>
        <item m="1" x="3704"/>
        <item m="1" x="2946"/>
        <item m="1" x="3856"/>
        <item m="1" x="2952"/>
        <item m="1" x="3708"/>
        <item m="1" x="3709"/>
        <item m="1" x="3710"/>
        <item m="1" x="3315"/>
        <item m="1" x="3687"/>
        <item m="1" x="3729"/>
        <item m="1" x="3858"/>
        <item m="1" x="3859"/>
        <item m="1" x="3860"/>
        <item m="1" x="2953"/>
        <item m="1" x="3861"/>
        <item m="1" x="3731"/>
        <item m="1" x="3862"/>
        <item m="1" x="3732"/>
        <item m="1" x="3569"/>
        <item m="1" x="3742"/>
        <item m="1" x="3865"/>
        <item m="1" x="3866"/>
        <item m="1" x="3733"/>
        <item m="1" x="3870"/>
        <item m="1" x="3871"/>
        <item m="1" x="3755"/>
        <item m="1" x="3750"/>
        <item m="1" x="3749"/>
        <item m="1" x="3874"/>
        <item m="1" x="3875"/>
        <item m="1" x="3876"/>
        <item m="1" x="2992"/>
        <item m="1" x="3877"/>
        <item m="1" x="3581"/>
        <item m="1" x="2145"/>
        <item m="1" x="3577"/>
        <item m="1" x="2955"/>
        <item m="1" x="3434"/>
        <item m="1" x="3878"/>
        <item m="1" x="3879"/>
        <item m="1" x="3880"/>
        <item m="1" x="3582"/>
        <item m="1" x="3583"/>
        <item m="1" x="2957"/>
        <item m="1" x="3586"/>
        <item m="1" x="3759"/>
        <item m="1" x="3760"/>
        <item m="1" x="3761"/>
        <item m="1" x="2956"/>
        <item m="1" x="3316"/>
        <item m="1" x="3882"/>
        <item m="1" x="3883"/>
        <item m="1" x="3768"/>
        <item m="1" x="3767"/>
        <item m="1" x="2959"/>
        <item m="1" x="3884"/>
        <item m="1" x="2960"/>
        <item m="1" x="3591"/>
        <item m="1" x="3889"/>
        <item m="1" x="3890"/>
        <item m="1" x="2165"/>
        <item m="1" x="2171"/>
        <item m="1" x="2170"/>
        <item m="1" x="2168"/>
        <item m="1" x="2169"/>
        <item m="1" x="2968"/>
        <item m="1" x="3892"/>
        <item m="1" x="3893"/>
        <item m="1" x="3894"/>
        <item m="1" x="3895"/>
        <item m="1" x="3435"/>
        <item m="1" x="2970"/>
        <item m="1" x="2980"/>
        <item m="1" x="3778"/>
        <item m="1" x="3896"/>
        <item m="1" x="3897"/>
        <item m="1" x="2975"/>
        <item m="1" x="2227"/>
        <item m="1" x="3898"/>
        <item m="1" x="3899"/>
        <item m="1" x="2221"/>
        <item m="1" x="2204"/>
        <item m="1" x="3438"/>
        <item m="1" x="3439"/>
        <item m="1" x="2485"/>
        <item m="1" x="2976"/>
        <item m="1" x="2244"/>
        <item m="1" x="2246"/>
        <item m="1" x="3436"/>
        <item m="1" x="2974"/>
        <item m="1" x="2979"/>
        <item m="1" x="3900"/>
        <item m="1" x="2978"/>
        <item m="1" x="3779"/>
        <item m="1" x="3594"/>
        <item m="1" x="3901"/>
        <item m="1" x="3437"/>
        <item m="1" x="2972"/>
        <item m="1" x="3902"/>
        <item m="1" x="3903"/>
        <item m="1" x="3904"/>
        <item m="1" x="3905"/>
        <item m="1" x="2973"/>
        <item m="1" x="2254"/>
        <item m="1" x="2269"/>
        <item m="1" x="2281"/>
        <item m="1" x="3906"/>
        <item m="1" x="3907"/>
        <item m="1" x="3788"/>
        <item m="1" x="2309"/>
        <item m="1" x="3790"/>
        <item m="1" x="3909"/>
        <item m="1" x="2983"/>
        <item m="1" x="2319"/>
        <item m="1" x="3791"/>
        <item m="1" x="3440"/>
        <item m="1" x="2317"/>
        <item m="1" x="2325"/>
        <item m="1" x="3910"/>
        <item m="1" x="3796"/>
        <item m="1" x="3911"/>
        <item m="1" x="2985"/>
        <item m="1" x="2986"/>
        <item m="1" x="3913"/>
        <item m="1" x="3915"/>
        <item m="1" x="3916"/>
        <item m="1" x="3917"/>
        <item m="1" x="3320"/>
        <item m="1" x="2988"/>
        <item m="1" x="3918"/>
        <item m="1" x="3919"/>
        <item m="1" x="3920"/>
        <item m="1" x="3612"/>
        <item m="1" x="2991"/>
        <item m="1" x="3802"/>
        <item m="1" x="3804"/>
        <item m="1" x="3807"/>
        <item m="1" x="3806"/>
        <item m="1" x="4042"/>
        <item m="1" x="3808"/>
        <item m="1" x="3809"/>
        <item m="1" x="2939"/>
        <item m="1" x="3810"/>
        <item m="1" x="3441"/>
        <item m="1" x="2993"/>
        <item m="1" x="4044"/>
        <item m="1" x="4045"/>
        <item m="1" x="3623"/>
        <item m="1" x="3311"/>
        <item m="1" x="3636"/>
        <item m="1" x="3637"/>
        <item m="1" x="3640"/>
        <item m="1" x="3643"/>
        <item m="1" x="3645"/>
        <item m="1" x="2999"/>
        <item m="1" x="3651"/>
        <item m="1" x="3535"/>
        <item m="1" x="3652"/>
        <item m="1" x="2944"/>
        <item m="1" x="3443"/>
        <item m="1" x="2945"/>
        <item m="1" x="3659"/>
        <item m="1" x="3660"/>
        <item m="1" x="3661"/>
        <item m="1" x="3664"/>
        <item m="1" x="3669"/>
        <item m="1" x="3670"/>
        <item m="1" x="3671"/>
        <item m="1" x="3675"/>
        <item m="1" x="3676"/>
        <item m="1" x="3681"/>
        <item m="1" x="3549"/>
        <item m="1" x="3682"/>
        <item m="1" x="3683"/>
        <item m="1" x="3684"/>
        <item m="1" x="3685"/>
        <item m="1" x="3559"/>
        <item m="1" x="3691"/>
        <item m="1" x="3692"/>
        <item m="1" x="3693"/>
        <item m="1" x="2950"/>
        <item m="1" x="2951"/>
        <item m="1" x="2948"/>
        <item m="1" x="3700"/>
        <item m="1" x="3314"/>
        <item m="1" x="3702"/>
        <item m="1" x="2949"/>
        <item m="1" x="3707"/>
        <item m="1" x="3728"/>
        <item m="1" x="3355"/>
        <item m="1" x="3735"/>
        <item m="1" x="3736"/>
        <item m="1" x="3737"/>
        <item m="1" x="3738"/>
        <item m="1" x="3739"/>
        <item m="1" x="3740"/>
        <item m="1" x="3743"/>
        <item m="1" x="3744"/>
        <item m="1" x="2954"/>
        <item m="1" x="3746"/>
        <item m="1" x="3751"/>
        <item m="1" x="3752"/>
        <item m="1" x="3753"/>
        <item m="1" x="3754"/>
        <item m="1" x="3359"/>
        <item m="1" x="3574"/>
        <item m="1" x="3573"/>
        <item m="1" x="3575"/>
        <item m="1" x="3576"/>
        <item m="1" x="3579"/>
        <item m="1" x="3756"/>
        <item m="1" x="3757"/>
        <item m="1" x="3758"/>
        <item m="1" x="3317"/>
        <item m="1" x="3762"/>
        <item m="1" x="3763"/>
        <item m="1" x="3764"/>
        <item m="1" x="3765"/>
        <item m="1" x="2958"/>
        <item m="1" x="3766"/>
        <item m="1" x="3588"/>
        <item m="1" x="3590"/>
        <item m="1" x="2961"/>
        <item m="1" x="2962"/>
        <item m="1" x="2963"/>
        <item m="1" x="2964"/>
        <item m="1" x="2965"/>
        <item m="1" x="2966"/>
        <item m="1" x="2967"/>
        <item m="1" x="3769"/>
        <item m="1" x="3770"/>
        <item m="1" x="2196"/>
        <item m="1" x="3771"/>
        <item m="1" x="3596"/>
        <item m="1" x="2197"/>
        <item m="1" x="3772"/>
        <item m="1" x="3773"/>
        <item m="1" x="2969"/>
        <item m="1" x="3606"/>
        <item m="1" x="3774"/>
        <item m="1" x="3775"/>
        <item m="1" x="3776"/>
        <item m="1" x="3777"/>
        <item m="1" x="3485"/>
        <item m="1" x="2215"/>
        <item m="1" x="2981"/>
        <item m="1" x="3601"/>
        <item m="1" x="3780"/>
        <item m="1" x="3781"/>
        <item m="1" x="3782"/>
        <item m="1" x="3783"/>
        <item m="1" x="3784"/>
        <item m="1" x="3598"/>
        <item m="1" x="2293"/>
        <item m="1" x="3318"/>
        <item m="1" x="3091"/>
        <item m="1" x="3092"/>
        <item m="1" x="3093"/>
        <item m="1" x="3094"/>
        <item m="1" x="3095"/>
        <item m="1" x="3096"/>
        <item m="1" x="3786"/>
        <item m="1" x="3787"/>
        <item m="1" x="2971"/>
        <item m="1" x="2982"/>
        <item m="1" x="3792"/>
        <item m="1" x="3793"/>
        <item m="1" x="2984"/>
        <item m="1" x="3110"/>
        <item m="1" x="3487"/>
        <item m="1" x="2351"/>
        <item m="1" x="2350"/>
        <item m="1" x="3797"/>
        <item m="1" x="3121"/>
        <item m="1" x="3798"/>
        <item m="1" x="3799"/>
        <item m="1" x="3800"/>
        <item m="1" x="2990"/>
        <item m="1" x="2360"/>
        <item m="1" x="3116"/>
        <item m="1" x="3803"/>
        <item m="1" x="2989"/>
        <item m="1" x="3491"/>
        <item m="1" x="3805"/>
        <item m="1" x="3125"/>
        <item m="1" x="3334"/>
        <item m="1" x="3335"/>
        <item m="1" x="3442"/>
        <item m="1" x="3529"/>
        <item m="1" x="3530"/>
        <item m="1" x="3532"/>
        <item m="1" x="3533"/>
        <item m="1" x="3534"/>
        <item m="1" x="3541"/>
        <item m="1" x="3542"/>
        <item m="1" x="3005"/>
        <item m="1" x="3345"/>
        <item m="1" x="3447"/>
        <item m="1" x="3547"/>
        <item m="1" x="3551"/>
        <item m="1" x="3552"/>
        <item m="1" x="3448"/>
        <item m="1" x="3557"/>
        <item m="1" x="3450"/>
        <item m="1" x="3451"/>
        <item m="1" x="3560"/>
        <item m="1" x="3561"/>
        <item m="1" x="3562"/>
        <item m="1" x="3037"/>
        <item m="1" x="3564"/>
        <item m="1" x="3565"/>
        <item m="1" x="3566"/>
        <item m="1" x="3352"/>
        <item m="1" x="3459"/>
        <item m="1" x="3346"/>
        <item m="1" x="3567"/>
        <item m="1" x="3462"/>
        <item m="1" x="3356"/>
        <item m="1" x="3470"/>
        <item m="1" x="3048"/>
        <item m="1" x="3049"/>
        <item m="1" x="3051"/>
        <item m="1" x="3468"/>
        <item m="1" x="3065"/>
        <item m="1" x="3066"/>
        <item m="1" x="3067"/>
        <item m="1" x="3072"/>
        <item m="1" x="3062"/>
        <item m="1" x="3570"/>
        <item m="1" x="3571"/>
        <item m="1" x="3358"/>
        <item m="1" x="3471"/>
        <item m="1" x="3580"/>
        <item m="1" x="3077"/>
        <item m="1" x="3080"/>
        <item m="1" x="3079"/>
        <item m="1" x="3085"/>
        <item m="1" x="3083"/>
        <item m="1" x="3084"/>
        <item m="1" x="3086"/>
        <item m="1" x="3592"/>
        <item m="1" x="3593"/>
        <item m="1" x="3102"/>
        <item m="1" x="3481"/>
        <item m="1" x="2186"/>
        <item m="1" x="2235"/>
        <item m="1" x="3479"/>
        <item m="1" x="3599"/>
        <item m="1" x="3600"/>
        <item m="1" x="3602"/>
        <item m="1" x="2977"/>
        <item m="1" x="3603"/>
        <item m="1" x="3604"/>
        <item m="1" x="2267"/>
        <item m="1" x="2265"/>
        <item m="1" x="2266"/>
        <item m="1" x="3089"/>
        <item m="1" x="2241"/>
        <item m="1" x="2245"/>
        <item m="1" x="3482"/>
        <item m="1" x="3484"/>
        <item m="1" x="3483"/>
        <item m="1" x="3607"/>
        <item m="1" x="3608"/>
        <item m="1" x="2337"/>
        <item m="1" x="3609"/>
        <item m="1" x="3112"/>
        <item m="1" x="2347"/>
        <item m="1" x="3492"/>
        <item m="1" x="3610"/>
        <item m="1" x="3611"/>
        <item m="1" x="3613"/>
        <item m="1" x="3614"/>
        <item m="1" x="2380"/>
        <item m="1" x="3615"/>
        <item m="1" x="3616"/>
        <item m="1" x="3617"/>
        <item m="1" x="3126"/>
        <item m="1" x="3129"/>
        <item m="1" x="1035"/>
        <item m="1" x="2348"/>
        <item m="1" x="3321"/>
        <item m="1" x="3333"/>
        <item m="1" x="2997"/>
        <item m="1" x="2998"/>
        <item m="1" x="3444"/>
        <item m="1" x="3445"/>
        <item m="1" x="3338"/>
        <item m="1" x="3015"/>
        <item m="1" x="3016"/>
        <item m="1" x="3446"/>
        <item m="1" x="3341"/>
        <item m="1" x="3023"/>
        <item m="1" x="3024"/>
        <item m="1" x="3022"/>
        <item m="1" x="3449"/>
        <item m="1" x="3452"/>
        <item m="1" x="3453"/>
        <item m="1" x="3357"/>
        <item m="1" x="3454"/>
        <item m="1" x="3349"/>
        <item m="1" x="3455"/>
        <item m="1" x="3348"/>
        <item m="1" x="3456"/>
        <item m="1" x="3035"/>
        <item m="1" x="3034"/>
        <item m="1" x="3457"/>
        <item m="1" x="3036"/>
        <item m="1" x="3458"/>
        <item m="1" x="3353"/>
        <item m="1" x="3354"/>
        <item m="1" x="3055"/>
        <item m="1" x="3056"/>
        <item m="1" x="3460"/>
        <item m="1" x="3461"/>
        <item m="1" x="3463"/>
        <item m="1" x="3464"/>
        <item m="1" x="3465"/>
        <item m="1" x="3466"/>
        <item m="1" x="3467"/>
        <item m="1" x="3469"/>
        <item m="1" x="3073"/>
        <item m="1" x="3041"/>
        <item m="1" x="3472"/>
        <item m="1" x="3473"/>
        <item m="1" x="3474"/>
        <item m="1" x="3475"/>
        <item m="1" x="3476"/>
        <item m="1" x="3477"/>
        <item m="1" x="3478"/>
        <item m="1" x="3480"/>
        <item m="1" x="3107"/>
        <item m="1" x="3486"/>
        <item m="1" x="3365"/>
        <item m="1" x="3111"/>
        <item m="1" x="1990"/>
        <item m="1" x="3114"/>
        <item m="1" x="3488"/>
        <item m="1" x="3489"/>
        <item m="1" x="3490"/>
        <item m="1" x="3493"/>
        <item m="1" x="3494"/>
        <item m="1" x="3495"/>
        <item m="1" x="3366"/>
        <item m="1" x="3496"/>
        <item m="1" x="3130"/>
        <item m="1" x="3332"/>
        <item m="1" x="3324"/>
        <item m="1" x="3325"/>
        <item m="1" x="2995"/>
        <item m="1" x="3326"/>
        <item m="1" x="3327"/>
        <item m="1" x="3328"/>
        <item m="1" x="3329"/>
        <item m="1" x="3330"/>
        <item m="1" x="3331"/>
        <item m="1" x="3013"/>
        <item m="1" x="3497"/>
        <item m="1" x="3006"/>
        <item m="1" x="3498"/>
        <item m="1" x="3499"/>
        <item m="1" x="3000"/>
        <item m="1" x="3025"/>
        <item m="1" x="3500"/>
        <item m="1" x="3501"/>
        <item m="1" x="3350"/>
        <item m="1" x="3351"/>
        <item m="1" x="3042"/>
        <item m="1" x="3502"/>
        <item m="1" x="3503"/>
        <item m="1" x="3504"/>
        <item m="1" x="3052"/>
        <item m="1" x="3050"/>
        <item m="1" x="3047"/>
        <item m="1" x="3505"/>
        <item m="1" x="3506"/>
        <item m="1" x="3507"/>
        <item m="1" x="3069"/>
        <item m="1" x="3070"/>
        <item m="1" x="3508"/>
        <item m="1" x="3076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2195"/>
        <item m="1" x="3522"/>
        <item m="1" x="3523"/>
        <item m="1" x="2320"/>
        <item m="1" x="3361"/>
        <item m="1" x="3362"/>
        <item m="1" x="3363"/>
        <item m="1" x="3524"/>
        <item m="1" x="3525"/>
        <item m="1" x="3120"/>
        <item m="1" x="3117"/>
        <item m="1" x="3118"/>
        <item m="1" x="3122"/>
        <item m="1" x="3526"/>
        <item m="1" x="3527"/>
        <item m="1" x="2372"/>
        <item m="1" x="3528"/>
        <item m="1" x="2902"/>
        <item m="1" x="3322"/>
        <item m="1" x="3323"/>
        <item m="1" x="3001"/>
        <item m="1" x="3336"/>
        <item m="1" x="3337"/>
        <item m="1" x="3014"/>
        <item m="1" x="3007"/>
        <item m="1" x="3339"/>
        <item m="1" x="3340"/>
        <item m="1" x="3026"/>
        <item m="1" x="3342"/>
        <item m="1" x="3027"/>
        <item m="1" x="3343"/>
        <item m="1" x="3344"/>
        <item m="1" x="3347"/>
        <item m="1" x="3054"/>
        <item m="1" x="3060"/>
        <item m="1" x="3061"/>
        <item m="1" x="3068"/>
        <item m="1" x="3081"/>
        <item m="1" x="3082"/>
        <item m="1" x="3087"/>
        <item m="1" x="2300"/>
        <item m="1" x="3100"/>
        <item m="1" x="3105"/>
        <item m="1" x="3106"/>
        <item m="1" x="3360"/>
        <item m="1" x="3109"/>
        <item m="1" x="3364"/>
        <item m="1" x="2358"/>
        <item m="1" x="3123"/>
        <item m="1" x="3127"/>
        <item m="1" x="3367"/>
        <item m="1" x="3128"/>
        <item m="1" x="3368"/>
        <item m="1" x="3131"/>
        <item m="1" x="3369"/>
        <item m="1" x="3370"/>
        <item m="1" x="3371"/>
        <item m="1" x="3372"/>
        <item m="1" x="3373"/>
        <item m="1" x="3374"/>
        <item m="1" x="3375"/>
        <item m="1" x="2994"/>
        <item m="1" x="2996"/>
        <item m="1" x="3376"/>
        <item m="1" x="3377"/>
        <item m="1" x="3378"/>
        <item m="1" x="3379"/>
        <item m="1" x="3017"/>
        <item m="1" x="3009"/>
        <item m="1" x="3010"/>
        <item m="1" x="3008"/>
        <item m="1" x="3002"/>
        <item m="1" x="3380"/>
        <item m="1" x="3003"/>
        <item m="1" x="3004"/>
        <item m="1" x="3011"/>
        <item m="1" x="3381"/>
        <item m="1" x="3012"/>
        <item m="1" x="3028"/>
        <item m="1" x="3019"/>
        <item m="1" x="3382"/>
        <item m="1" x="3383"/>
        <item m="1" x="3020"/>
        <item m="1" x="3384"/>
        <item m="1" x="3021"/>
        <item m="1" x="3385"/>
        <item m="1" x="3386"/>
        <item m="1" x="3018"/>
        <item m="1" x="3387"/>
        <item m="1" x="3388"/>
        <item m="1" x="3389"/>
        <item m="1" x="3390"/>
        <item m="1" x="3391"/>
        <item m="1" x="3392"/>
        <item m="1" x="3393"/>
        <item m="1" x="3030"/>
        <item m="1" x="3031"/>
        <item m="1" x="3394"/>
        <item m="1" x="3395"/>
        <item m="1" x="3033"/>
        <item m="1" x="3032"/>
        <item m="1" x="3396"/>
        <item m="1" x="3397"/>
        <item m="1" x="3040"/>
        <item m="1" x="3059"/>
        <item m="1" x="3398"/>
        <item m="1" x="3057"/>
        <item m="1" x="3058"/>
        <item m="1" x="3043"/>
        <item m="1" x="3044"/>
        <item m="1" x="3045"/>
        <item m="1" x="3046"/>
        <item m="1" x="3399"/>
        <item m="1" x="3400"/>
        <item m="1" x="3053"/>
        <item m="1" x="3071"/>
        <item m="1" x="3074"/>
        <item m="1" x="3401"/>
        <item m="1" x="3075"/>
        <item m="1" x="3402"/>
        <item m="1" x="3403"/>
        <item m="1" x="3404"/>
        <item m="1" x="3103"/>
        <item m="1" x="3405"/>
        <item m="1" x="3099"/>
        <item m="1" x="3101"/>
        <item m="1" x="3406"/>
        <item m="1" x="3407"/>
        <item m="1" x="3408"/>
        <item m="1" x="3409"/>
        <item m="1" x="2226"/>
        <item m="1" x="3410"/>
        <item m="1" x="3411"/>
        <item m="1" x="3412"/>
        <item m="1" x="3090"/>
        <item m="1" x="3413"/>
        <item m="1" x="3414"/>
        <item m="1" x="3119"/>
        <item m="1" x="3113"/>
        <item m="1" x="3415"/>
        <item m="1" x="3416"/>
        <item m="1" x="3417"/>
        <item m="1" x="3418"/>
        <item m="1" x="3419"/>
        <item m="1" x="3132"/>
        <item m="1" x="2987"/>
        <item m="1" x="3029"/>
        <item m="1" x="3038"/>
        <item m="1" x="3039"/>
        <item m="1" x="3063"/>
        <item m="1" x="3064"/>
        <item m="1" x="3078"/>
        <item m="1" x="3088"/>
        <item m="1" x="2172"/>
        <item m="1" x="2166"/>
        <item m="1" x="2176"/>
        <item m="1" x="2255"/>
        <item m="1" x="2280"/>
        <item m="1" x="3097"/>
        <item m="1" x="3098"/>
        <item m="1" x="2275"/>
        <item m="1" x="2193"/>
        <item m="1" x="2191"/>
        <item m="1" x="2184"/>
        <item m="1" x="2208"/>
        <item m="1" x="2211"/>
        <item m="1" x="3104"/>
        <item m="1" x="2198"/>
        <item m="1" x="2310"/>
        <item m="1" x="2315"/>
        <item m="1" x="2323"/>
        <item m="1" x="3108"/>
        <item m="1" x="3115"/>
        <item m="1" x="2371"/>
        <item m="1" x="3124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2167"/>
        <item m="1" x="3224"/>
        <item m="1" x="3225"/>
        <item m="1" x="3226"/>
        <item m="1" x="3227"/>
        <item m="1" x="3228"/>
        <item m="1" x="3229"/>
        <item m="1" x="2192"/>
        <item m="1" x="2194"/>
        <item m="1" x="3230"/>
        <item m="1" x="2189"/>
        <item m="1" x="3231"/>
        <item m="1" x="3232"/>
        <item m="1" x="2181"/>
        <item m="1" x="3233"/>
        <item m="1" x="3234"/>
        <item m="1" x="2187"/>
        <item m="1" x="2222"/>
        <item m="1" x="2207"/>
        <item m="1" x="3235"/>
        <item m="1" x="3236"/>
        <item m="1" x="3237"/>
        <item m="1" x="2225"/>
        <item m="1" x="2224"/>
        <item m="1" x="3238"/>
        <item m="1" x="3239"/>
        <item m="1" x="2212"/>
        <item m="1" x="3240"/>
        <item m="1" x="2213"/>
        <item m="1" x="3241"/>
        <item m="1" x="3242"/>
        <item m="1" x="3243"/>
        <item m="1" x="3244"/>
        <item m="1" x="2277"/>
        <item m="1" x="2273"/>
        <item m="1" x="3245"/>
        <item m="1" x="3246"/>
        <item m="1" x="2257"/>
        <item m="1" x="3247"/>
        <item m="1" x="3248"/>
        <item m="1" x="3249"/>
        <item m="1" x="2295"/>
        <item m="1" x="3250"/>
        <item m="1" x="2297"/>
        <item m="1" x="3251"/>
        <item m="1" x="2242"/>
        <item m="1" x="3252"/>
        <item m="1" x="3253"/>
        <item m="1" x="3254"/>
        <item m="1" x="3255"/>
        <item m="1" x="2243"/>
        <item m="1" x="2238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2349"/>
        <item m="1" x="1060"/>
        <item m="1" x="3272"/>
        <item m="1" x="3273"/>
        <item m="1" x="3274"/>
        <item m="1" x="3275"/>
        <item m="1" x="3276"/>
        <item m="1" x="1059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2426"/>
        <item m="1" x="2427"/>
        <item m="1" x="2428"/>
        <item m="1" x="2430"/>
        <item m="1" x="2433"/>
        <item m="1" x="2434"/>
        <item m="1" x="2435"/>
        <item m="1" x="2437"/>
        <item m="1" x="2439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202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034"/>
        <item m="1" x="1844"/>
        <item m="1" x="1845"/>
        <item m="1" x="2035"/>
        <item m="1" x="2036"/>
        <item m="1" x="2037"/>
        <item m="1" x="2038"/>
        <item m="1" x="1852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1857"/>
        <item m="1" x="2048"/>
        <item m="1" x="2049"/>
        <item m="1" x="1860"/>
        <item m="1" x="1869"/>
        <item m="1" x="1868"/>
        <item m="1" x="2050"/>
        <item m="1" x="1859"/>
        <item m="1" x="1861"/>
        <item m="1" x="2051"/>
        <item m="1" x="2052"/>
        <item m="1" x="2053"/>
        <item m="1" x="1870"/>
        <item m="1" x="1877"/>
        <item m="1" x="2054"/>
        <item m="1" x="2055"/>
        <item m="1" x="2056"/>
        <item m="1" x="1874"/>
        <item m="1" x="1871"/>
        <item m="1" x="1872"/>
        <item m="1" x="2057"/>
        <item m="1" x="2058"/>
        <item m="1" x="2059"/>
        <item m="1" x="2060"/>
        <item m="1" x="2061"/>
        <item m="1" x="2062"/>
        <item m="1" x="1048"/>
        <item m="1" x="1158"/>
        <item m="1" x="1159"/>
        <item m="1" x="2063"/>
        <item m="1" x="1882"/>
        <item m="1" x="2064"/>
        <item m="1" x="2065"/>
        <item m="1" x="2066"/>
        <item m="1" x="2067"/>
        <item m="1" x="1094"/>
        <item m="1" x="2068"/>
        <item m="1" x="1162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1901"/>
        <item m="1" x="109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1907"/>
        <item m="1" x="1908"/>
        <item m="1" x="2094"/>
        <item m="1" x="2095"/>
        <item m="1" x="2096"/>
        <item m="1" x="2097"/>
        <item m="1" x="2098"/>
        <item m="1" x="2099"/>
        <item m="1" x="1098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1920"/>
        <item m="1" x="1921"/>
        <item m="1" x="1922"/>
        <item m="1" x="1925"/>
        <item m="1" x="1924"/>
        <item m="1" x="1923"/>
        <item m="1" x="2110"/>
        <item m="1" x="1927"/>
        <item m="1" x="1928"/>
        <item m="1" x="1926"/>
        <item m="1" x="1096"/>
        <item m="1" x="2111"/>
        <item m="1" x="2112"/>
        <item m="1" x="2113"/>
        <item m="1" x="2114"/>
        <item m="1" x="1097"/>
        <item m="1" x="2115"/>
        <item m="1" x="2116"/>
        <item m="1" x="2117"/>
        <item m="1" x="1930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064"/>
        <item m="1" x="1099"/>
        <item m="1" x="1100"/>
        <item m="1" x="1171"/>
        <item m="1" x="2142"/>
        <item m="1" x="2143"/>
        <item m="1" x="2144"/>
        <item m="1" x="2146"/>
        <item m="1" x="2147"/>
        <item m="1" x="2148"/>
        <item m="1" x="1066"/>
        <item m="1" x="1101"/>
        <item m="1" x="2149"/>
        <item m="1" x="1065"/>
        <item m="1" x="1952"/>
        <item m="1" x="2150"/>
        <item m="1" x="2151"/>
        <item m="1" x="1956"/>
        <item m="1" x="2152"/>
        <item m="1" x="2153"/>
        <item m="1" x="1102"/>
        <item m="1" x="2154"/>
        <item m="1" x="1074"/>
        <item m="1" x="2155"/>
        <item m="1" x="2156"/>
        <item m="1" x="2157"/>
        <item m="1" x="2158"/>
        <item m="1" x="1073"/>
        <item m="1" x="1052"/>
        <item m="1" x="1053"/>
        <item m="1" x="2159"/>
        <item m="1" x="2160"/>
        <item m="1" x="1803"/>
        <item m="1" x="1071"/>
        <item m="1" x="1072"/>
        <item m="1" x="1050"/>
        <item m="1" x="1051"/>
        <item m="1" x="1067"/>
        <item m="1" x="754"/>
        <item m="1" x="1068"/>
        <item m="1" x="1069"/>
        <item m="1" x="1070"/>
        <item m="1" x="1103"/>
        <item m="1" x="2161"/>
        <item m="1" x="2162"/>
        <item m="1" x="2163"/>
        <item m="1" x="1959"/>
        <item m="1" x="1958"/>
        <item m="1" x="1104"/>
        <item m="1" x="2173"/>
        <item m="1" x="1105"/>
        <item m="1" x="2174"/>
        <item m="1" x="1106"/>
        <item m="1" x="2177"/>
        <item m="1" x="2178"/>
        <item m="1" x="2179"/>
        <item m="1" x="2180"/>
        <item m="1" x="1121"/>
        <item m="1" x="1119"/>
        <item m="1" x="2182"/>
        <item m="1" x="2183"/>
        <item m="1" x="2185"/>
        <item m="1" x="2188"/>
        <item m="1" x="1084"/>
        <item m="1" x="1120"/>
        <item m="1" x="1078"/>
        <item m="1" x="1077"/>
        <item m="1" x="2199"/>
        <item m="1" x="2200"/>
        <item m="1" x="2201"/>
        <item m="1" x="2203"/>
        <item m="1" x="2206"/>
        <item m="1" x="2210"/>
        <item m="1" x="1966"/>
        <item m="1" x="2214"/>
        <item m="1" x="2216"/>
        <item m="1" x="2217"/>
        <item m="1" x="2218"/>
        <item m="1" x="1076"/>
        <item m="1" x="2219"/>
        <item m="1" x="2223"/>
        <item m="1" x="2228"/>
        <item m="1" x="2229"/>
        <item m="1" x="2230"/>
        <item m="1" x="2231"/>
        <item m="1" x="2232"/>
        <item m="1" x="2233"/>
        <item m="1" x="2234"/>
        <item m="1" x="2236"/>
        <item m="1" x="2237"/>
        <item m="1" x="1823"/>
        <item m="1" x="2239"/>
        <item m="1" x="1117"/>
        <item m="1" x="2240"/>
        <item m="1" x="1083"/>
        <item m="1" x="1085"/>
        <item m="1" x="1193"/>
        <item m="1" x="1082"/>
        <item m="1" x="1125"/>
        <item m="1" x="1122"/>
        <item m="1" x="1123"/>
        <item m="1" x="1124"/>
        <item m="1" x="1118"/>
        <item m="1" x="2247"/>
        <item m="1" x="2248"/>
        <item m="1" x="2249"/>
        <item m="1" x="2251"/>
        <item m="1" x="2253"/>
        <item m="1" x="2259"/>
        <item m="1" x="2263"/>
        <item m="1" x="2264"/>
        <item m="1" x="2270"/>
        <item m="1" x="2272"/>
        <item m="1" x="2276"/>
        <item m="1" x="1969"/>
        <item m="1" x="2282"/>
        <item m="1" x="2283"/>
        <item m="1" x="2284"/>
        <item m="1" x="2285"/>
        <item m="1" x="2286"/>
        <item m="1" x="2287"/>
        <item m="1" x="2288"/>
        <item m="1" x="2289"/>
        <item m="1" x="1113"/>
        <item m="1" x="1111"/>
        <item m="1" x="1107"/>
        <item m="1" x="2290"/>
        <item m="1" x="1112"/>
        <item m="1" x="2291"/>
        <item m="1" x="769"/>
        <item m="1" x="1110"/>
        <item m="1" x="1108"/>
        <item m="1" x="1081"/>
        <item m="1" x="1109"/>
        <item m="1" x="1054"/>
        <item m="1" x="1964"/>
        <item m="1" x="1963"/>
        <item m="1" x="2294"/>
        <item m="1" x="1116"/>
        <item m="1" x="2298"/>
        <item m="1" x="1075"/>
        <item m="1" x="2299"/>
        <item m="1" x="1079"/>
        <item m="1" x="2301"/>
        <item m="1" x="2302"/>
        <item m="1" x="2303"/>
        <item m="1" x="1114"/>
        <item m="1" x="1115"/>
        <item m="1" x="2304"/>
        <item m="1" x="2305"/>
        <item m="1" x="2306"/>
        <item m="1" x="1080"/>
        <item m="1" x="2307"/>
        <item m="1" x="2308"/>
        <item m="1" x="1212"/>
        <item m="1" x="1086"/>
        <item m="1" x="1127"/>
        <item m="1" x="1126"/>
        <item m="1" x="2311"/>
        <item m="1" x="1128"/>
        <item m="1" x="1130"/>
        <item m="1" x="1129"/>
        <item m="1" x="1980"/>
        <item m="1" x="1131"/>
        <item m="1" x="1087"/>
        <item m="1" x="2313"/>
        <item m="1" x="2314"/>
        <item m="1" x="2316"/>
        <item m="1" x="2318"/>
        <item m="1" x="1132"/>
        <item m="1" x="1220"/>
        <item m="1" x="1133"/>
        <item m="1" x="1134"/>
        <item m="1" x="1222"/>
        <item m="1" x="1135"/>
        <item m="1" x="2321"/>
        <item m="1" x="2322"/>
        <item m="1" x="2324"/>
        <item m="1" x="1140"/>
        <item m="1" x="1141"/>
        <item m="1" x="1981"/>
        <item m="1" x="1138"/>
        <item m="1" x="1139"/>
        <item m="1" x="1143"/>
        <item m="1" x="1142"/>
        <item m="1" x="1088"/>
        <item m="1" x="2326"/>
        <item m="1" x="1137"/>
        <item m="1" x="2327"/>
        <item m="1" x="1136"/>
        <item m="1" x="1089"/>
        <item m="1" x="1144"/>
        <item m="1" x="2330"/>
        <item m="1" x="2331"/>
        <item m="1" x="2332"/>
        <item m="1" x="1145"/>
        <item m="1" x="2334"/>
        <item m="1" x="2335"/>
        <item m="1" x="1090"/>
        <item m="1" x="1091"/>
        <item m="1" x="2336"/>
        <item m="1" x="2338"/>
        <item m="1" x="1146"/>
        <item m="1" x="2340"/>
        <item m="1" x="2341"/>
        <item m="1" x="2342"/>
        <item m="1" x="1057"/>
        <item m="1" x="1058"/>
        <item m="1" x="1989"/>
        <item m="1" x="1991"/>
        <item m="1" x="2343"/>
        <item m="1" x="2344"/>
        <item m="1" x="2345"/>
        <item m="1" x="2346"/>
        <item m="1" x="1993"/>
        <item m="1" x="2352"/>
        <item m="1" x="1149"/>
        <item m="1" x="1148"/>
        <item m="1" x="2353"/>
        <item m="1" x="2354"/>
        <item m="1" x="2355"/>
        <item m="1" x="1150"/>
        <item m="1" x="2356"/>
        <item m="1" x="2357"/>
        <item m="1" x="2000"/>
        <item m="1" x="1994"/>
        <item m="1" x="1996"/>
        <item m="1" x="2359"/>
        <item m="1" x="1995"/>
        <item m="1" x="2361"/>
        <item m="1" x="2362"/>
        <item m="1" x="1147"/>
        <item m="1" x="2363"/>
        <item m="1" x="2364"/>
        <item m="1" x="2365"/>
        <item m="1" x="2366"/>
        <item m="1" x="2367"/>
        <item m="1" x="2368"/>
        <item m="1" x="1062"/>
        <item m="1" x="1063"/>
        <item m="1" x="1061"/>
        <item m="1" x="2373"/>
        <item m="1" x="2013"/>
        <item m="1" x="2374"/>
        <item m="1" x="2375"/>
        <item m="1" x="2376"/>
        <item m="1" x="2377"/>
        <item m="1" x="1151"/>
        <item m="1" x="1255"/>
        <item m="1" x="2378"/>
        <item m="1" x="2379"/>
        <item m="1" x="1152"/>
        <item m="1" x="1092"/>
        <item m="1" x="2381"/>
        <item m="1" x="2017"/>
        <item m="1" x="2382"/>
        <item m="1" x="2383"/>
        <item m="1" x="2385"/>
        <item m="1" x="2386"/>
        <item m="1" x="1046"/>
        <item m="1" x="1047"/>
        <item m="1" x="2387"/>
        <item m="1" x="2388"/>
        <item m="1" x="2023"/>
        <item m="1" x="2021"/>
        <item m="1" x="2022"/>
        <item m="1" x="2020"/>
        <item m="1" x="2024"/>
        <item m="1" x="2389"/>
        <item m="1" x="2390"/>
        <item m="1" x="2391"/>
        <item m="1" x="1093"/>
        <item m="1" x="2025"/>
        <item m="1" x="2392"/>
        <item m="1" x="1039"/>
        <item m="1" x="2393"/>
        <item m="1" x="2394"/>
        <item m="1" x="1153"/>
        <item m="1" x="2395"/>
        <item m="1" x="2396"/>
        <item m="1" x="2397"/>
        <item m="1" x="2398"/>
        <item m="1" x="2399"/>
        <item m="1" x="2400"/>
        <item m="1" x="2401"/>
        <item m="1" x="1154"/>
        <item m="1" x="2402"/>
        <item m="1" x="115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032"/>
        <item m="1" x="2033"/>
        <item m="1" x="1843"/>
        <item m="1" x="1846"/>
        <item m="1" x="1847"/>
        <item m="1" x="1848"/>
        <item m="1" x="1849"/>
        <item m="1" x="1850"/>
        <item m="1" x="1851"/>
        <item m="1" x="1853"/>
        <item m="1" x="1854"/>
        <item m="1" x="1855"/>
        <item m="1" x="1856"/>
        <item m="1" x="1858"/>
        <item m="1" x="1862"/>
        <item m="1" x="1863"/>
        <item m="1" x="1864"/>
        <item m="1" x="1865"/>
        <item m="1" x="1866"/>
        <item m="1" x="1867"/>
        <item m="1" x="1157"/>
        <item m="1" x="1873"/>
        <item m="1" x="1875"/>
        <item m="1" x="1876"/>
        <item m="1" x="1878"/>
        <item m="1" x="1879"/>
        <item m="1" x="1880"/>
        <item m="1" x="1881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2"/>
        <item m="1" x="1903"/>
        <item m="1" x="1904"/>
        <item m="1" x="1905"/>
        <item m="1" x="1906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9"/>
        <item m="1" x="1931"/>
        <item m="1" x="1932"/>
        <item m="1" x="1933"/>
        <item m="1" x="1934"/>
        <item m="1" x="1935"/>
        <item m="1" x="1936"/>
        <item m="1" x="1937"/>
        <item m="1" x="116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169"/>
        <item m="1" x="1949"/>
        <item m="1" x="1950"/>
        <item m="1" x="1951"/>
        <item m="1" x="1953"/>
        <item m="1" x="1954"/>
        <item m="1" x="1955"/>
        <item m="1" x="1173"/>
        <item m="1" x="1957"/>
        <item m="1" x="1174"/>
        <item m="1" x="1737"/>
        <item m="1" x="1960"/>
        <item m="1" x="1961"/>
        <item m="1" x="1962"/>
        <item m="1" x="1177"/>
        <item m="1" x="1178"/>
        <item m="1" x="1741"/>
        <item m="1" x="1181"/>
        <item m="1" x="1189"/>
        <item m="1" x="1183"/>
        <item m="1" x="1184"/>
        <item m="1" x="1185"/>
        <item m="1" x="1192"/>
        <item m="1" x="1965"/>
        <item m="1" x="1967"/>
        <item m="1" x="1968"/>
        <item m="1" x="1970"/>
        <item m="1" x="1196"/>
        <item m="1" x="1971"/>
        <item m="1" x="1972"/>
        <item m="1" x="1202"/>
        <item m="1" x="1201"/>
        <item m="1" x="1973"/>
        <item m="1" x="1974"/>
        <item m="1" x="1975"/>
        <item m="1" x="1976"/>
        <item m="1" x="1977"/>
        <item m="1" x="1205"/>
        <item m="1" x="1194"/>
        <item m="1" x="1978"/>
        <item m="1" x="1979"/>
        <item m="1" x="1214"/>
        <item m="1" x="1217"/>
        <item m="1" x="1218"/>
        <item m="1" x="1223"/>
        <item m="1" x="1224"/>
        <item m="1" x="1233"/>
        <item m="1" x="1982"/>
        <item m="1" x="1234"/>
        <item m="1" x="1232"/>
        <item m="1" x="1236"/>
        <item m="1" x="1237"/>
        <item m="1" x="1235"/>
        <item m="1" x="1983"/>
        <item m="1" x="1984"/>
        <item m="1" x="1238"/>
        <item m="1" x="1985"/>
        <item m="1" x="1044"/>
        <item m="1" x="1045"/>
        <item m="1" x="1043"/>
        <item m="1" x="1986"/>
        <item m="1" x="1987"/>
        <item m="1" x="1988"/>
        <item x="11"/>
        <item m="1" x="1992"/>
        <item m="1" x="1997"/>
        <item m="1" x="1998"/>
        <item m="1" x="1999"/>
        <item m="1" x="2001"/>
        <item m="1" x="1767"/>
        <item m="1" x="2002"/>
        <item m="1" x="2003"/>
        <item m="1" x="2004"/>
        <item m="1" x="2005"/>
        <item m="1" x="2006"/>
        <item m="1" x="2007"/>
        <item m="1" x="2008"/>
        <item m="1" x="1244"/>
        <item m="1" x="1250"/>
        <item m="1" x="2009"/>
        <item m="1" x="2010"/>
        <item m="1" x="1252"/>
        <item m="1" x="2011"/>
        <item m="1" x="2012"/>
        <item m="1" x="2014"/>
        <item m="1" x="2015"/>
        <item m="1" x="2016"/>
        <item m="1" x="2018"/>
        <item m="1" x="1260"/>
        <item m="1" x="2019"/>
        <item m="1" x="2026"/>
        <item m="1" x="2027"/>
        <item m="1" x="2028"/>
        <item m="1" x="1040"/>
        <item m="1" x="2029"/>
        <item m="1" x="2030"/>
        <item m="1" x="2031"/>
        <item m="1" x="1266"/>
        <item m="1" x="1036"/>
        <item m="1" x="1775"/>
        <item m="1" x="1272"/>
        <item m="1" x="1269"/>
        <item m="1" x="1270"/>
        <item m="1" x="1271"/>
        <item m="1" x="1273"/>
        <item m="1" x="1280"/>
        <item m="1" x="1281"/>
        <item m="1" x="1156"/>
        <item m="1" x="1291"/>
        <item m="1" x="1292"/>
        <item m="1" x="1290"/>
        <item m="1" x="1286"/>
        <item m="1" x="1287"/>
        <item m="1" x="1288"/>
        <item m="1" x="1289"/>
        <item m="1" x="1282"/>
        <item m="1" x="1283"/>
        <item m="1" x="1285"/>
        <item m="1" x="1284"/>
        <item m="1" x="1776"/>
        <item m="1" x="1777"/>
        <item m="1" x="1160"/>
        <item m="1" x="1161"/>
        <item m="1" x="1675"/>
        <item m="1" x="1676"/>
        <item m="1" x="1296"/>
        <item m="1" x="1297"/>
        <item m="1" x="1299"/>
        <item m="1" x="1778"/>
        <item m="1" x="1300"/>
        <item m="1" x="1693"/>
        <item m="1" x="1691"/>
        <item m="1" x="1779"/>
        <item m="1" x="1780"/>
        <item m="1" x="1781"/>
        <item m="1" x="1692"/>
        <item m="1" x="1684"/>
        <item m="1" x="1686"/>
        <item m="1" x="1687"/>
        <item m="1" x="1685"/>
        <item m="1" x="1301"/>
        <item m="1" x="1683"/>
        <item m="1" x="1682"/>
        <item m="1" x="1696"/>
        <item m="1" x="1679"/>
        <item m="1" x="1697"/>
        <item m="1" x="1782"/>
        <item m="1" x="1304"/>
        <item m="1" x="1303"/>
        <item m="1" x="1783"/>
        <item m="1" x="1784"/>
        <item m="1" x="1785"/>
        <item m="1" x="1786"/>
        <item m="1" x="1787"/>
        <item m="1" x="1700"/>
        <item m="1" x="1305"/>
        <item m="1" x="1319"/>
        <item m="1" x="1318"/>
        <item m="1" x="1315"/>
        <item m="1" x="1316"/>
        <item m="1" x="1317"/>
        <item m="1" x="1717"/>
        <item m="1" x="1710"/>
        <item m="1" x="1711"/>
        <item m="1" x="1712"/>
        <item m="1" x="1713"/>
        <item m="1" x="1714"/>
        <item m="1" x="1715"/>
        <item m="1" x="1716"/>
        <item m="1" x="1709"/>
        <item m="1" x="1788"/>
        <item x="206"/>
        <item m="1" x="1309"/>
        <item m="1" x="1311"/>
        <item m="1" x="1310"/>
        <item m="1" x="1312"/>
        <item m="1" x="1324"/>
        <item m="1" x="1323"/>
        <item m="1" x="1322"/>
        <item m="1" x="1321"/>
        <item m="1" x="1163"/>
        <item m="1" x="1164"/>
        <item m="1" x="1165"/>
        <item m="1" x="1166"/>
        <item m="1" x="1325"/>
        <item m="1" x="1719"/>
        <item m="1" x="1789"/>
        <item m="1" x="1790"/>
        <item m="1" x="1327"/>
        <item m="1" x="1328"/>
        <item m="1" x="1326"/>
        <item m="1" x="1791"/>
        <item m="1" x="1330"/>
        <item m="1" x="1792"/>
        <item m="1" x="1329"/>
        <item m="1" x="1339"/>
        <item m="1" x="1340"/>
        <item m="1" x="1341"/>
        <item m="1" x="1342"/>
        <item m="1" x="1793"/>
        <item m="1" x="1794"/>
        <item m="1" x="1335"/>
        <item m="1" x="1336"/>
        <item m="1" x="1334"/>
        <item m="1" x="1332"/>
        <item m="1" x="1333"/>
        <item m="1" x="1338"/>
        <item m="1" x="1721"/>
        <item m="1" x="1795"/>
        <item m="1" x="1796"/>
        <item m="1" x="1797"/>
        <item m="1" x="1726"/>
        <item m="1" x="1722"/>
        <item m="1" x="1723"/>
        <item m="1" x="1725"/>
        <item m="1" x="1724"/>
        <item m="1" x="1343"/>
        <item m="1" x="1348"/>
        <item m="1" x="1347"/>
        <item m="1" x="1350"/>
        <item m="1" x="1351"/>
        <item m="1" x="1352"/>
        <item m="1" x="1353"/>
        <item m="1" x="1349"/>
        <item m="1" x="1354"/>
        <item m="1" x="1355"/>
        <item m="1" x="1345"/>
        <item m="1" x="1346"/>
        <item m="1" x="1359"/>
        <item m="1" x="1344"/>
        <item m="1" x="1798"/>
        <item m="1" x="1168"/>
        <item m="1" x="1362"/>
        <item m="1" x="1364"/>
        <item m="1" x="1365"/>
        <item m="1" x="1366"/>
        <item m="1" x="1728"/>
        <item m="1" x="1363"/>
        <item m="1" x="1370"/>
        <item m="1" x="1368"/>
        <item m="1" x="1730"/>
        <item m="1" x="1371"/>
        <item m="1" x="1170"/>
        <item m="1" x="1372"/>
        <item m="1" x="1799"/>
        <item m="1" x="1373"/>
        <item m="1" x="1374"/>
        <item m="1" x="1172"/>
        <item m="1" x="1376"/>
        <item m="1" x="1800"/>
        <item m="1" x="1375"/>
        <item m="1" x="1377"/>
        <item m="1" x="1378"/>
        <item m="1" x="1801"/>
        <item m="1" x="1379"/>
        <item m="1" x="1732"/>
        <item m="1" x="1380"/>
        <item m="1" x="1381"/>
        <item m="1" x="1802"/>
        <item m="1" x="1175"/>
        <item m="1" x="1382"/>
        <item m="1" x="1383"/>
        <item m="1" x="1037"/>
        <item m="1" x="1176"/>
        <item m="1" x="1738"/>
        <item m="1" x="1739"/>
        <item m="1" x="1735"/>
        <item m="1" x="1736"/>
        <item m="1" x="1179"/>
        <item m="1" x="1180"/>
        <item m="1" x="1385"/>
        <item m="1" x="1804"/>
        <item m="1" x="1386"/>
        <item m="1" x="1387"/>
        <item m="1" x="1388"/>
        <item m="1" x="1740"/>
        <item m="1" x="1750"/>
        <item m="1" x="1751"/>
        <item m="1" x="1749"/>
        <item m="1" x="1752"/>
        <item m="1" x="1753"/>
        <item m="1" x="1754"/>
        <item m="1" x="1755"/>
        <item m="1" x="1200"/>
        <item m="1" x="1402"/>
        <item m="1" x="1197"/>
        <item m="1" x="1198"/>
        <item m="1" x="1199"/>
        <item m="1" x="1805"/>
        <item m="1" x="1806"/>
        <item m="1" x="1807"/>
        <item m="1" x="1808"/>
        <item m="1" x="1742"/>
        <item m="1" x="1195"/>
        <item m="1" x="1743"/>
        <item m="1" x="1203"/>
        <item m="1" x="1204"/>
        <item m="1" x="1206"/>
        <item m="1" x="1809"/>
        <item m="1" x="1810"/>
        <item m="1" x="1393"/>
        <item m="1" x="1392"/>
        <item m="1" x="1208"/>
        <item m="1" x="1391"/>
        <item m="1" x="1811"/>
        <item m="1" x="1812"/>
        <item m="1" x="1813"/>
        <item m="1" x="1209"/>
        <item m="1" x="1207"/>
        <item m="1" x="1814"/>
        <item m="1" x="1815"/>
        <item m="1" x="1403"/>
        <item m="1" x="1816"/>
        <item m="1" x="1396"/>
        <item m="1" x="1397"/>
        <item m="1" x="1390"/>
        <item m="1" x="1056"/>
        <item m="1" x="1055"/>
        <item m="1" x="1398"/>
        <item m="1" x="1399"/>
        <item m="1" x="1211"/>
        <item m="1" x="1817"/>
        <item m="1" x="1186"/>
        <item m="1" x="1187"/>
        <item m="1" x="1188"/>
        <item m="1" x="1182"/>
        <item m="1" x="1401"/>
        <item m="1" x="1210"/>
        <item m="1" x="1190"/>
        <item m="1" x="1191"/>
        <item m="1" x="1758"/>
        <item m="1" x="1759"/>
        <item m="1" x="1818"/>
        <item m="1" x="1819"/>
        <item m="1" x="1820"/>
        <item m="1" x="1821"/>
        <item m="1" x="1405"/>
        <item m="1" x="1407"/>
        <item m="1" x="1822"/>
        <item m="1" x="1760"/>
        <item m="1" x="1216"/>
        <item m="1" x="1215"/>
        <item m="1" x="1408"/>
        <item m="1" x="1824"/>
        <item m="1" x="1213"/>
        <item m="1" x="1409"/>
        <item m="1" x="1410"/>
        <item m="1" x="1825"/>
        <item m="1" x="1219"/>
        <item m="1" x="1221"/>
        <item m="1" x="1411"/>
        <item m="1" x="1225"/>
        <item m="1" x="1412"/>
        <item m="1" x="1826"/>
        <item m="1" x="1226"/>
        <item m="1" x="1227"/>
        <item m="1" x="1228"/>
        <item m="1" x="1827"/>
        <item m="1" x="1229"/>
        <item m="1" x="1230"/>
        <item m="1" x="1231"/>
        <item m="1" x="1239"/>
        <item m="1" x="1240"/>
        <item m="1" x="1413"/>
        <item m="1" x="1241"/>
        <item m="1" x="1242"/>
        <item m="1" x="1828"/>
        <item m="1" x="1243"/>
        <item m="1" x="1414"/>
        <item m="1" x="1415"/>
        <item m="1" x="1416"/>
        <item m="1" x="1417"/>
        <item m="1" x="1418"/>
        <item m="1" x="1762"/>
        <item m="1" x="1419"/>
        <item m="1" x="1829"/>
        <item m="1" x="703"/>
        <item m="1" x="1424"/>
        <item m="1" x="1423"/>
        <item m="1" x="1830"/>
        <item m="1" x="1831"/>
        <item m="1" x="1832"/>
        <item m="1" x="1833"/>
        <item m="1" x="1834"/>
        <item m="1" x="1038"/>
        <item m="1" x="1248"/>
        <item m="1" x="1420"/>
        <item m="1" x="1421"/>
        <item m="1" x="1422"/>
        <item m="1" x="1249"/>
        <item m="1" x="1835"/>
        <item m="1" x="1836"/>
        <item m="1" x="1837"/>
        <item m="1" x="1431"/>
        <item m="1" x="1430"/>
        <item m="1" x="1428"/>
        <item m="1" x="1426"/>
        <item m="1" x="1247"/>
        <item m="1" x="1246"/>
        <item m="1" x="1427"/>
        <item m="1" x="1429"/>
        <item m="1" x="1245"/>
        <item m="1" x="1425"/>
        <item m="1" x="1432"/>
        <item m="1" x="1251"/>
        <item m="1" x="1433"/>
        <item m="1" x="1257"/>
        <item m="1" x="1256"/>
        <item m="1" x="1254"/>
        <item m="1" x="1253"/>
        <item m="1" x="1258"/>
        <item m="1" x="1259"/>
        <item m="1" x="1434"/>
        <item m="1" x="1435"/>
        <item m="1" x="1436"/>
        <item m="1" x="1437"/>
        <item m="1" x="1769"/>
        <item m="1" x="1261"/>
        <item m="1" x="1438"/>
        <item m="1" x="1262"/>
        <item m="1" x="1439"/>
        <item m="1" x="1440"/>
        <item m="1" x="1770"/>
        <item m="1" x="1441"/>
        <item m="1" x="1442"/>
        <item m="1" x="1772"/>
        <item m="1" x="1773"/>
        <item m="1" x="1263"/>
        <item m="1" x="1443"/>
        <item m="1" x="1838"/>
        <item m="1" x="1774"/>
        <item m="1" x="1444"/>
        <item m="1" x="1445"/>
        <item m="1" x="1839"/>
        <item m="1" x="1840"/>
        <item m="1" x="1841"/>
        <item m="1" x="1842"/>
        <item m="1" x="1264"/>
        <item m="1" x="1446"/>
        <item m="1" x="1448"/>
        <item m="1" x="1450"/>
        <item m="1" x="1449"/>
        <item m="1" x="1451"/>
        <item m="1" x="1265"/>
        <item m="1" x="1452"/>
        <item m="1" x="1454"/>
        <item m="1" x="1455"/>
        <item m="1" x="1267"/>
        <item m="1" x="1268"/>
        <item m="1" x="1276"/>
        <item m="1" x="1274"/>
        <item m="1" x="1275"/>
        <item m="1" x="1462"/>
        <item m="1" x="1277"/>
        <item m="1" x="1278"/>
        <item m="1" x="1279"/>
        <item m="1" x="1674"/>
        <item m="1" x="1469"/>
        <item m="1" x="1470"/>
        <item m="1" x="1467"/>
        <item m="1" x="1293"/>
        <item m="1" x="1294"/>
        <item m="1" x="1485"/>
        <item m="1" x="1295"/>
        <item m="1" x="1677"/>
        <item m="1" x="1678"/>
        <item m="1" x="1680"/>
        <item m="1" x="1681"/>
        <item m="1" x="1302"/>
        <item m="1" x="1688"/>
        <item m="1" x="1689"/>
        <item m="1" x="1690"/>
        <item m="1" x="1694"/>
        <item m="1" x="1695"/>
        <item m="1" x="1308"/>
        <item m="1" x="1698"/>
        <item m="1" x="1699"/>
        <item m="1" x="1307"/>
        <item m="1" x="1306"/>
        <item m="1" x="1701"/>
        <item m="1" x="1702"/>
        <item m="1" x="1703"/>
        <item m="1" x="1704"/>
        <item m="1" x="1705"/>
        <item m="1" x="1496"/>
        <item m="1" x="1497"/>
        <item m="1" x="1508"/>
        <item m="1" x="1514"/>
        <item m="1" x="1515"/>
        <item m="1" x="1706"/>
        <item m="1" x="1707"/>
        <item m="1" x="1708"/>
        <item m="1" x="1718"/>
        <item m="1" x="963"/>
        <item m="1" x="1313"/>
        <item m="1" x="1314"/>
        <item m="1" x="1320"/>
        <item m="1" x="1521"/>
        <item m="1" x="1539"/>
        <item m="1" x="1720"/>
        <item m="1" x="1530"/>
        <item m="1" x="1331"/>
        <item m="1" x="1533"/>
        <item m="1" x="1337"/>
        <item m="1" x="1360"/>
        <item m="1" x="1727"/>
        <item m="1" x="1361"/>
        <item m="1" x="1357"/>
        <item m="1" x="1356"/>
        <item m="1" x="1543"/>
        <item m="1" x="1541"/>
        <item m="1" x="1542"/>
        <item m="1" x="1358"/>
        <item m="1" x="1544"/>
        <item m="1" x="1545"/>
        <item m="1" x="1554"/>
        <item m="1" x="1566"/>
        <item m="1" x="1367"/>
        <item m="1" x="1657"/>
        <item m="1" x="1664"/>
        <item m="1" x="1369"/>
        <item m="1" x="1729"/>
        <item m="1" x="1662"/>
        <item m="1" x="1731"/>
        <item m="1" x="1733"/>
        <item m="1" x="1734"/>
        <item m="1" x="1384"/>
        <item m="1" x="1589"/>
        <item m="1" x="1389"/>
        <item m="1" x="1744"/>
        <item m="1" x="1745"/>
        <item m="1" x="1746"/>
        <item m="1" x="1747"/>
        <item m="1" x="1602"/>
        <item m="1" x="1756"/>
        <item m="1" x="1395"/>
        <item m="1" x="1394"/>
        <item m="1" x="1599"/>
        <item m="1" x="1757"/>
        <item m="1" x="1400"/>
        <item m="1" x="1668"/>
        <item m="1" x="1406"/>
        <item m="1" x="1404"/>
        <item m="1" x="1761"/>
        <item m="1" x="1619"/>
        <item m="1" x="1623"/>
        <item m="1" x="1763"/>
        <item m="1" x="1764"/>
        <item m="1" x="1765"/>
        <item m="1" x="1629"/>
        <item m="1" x="1766"/>
        <item m="1" x="1633"/>
        <item m="1" x="1636"/>
        <item m="1" x="1768"/>
        <item m="1" x="1771"/>
        <item m="1" x="1447"/>
        <item m="1" x="1644"/>
        <item m="1" x="1453"/>
        <item m="1" x="1298"/>
        <item m="1" x="1456"/>
        <item m="1" x="1457"/>
        <item m="1" x="1458"/>
        <item m="1" x="1459"/>
        <item m="1" x="1460"/>
        <item m="1" x="1461"/>
        <item m="1" x="1463"/>
        <item m="1" x="1464"/>
        <item m="1" x="1465"/>
        <item m="1" x="1466"/>
        <item m="1" x="1468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9"/>
        <item m="1" x="1510"/>
        <item m="1" x="1511"/>
        <item m="1" x="1512"/>
        <item m="1" x="1513"/>
        <item m="1" x="1516"/>
        <item m="1" x="1517"/>
        <item m="1" x="1518"/>
        <item m="1" x="1519"/>
        <item m="1" x="1520"/>
        <item m="1" x="1522"/>
        <item m="1" x="1523"/>
        <item m="1" x="1524"/>
        <item m="1" x="1525"/>
        <item m="1" x="1526"/>
        <item m="1" x="1527"/>
        <item m="1" x="1528"/>
        <item m="1" x="1529"/>
        <item m="1" x="1531"/>
        <item m="1" x="1532"/>
        <item m="1" x="1534"/>
        <item m="1" x="1535"/>
        <item m="1" x="1536"/>
        <item m="1" x="1537"/>
        <item m="1" x="1538"/>
        <item m="1" x="1540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600"/>
        <item m="1" x="1601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20"/>
        <item m="1" x="1621"/>
        <item m="1" x="1622"/>
        <item m="1" x="1624"/>
        <item m="1" x="1625"/>
        <item m="1" x="1626"/>
        <item m="1" x="1627"/>
        <item m="1" x="1628"/>
        <item m="1" x="1630"/>
        <item m="1" x="1631"/>
        <item m="1" x="1632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8"/>
        <item m="1" x="1659"/>
        <item m="1" x="1660"/>
        <item m="1" x="1661"/>
        <item m="1" x="1663"/>
        <item m="1" x="1665"/>
        <item m="1" x="1666"/>
        <item m="1" x="1667"/>
        <item m="1" x="1669"/>
        <item m="1" x="1670"/>
        <item m="1" x="1671"/>
        <item m="1" x="1672"/>
        <item m="1" x="1673"/>
        <item m="1" x="848"/>
        <item m="1" x="849"/>
        <item m="1" x="850"/>
        <item m="1" x="646"/>
        <item m="1" x="647"/>
        <item x="6"/>
        <item m="1" x="651"/>
        <item m="1" x="851"/>
        <item m="1" x="652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538"/>
        <item m="1" x="653"/>
        <item m="1" x="884"/>
        <item m="1" x="885"/>
        <item m="1" x="546"/>
        <item m="1" x="886"/>
        <item x="14"/>
        <item m="1" x="671"/>
        <item m="1" x="662"/>
        <item m="1" x="654"/>
        <item m="1" x="542"/>
        <item m="1" x="887"/>
        <item m="1" x="550"/>
        <item m="1" x="888"/>
        <item m="1" x="889"/>
        <item m="1" x="890"/>
        <item m="1" x="668"/>
        <item m="1" x="891"/>
        <item m="1" x="892"/>
        <item m="1" x="893"/>
        <item m="1" x="670"/>
        <item m="1" x="894"/>
        <item m="1" x="678"/>
        <item m="1" x="677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76"/>
        <item m="1" x="904"/>
        <item m="1" x="672"/>
        <item m="1" x="905"/>
        <item m="1" x="673"/>
        <item m="1" x="679"/>
        <item m="1" x="906"/>
        <item x="43"/>
        <item m="1" x="680"/>
        <item m="1" x="907"/>
        <item m="1" x="908"/>
        <item m="1" x="909"/>
        <item m="1" x="910"/>
        <item m="1" x="674"/>
        <item m="1" x="675"/>
        <item m="1" x="911"/>
        <item x="61"/>
        <item x="62"/>
        <item x="63"/>
        <item m="1" x="568"/>
        <item m="1" x="569"/>
        <item x="57"/>
        <item m="1" x="699"/>
        <item m="1" x="696"/>
        <item m="1" x="912"/>
        <item m="1" x="707"/>
        <item m="1" x="704"/>
        <item x="65"/>
        <item x="67"/>
        <item m="1" x="913"/>
        <item m="1" x="914"/>
        <item m="1" x="714"/>
        <item m="1" x="715"/>
        <item m="1" x="716"/>
        <item m="1" x="915"/>
        <item m="1" x="710"/>
        <item m="1" x="711"/>
        <item m="1" x="916"/>
        <item m="1" x="917"/>
        <item m="1" x="918"/>
        <item m="1" x="919"/>
        <item m="1" x="920"/>
        <item m="1" x="717"/>
        <item m="1" x="921"/>
        <item m="1" x="579"/>
        <item m="1" x="576"/>
        <item m="1" x="575"/>
        <item x="72"/>
        <item m="1" x="577"/>
        <item m="1" x="578"/>
        <item m="1" x="922"/>
        <item m="1" x="923"/>
        <item m="1" x="924"/>
        <item m="1" x="587"/>
        <item m="1" x="731"/>
        <item m="1" x="925"/>
        <item x="85"/>
        <item m="1" x="926"/>
        <item m="1" x="927"/>
        <item m="1" x="928"/>
        <item m="1" x="929"/>
        <item m="1" x="719"/>
        <item x="96"/>
        <item m="1" x="720"/>
        <item m="1" x="718"/>
        <item x="97"/>
        <item m="1" x="589"/>
        <item m="1" x="930"/>
        <item m="1" x="931"/>
        <item m="1" x="726"/>
        <item m="1" x="727"/>
        <item m="1" x="728"/>
        <item m="1" x="729"/>
        <item x="110"/>
        <item x="111"/>
        <item x="112"/>
        <item x="114"/>
        <item x="122"/>
        <item m="1" x="932"/>
        <item m="1" x="933"/>
        <item m="1" x="934"/>
        <item m="1" x="935"/>
        <item m="1" x="936"/>
        <item m="1" x="937"/>
        <item m="1" x="733"/>
        <item m="1" x="735"/>
        <item m="1" x="938"/>
        <item m="1" x="737"/>
        <item m="1" x="738"/>
        <item m="1" x="739"/>
        <item m="1" x="939"/>
        <item m="1" x="940"/>
        <item m="1" x="941"/>
        <item m="1" x="742"/>
        <item x="141"/>
        <item x="139"/>
        <item m="1" x="743"/>
        <item m="1" x="744"/>
        <item m="1" x="745"/>
        <item x="144"/>
        <item m="1" x="752"/>
        <item m="1" x="755"/>
        <item m="1" x="756"/>
        <item m="1" x="757"/>
        <item m="1" x="758"/>
        <item m="1" x="942"/>
        <item m="1" x="753"/>
        <item m="1" x="762"/>
        <item m="1" x="759"/>
        <item m="1" x="760"/>
        <item m="1" x="764"/>
        <item m="1" x="765"/>
        <item m="1" x="766"/>
        <item m="1" x="767"/>
        <item m="1" x="943"/>
        <item x="159"/>
        <item x="160"/>
        <item m="1" x="944"/>
        <item m="1" x="945"/>
        <item m="1" x="946"/>
        <item x="163"/>
        <item m="1" x="947"/>
        <item m="1" x="948"/>
        <item m="1" x="773"/>
        <item m="1" x="949"/>
        <item m="1" x="950"/>
        <item m="1" x="951"/>
        <item m="1" x="952"/>
        <item m="1" x="953"/>
        <item m="1" x="954"/>
        <item m="1" x="770"/>
        <item m="1" x="955"/>
        <item m="1" x="956"/>
        <item m="1" x="957"/>
        <item m="1" x="774"/>
        <item m="1" x="958"/>
        <item m="1" x="959"/>
        <item m="1" x="775"/>
        <item m="1" x="960"/>
        <item m="1" x="961"/>
        <item m="1" x="962"/>
        <item m="1" x="777"/>
        <item x="231"/>
        <item x="232"/>
        <item x="237"/>
        <item x="235"/>
        <item x="236"/>
        <item m="1" x="964"/>
        <item m="1" x="965"/>
        <item m="1" x="966"/>
        <item x="185"/>
        <item x="192"/>
        <item x="193"/>
        <item x="194"/>
        <item x="186"/>
        <item x="187"/>
        <item x="188"/>
        <item x="189"/>
        <item x="190"/>
        <item x="191"/>
        <item x="195"/>
        <item x="207"/>
        <item x="208"/>
        <item x="209"/>
        <item x="210"/>
        <item x="211"/>
        <item x="212"/>
        <item x="213"/>
        <item x="214"/>
        <item x="215"/>
        <item x="216"/>
        <item x="196"/>
        <item x="197"/>
        <item x="198"/>
        <item x="199"/>
        <item x="200"/>
        <item x="201"/>
        <item x="202"/>
        <item x="203"/>
        <item x="204"/>
        <item x="205"/>
        <item m="1" x="967"/>
        <item m="1" x="968"/>
        <item m="1" x="969"/>
        <item m="1" x="970"/>
        <item m="1" x="971"/>
        <item m="1" x="972"/>
        <item m="1" x="973"/>
        <item m="1" x="974"/>
        <item m="1" x="783"/>
        <item m="1" x="782"/>
        <item x="249"/>
        <item x="250"/>
        <item m="1" x="620"/>
        <item m="1" x="619"/>
        <item m="1" x="975"/>
        <item m="1" x="976"/>
        <item m="1" x="977"/>
        <item m="1" x="618"/>
        <item m="1" x="978"/>
        <item m="1" x="613"/>
        <item m="1" x="612"/>
        <item m="1" x="615"/>
        <item x="251"/>
        <item m="1" x="614"/>
        <item m="1" x="979"/>
        <item m="1" x="980"/>
        <item m="1" x="981"/>
        <item m="1" x="800"/>
        <item m="1" x="982"/>
        <item m="1" x="983"/>
        <item m="1" x="789"/>
        <item m="1" x="794"/>
        <item x="254"/>
        <item m="1" x="806"/>
        <item m="1" x="805"/>
        <item x="282"/>
        <item x="286"/>
        <item x="288"/>
        <item m="1" x="625"/>
        <item m="1" x="984"/>
        <item x="287"/>
        <item m="1" x="985"/>
        <item m="1" x="986"/>
        <item m="1" x="814"/>
        <item m="1" x="815"/>
        <item x="292"/>
        <item x="293"/>
        <item m="1" x="987"/>
        <item m="1" x="816"/>
        <item m="1" x="988"/>
        <item m="1" x="989"/>
        <item m="1" x="990"/>
        <item m="1" x="991"/>
        <item m="1" x="817"/>
        <item m="1" x="992"/>
        <item m="1" x="993"/>
        <item m="1" x="818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627"/>
        <item m="1" x="1003"/>
        <item m="1" x="819"/>
        <item m="1" x="820"/>
        <item m="1" x="1004"/>
        <item m="1" x="1005"/>
        <item m="1" x="1006"/>
        <item m="1" x="1007"/>
        <item m="1" x="1008"/>
        <item m="1" x="1009"/>
        <item x="321"/>
        <item x="320"/>
        <item m="1" x="821"/>
        <item x="323"/>
        <item x="324"/>
        <item m="1" x="1010"/>
        <item x="325"/>
        <item m="1" x="825"/>
        <item m="1" x="1011"/>
        <item m="1" x="1012"/>
        <item m="1" x="1013"/>
        <item m="1" x="1014"/>
        <item m="1" x="1015"/>
        <item m="1" x="630"/>
        <item m="1" x="631"/>
        <item m="1" x="831"/>
        <item m="1" x="827"/>
        <item m="1" x="828"/>
        <item m="1" x="829"/>
        <item m="1" x="830"/>
        <item x="333"/>
        <item m="1" x="832"/>
        <item m="1" x="1016"/>
        <item m="1" x="1017"/>
        <item m="1" x="1018"/>
        <item m="1" x="1019"/>
        <item x="332"/>
        <item m="1" x="1020"/>
        <item m="1" x="1021"/>
        <item m="1" x="1022"/>
        <item m="1" x="1023"/>
        <item m="1" x="1024"/>
        <item m="1" x="1025"/>
        <item m="1" x="1026"/>
        <item m="1" x="833"/>
        <item m="1" x="834"/>
        <item x="345"/>
        <item m="1" x="835"/>
        <item m="1" x="836"/>
        <item m="1" x="1027"/>
        <item m="1" x="1028"/>
        <item m="1" x="1029"/>
        <item m="1" x="638"/>
        <item m="1" x="515"/>
        <item x="348"/>
        <item m="1" x="514"/>
        <item m="1" x="519"/>
        <item m="1" x="518"/>
        <item m="1" x="635"/>
        <item m="1" x="517"/>
        <item m="1" x="1030"/>
        <item m="1" x="1031"/>
        <item m="1" x="641"/>
        <item m="1" x="642"/>
        <item x="349"/>
        <item m="1" x="516"/>
        <item m="1" x="513"/>
        <item m="1" x="1032"/>
        <item m="1" x="1033"/>
        <item m="1" x="1034"/>
        <item m="1" x="841"/>
        <item m="1" x="847"/>
        <item m="1" x="845"/>
        <item m="1" x="846"/>
        <item m="1" x="532"/>
        <item m="1" x="644"/>
        <item m="1" x="645"/>
        <item x="2"/>
        <item x="7"/>
        <item m="1" x="648"/>
        <item m="1" x="649"/>
        <item m="1" x="650"/>
        <item m="1" x="541"/>
        <item m="1" x="655"/>
        <item m="1" x="656"/>
        <item m="1" x="657"/>
        <item m="1" x="658"/>
        <item m="1" x="659"/>
        <item m="1" x="660"/>
        <item m="1" x="661"/>
        <item m="1" x="385"/>
        <item m="1" x="663"/>
        <item m="1" x="664"/>
        <item m="1" x="549"/>
        <item m="1" x="665"/>
        <item m="1" x="666"/>
        <item m="1" x="388"/>
        <item m="1" x="667"/>
        <item m="1" x="551"/>
        <item m="1" x="669"/>
        <item m="1" x="55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565"/>
        <item m="1" x="695"/>
        <item m="1" x="697"/>
        <item m="1" x="698"/>
        <item m="1" x="700"/>
        <item m="1" x="567"/>
        <item m="1" x="701"/>
        <item m="1" x="702"/>
        <item m="1" x="571"/>
        <item m="1" x="572"/>
        <item m="1" x="573"/>
        <item m="1" x="705"/>
        <item m="1" x="706"/>
        <item m="1" x="708"/>
        <item m="1" x="709"/>
        <item m="1" x="712"/>
        <item m="1" x="713"/>
        <item m="1" x="580"/>
        <item m="1" x="581"/>
        <item m="1" x="582"/>
        <item m="1" x="584"/>
        <item m="1" x="585"/>
        <item x="70"/>
        <item x="71"/>
        <item m="1" x="583"/>
        <item m="1" x="721"/>
        <item x="103"/>
        <item m="1" x="722"/>
        <item m="1" x="723"/>
        <item m="1" x="588"/>
        <item m="1" x="724"/>
        <item m="1" x="725"/>
        <item x="105"/>
        <item m="1" x="730"/>
        <item m="1" x="591"/>
        <item x="88"/>
        <item x="89"/>
        <item m="1" x="732"/>
        <item x="109"/>
        <item m="1" x="734"/>
        <item x="125"/>
        <item m="1" x="736"/>
        <item x="129"/>
        <item m="1" x="740"/>
        <item m="1" x="604"/>
        <item m="1" x="601"/>
        <item x="140"/>
        <item m="1" x="741"/>
        <item m="1" x="746"/>
        <item m="1" x="747"/>
        <item x="152"/>
        <item m="1" x="748"/>
        <item m="1" x="749"/>
        <item x="155"/>
        <item m="1" x="750"/>
        <item m="1" x="751"/>
        <item m="1" x="761"/>
        <item m="1" x="763"/>
        <item m="1" x="768"/>
        <item x="164"/>
        <item x="165"/>
        <item m="1" x="771"/>
        <item m="1" x="772"/>
        <item x="181"/>
        <item m="1" x="776"/>
        <item m="1" x="778"/>
        <item m="1" x="779"/>
        <item m="1" x="780"/>
        <item x="217"/>
        <item x="218"/>
        <item m="1" x="781"/>
        <item x="219"/>
        <item x="234"/>
        <item x="233"/>
        <item x="230"/>
        <item x="229"/>
        <item m="1" x="611"/>
        <item m="1" x="784"/>
        <item m="1" x="785"/>
        <item m="1" x="786"/>
        <item m="1" x="787"/>
        <item x="253"/>
        <item m="1" x="623"/>
        <item m="1" x="481"/>
        <item m="1" x="788"/>
        <item x="260"/>
        <item m="1" x="790"/>
        <item m="1" x="791"/>
        <item m="1" x="792"/>
        <item x="255"/>
        <item m="1" x="793"/>
        <item m="1" x="795"/>
        <item m="1" x="796"/>
        <item m="1" x="797"/>
        <item m="1" x="798"/>
        <item m="1" x="799"/>
        <item m="1" x="801"/>
        <item m="1" x="802"/>
        <item m="1" x="803"/>
        <item m="1" x="804"/>
        <item m="1" x="476"/>
        <item m="1" x="807"/>
        <item m="1" x="808"/>
        <item m="1" x="809"/>
        <item x="284"/>
        <item x="285"/>
        <item m="1" x="810"/>
        <item m="1" x="811"/>
        <item m="1" x="812"/>
        <item m="1" x="813"/>
        <item x="302"/>
        <item x="306"/>
        <item x="303"/>
        <item x="307"/>
        <item x="311"/>
        <item m="1" x="629"/>
        <item x="312"/>
        <item m="1" x="822"/>
        <item m="1" x="823"/>
        <item m="1" x="824"/>
        <item x="315"/>
        <item m="1" x="826"/>
        <item x="338"/>
        <item m="1" x="837"/>
        <item m="1" x="512"/>
        <item m="1" x="636"/>
        <item m="1" x="637"/>
        <item m="1" x="838"/>
        <item m="1" x="839"/>
        <item m="1" x="840"/>
        <item x="357"/>
        <item x="358"/>
        <item x="359"/>
        <item m="1" x="842"/>
        <item m="1" x="843"/>
        <item m="1" x="844"/>
        <item x="0"/>
        <item m="1" x="533"/>
        <item m="1" x="534"/>
        <item m="1" x="535"/>
        <item m="1" x="536"/>
        <item m="1" x="537"/>
        <item x="12"/>
        <item x="13"/>
        <item m="1" x="539"/>
        <item m="1" x="540"/>
        <item m="1" x="543"/>
        <item m="1" x="544"/>
        <item m="1" x="545"/>
        <item m="1" x="547"/>
        <item m="1" x="548"/>
        <item m="1" x="552"/>
        <item m="1" x="553"/>
        <item m="1" x="555"/>
        <item m="1" x="556"/>
        <item m="1" x="557"/>
        <item m="1" x="558"/>
        <item x="27"/>
        <item m="1" x="559"/>
        <item m="1" x="412"/>
        <item m="1" x="413"/>
        <item m="1" x="560"/>
        <item m="1" x="561"/>
        <item m="1" x="409"/>
        <item m="1" x="562"/>
        <item m="1" x="563"/>
        <item m="1" x="564"/>
        <item x="60"/>
        <item m="1" x="566"/>
        <item m="1" x="570"/>
        <item m="1" x="574"/>
        <item m="1" x="428"/>
        <item m="1" x="586"/>
        <item m="1" x="432"/>
        <item m="1" x="437"/>
        <item m="1" x="438"/>
        <item x="99"/>
        <item x="98"/>
        <item x="100"/>
        <item x="86"/>
        <item x="101"/>
        <item m="1" x="590"/>
        <item m="1" x="433"/>
        <item m="1" x="434"/>
        <item x="108"/>
        <item m="1" x="592"/>
        <item m="1" x="442"/>
        <item x="119"/>
        <item m="1" x="593"/>
        <item m="1" x="594"/>
        <item m="1" x="595"/>
        <item m="1" x="596"/>
        <item m="1" x="597"/>
        <item x="135"/>
        <item m="1" x="598"/>
        <item m="1" x="599"/>
        <item m="1" x="600"/>
        <item m="1" x="602"/>
        <item m="1" x="603"/>
        <item x="142"/>
        <item x="148"/>
        <item x="149"/>
        <item x="150"/>
        <item x="151"/>
        <item m="1" x="605"/>
        <item m="1" x="456"/>
        <item m="1" x="454"/>
        <item m="1" x="455"/>
        <item m="1" x="453"/>
        <item m="1" x="460"/>
        <item m="1" x="461"/>
        <item x="166"/>
        <item x="167"/>
        <item m="1" x="606"/>
        <item m="1" x="607"/>
        <item m="1" x="608"/>
        <item m="1" x="610"/>
        <item m="1" x="469"/>
        <item m="1" x="471"/>
        <item x="221"/>
        <item x="242"/>
        <item x="243"/>
        <item m="1" x="616"/>
        <item m="1" x="617"/>
        <item m="1" x="621"/>
        <item x="277"/>
        <item m="1" x="622"/>
        <item x="272"/>
        <item m="1" x="483"/>
        <item m="1" x="482"/>
        <item m="1" x="624"/>
        <item x="261"/>
        <item x="265"/>
        <item m="1" x="626"/>
        <item x="294"/>
        <item x="296"/>
        <item x="308"/>
        <item m="1" x="628"/>
        <item x="313"/>
        <item m="1" x="493"/>
        <item m="1" x="494"/>
        <item m="1" x="495"/>
        <item m="1" x="497"/>
        <item m="1" x="498"/>
        <item m="1" x="506"/>
        <item m="1" x="507"/>
        <item m="1" x="508"/>
        <item m="1" x="509"/>
        <item m="1" x="510"/>
        <item x="331"/>
        <item x="335"/>
        <item x="339"/>
        <item x="340"/>
        <item x="341"/>
        <item x="342"/>
        <item x="343"/>
        <item x="344"/>
        <item m="1" x="632"/>
        <item m="1" x="633"/>
        <item m="1" x="634"/>
        <item m="1" x="520"/>
        <item m="1" x="521"/>
        <item m="1" x="639"/>
        <item m="1" x="640"/>
        <item m="1" x="643"/>
        <item m="1" x="523"/>
        <item m="1" x="525"/>
        <item m="1" x="526"/>
        <item m="1" x="527"/>
        <item m="1" x="528"/>
        <item m="1" x="529"/>
        <item m="1" x="530"/>
        <item x="374"/>
        <item x="375"/>
        <item m="1" x="524"/>
        <item x="1"/>
        <item m="1" x="378"/>
        <item x="5"/>
        <item m="1" x="379"/>
        <item m="1" x="380"/>
        <item m="1" x="381"/>
        <item m="1" x="382"/>
        <item m="1" x="383"/>
        <item x="17"/>
        <item m="1" x="384"/>
        <item x="15"/>
        <item m="1" x="386"/>
        <item m="1" x="387"/>
        <item m="1" x="389"/>
        <item m="1" x="390"/>
        <item m="1" x="391"/>
        <item m="1" x="392"/>
        <item m="1" x="393"/>
        <item x="39"/>
        <item m="1" x="394"/>
        <item x="40"/>
        <item m="1" x="395"/>
        <item m="1" x="396"/>
        <item m="1" x="397"/>
        <item m="1" x="398"/>
        <item x="41"/>
        <item x="42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x="29"/>
        <item m="1" x="410"/>
        <item m="1" x="411"/>
        <item m="1" x="414"/>
        <item m="1" x="415"/>
        <item m="1" x="416"/>
        <item x="34"/>
        <item x="35"/>
        <item m="1" x="417"/>
        <item m="1" x="418"/>
        <item x="2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66"/>
        <item m="1" x="429"/>
        <item m="1" x="430"/>
        <item m="1" x="431"/>
        <item x="102"/>
        <item x="87"/>
        <item x="81"/>
        <item x="82"/>
        <item m="1" x="435"/>
        <item m="1" x="436"/>
        <item x="91"/>
        <item m="1" x="439"/>
        <item m="1" x="440"/>
        <item m="1" x="441"/>
        <item x="115"/>
        <item x="116"/>
        <item x="117"/>
        <item x="123"/>
        <item m="1" x="443"/>
        <item x="124"/>
        <item m="1" x="444"/>
        <item m="1" x="445"/>
        <item x="132"/>
        <item x="128"/>
        <item x="134"/>
        <item m="1" x="446"/>
        <item m="1" x="447"/>
        <item m="1" x="448"/>
        <item m="1" x="449"/>
        <item m="1" x="450"/>
        <item m="1" x="451"/>
        <item m="1" x="452"/>
        <item x="137"/>
        <item x="138"/>
        <item x="143"/>
        <item m="1" x="457"/>
        <item x="154"/>
        <item m="1" x="458"/>
        <item m="1" x="459"/>
        <item x="158"/>
        <item m="1" x="462"/>
        <item m="1" x="463"/>
        <item m="1" x="464"/>
        <item m="1" x="465"/>
        <item m="1" x="466"/>
        <item x="180"/>
        <item m="1" x="467"/>
        <item m="1" x="468"/>
        <item m="1" x="470"/>
        <item x="227"/>
        <item x="228"/>
        <item x="224"/>
        <item x="226"/>
        <item x="244"/>
        <item m="1" x="472"/>
        <item m="1" x="473"/>
        <item m="1" x="474"/>
        <item m="1" x="475"/>
        <item m="1" x="477"/>
        <item x="264"/>
        <item x="269"/>
        <item x="266"/>
        <item x="267"/>
        <item x="268"/>
        <item m="1" x="478"/>
        <item x="273"/>
        <item m="1" x="479"/>
        <item m="1" x="480"/>
        <item x="258"/>
        <item x="256"/>
        <item x="257"/>
        <item x="259"/>
        <item m="1" x="484"/>
        <item m="1" x="485"/>
        <item m="1" x="486"/>
        <item m="1" x="487"/>
        <item m="1" x="488"/>
        <item m="1" x="489"/>
        <item x="291"/>
        <item m="1" x="490"/>
        <item m="1" x="491"/>
        <item x="295"/>
        <item x="297"/>
        <item m="1" x="492"/>
        <item x="314"/>
        <item m="1" x="496"/>
        <item x="322"/>
        <item m="1" x="499"/>
        <item x="326"/>
        <item m="1" x="500"/>
        <item m="1" x="501"/>
        <item m="1" x="502"/>
        <item m="1" x="503"/>
        <item x="330"/>
        <item m="1" x="504"/>
        <item m="1" x="505"/>
        <item m="1" x="511"/>
        <item x="351"/>
        <item m="1" x="522"/>
        <item x="354"/>
        <item x="356"/>
        <item x="371"/>
        <item x="372"/>
        <item x="373"/>
        <item m="1" x="531"/>
        <item x="3"/>
        <item x="4"/>
        <item x="8"/>
        <item x="9"/>
        <item x="10"/>
        <item x="16"/>
        <item x="18"/>
        <item x="19"/>
        <item x="20"/>
        <item x="21"/>
        <item x="22"/>
        <item x="23"/>
        <item x="24"/>
        <item x="25"/>
        <item x="26"/>
        <item x="30"/>
        <item x="31"/>
        <item x="32"/>
        <item x="33"/>
        <item x="36"/>
        <item x="37"/>
        <item x="3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4"/>
        <item x="68"/>
        <item x="69"/>
        <item x="73"/>
        <item x="74"/>
        <item x="75"/>
        <item x="76"/>
        <item x="77"/>
        <item x="78"/>
        <item x="79"/>
        <item x="80"/>
        <item x="83"/>
        <item x="84"/>
        <item x="90"/>
        <item x="92"/>
        <item x="93"/>
        <item x="94"/>
        <item x="95"/>
        <item x="104"/>
        <item x="106"/>
        <item x="107"/>
        <item x="113"/>
        <item x="118"/>
        <item x="120"/>
        <item x="121"/>
        <item x="126"/>
        <item x="127"/>
        <item x="130"/>
        <item x="131"/>
        <item x="133"/>
        <item x="136"/>
        <item x="145"/>
        <item x="146"/>
        <item x="147"/>
        <item x="153"/>
        <item x="156"/>
        <item x="157"/>
        <item x="161"/>
        <item x="162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2"/>
        <item x="183"/>
        <item x="184"/>
        <item x="220"/>
        <item x="222"/>
        <item x="223"/>
        <item x="225"/>
        <item x="238"/>
        <item x="239"/>
        <item x="240"/>
        <item x="241"/>
        <item x="245"/>
        <item x="246"/>
        <item x="247"/>
        <item x="248"/>
        <item x="252"/>
        <item x="262"/>
        <item x="263"/>
        <item x="270"/>
        <item x="271"/>
        <item x="274"/>
        <item x="275"/>
        <item x="276"/>
        <item x="278"/>
        <item x="279"/>
        <item x="280"/>
        <item x="281"/>
        <item x="283"/>
        <item x="289"/>
        <item x="290"/>
        <item x="298"/>
        <item x="299"/>
        <item x="300"/>
        <item x="301"/>
        <item x="304"/>
        <item x="305"/>
        <item x="309"/>
        <item x="310"/>
        <item x="316"/>
        <item x="317"/>
        <item x="318"/>
        <item x="319"/>
        <item x="327"/>
        <item x="328"/>
        <item x="329"/>
        <item x="334"/>
        <item x="336"/>
        <item x="337"/>
        <item x="346"/>
        <item x="347"/>
        <item x="350"/>
        <item x="352"/>
        <item x="353"/>
        <item x="355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1"/>
        <item x="6"/>
        <item x="5"/>
        <item x="7"/>
        <item x="0"/>
        <item x="4"/>
        <item x="3"/>
        <item h="1" x="8"/>
        <item h="1" m="1" x="9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/>
    </i>
    <i>
      <x v="5"/>
    </i>
    <i>
      <x v="4"/>
    </i>
    <i>
      <x v="3"/>
    </i>
    <i>
      <x v="1"/>
    </i>
    <i>
      <x v="2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9">
    <format dxfId="1080">
      <pivotArea grandRow="1" grandCol="1" outline="0" collapsedLevelsAreSubtotals="1" fieldPosition="0"/>
    </format>
    <format dxfId="1079">
      <pivotArea type="all" dataOnly="0" outline="0" fieldPosition="0"/>
    </format>
    <format dxfId="1078">
      <pivotArea outline="0" collapsedLevelsAreSubtotals="1" fieldPosition="0"/>
    </format>
    <format dxfId="1077">
      <pivotArea field="18" type="button" dataOnly="0" labelOnly="1" outline="0" axis="axisCol" fieldPosition="0"/>
    </format>
    <format dxfId="1076">
      <pivotArea type="topRight" dataOnly="0" labelOnly="1" outline="0" fieldPosition="0"/>
    </format>
    <format dxfId="1075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74">
      <pivotArea dataOnly="0" labelOnly="1" grandCol="1" outline="0" fieldPosition="0"/>
    </format>
    <format dxfId="1073">
      <pivotArea type="origin" dataOnly="0" labelOnly="1" outline="0" fieldPosition="0"/>
    </format>
    <format dxfId="1072">
      <pivotArea field="36" type="button" dataOnly="0" labelOnly="1" outline="0" axis="axisRow" fieldPosition="0"/>
    </format>
    <format dxfId="1071">
      <pivotArea dataOnly="0" labelOnly="1" fieldPosition="0">
        <references count="1">
          <reference field="36" count="0"/>
        </references>
      </pivotArea>
    </format>
    <format dxfId="1070">
      <pivotArea dataOnly="0" labelOnly="1" grandRow="1" outline="0" fieldPosition="0"/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type="origin" dataOnly="0" labelOnly="1" outline="0" fieldPosition="0"/>
    </format>
    <format dxfId="1066">
      <pivotArea field="18" type="button" dataOnly="0" labelOnly="1" outline="0" axis="axisCol" fieldPosition="0"/>
    </format>
    <format dxfId="1065">
      <pivotArea type="topRight" dataOnly="0" labelOnly="1" outline="0" fieldPosition="0"/>
    </format>
    <format dxfId="1064">
      <pivotArea field="36" type="button" dataOnly="0" labelOnly="1" outline="0" axis="axisRow" fieldPosition="0"/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Row="1" outline="0" fieldPosition="0"/>
    </format>
    <format dxfId="1061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60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1059">
      <pivotArea grandRow="1" grandCol="1" outline="0" collapsedLevelsAreSubtotals="1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1058">
      <pivotArea type="origin" dataOnly="0" labelOnly="1" outline="0" fieldPosition="0"/>
    </format>
    <format dxfId="1057">
      <pivotArea field="36" type="button" dataOnly="0" labelOnly="1" outline="0" axis="axisRow" fieldPosition="0"/>
    </format>
    <format dxfId="1056">
      <pivotArea dataOnly="0" labelOnly="1" fieldPosition="0">
        <references count="1">
          <reference field="36" count="0"/>
        </references>
      </pivotArea>
    </format>
    <format dxfId="1055">
      <pivotArea dataOnly="0" labelOnly="1" grandRow="1" outline="0" fieldPosition="0"/>
    </format>
    <format dxfId="1054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V252"/>
  <sheetViews>
    <sheetView showGridLines="0" topLeftCell="C1" zoomScale="55" zoomScaleNormal="55" zoomScaleSheetLayoutView="85" zoomScalePageLayoutView="30" workbookViewId="0">
      <selection activeCell="O32" sqref="O32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1.28515625" style="15" bestFit="1" customWidth="1"/>
    <col min="5" max="5" width="17.85546875" style="15" bestFit="1" customWidth="1"/>
    <col min="6" max="6" width="22.28515625" style="15" bestFit="1" customWidth="1"/>
    <col min="7" max="7" width="21" style="15" bestFit="1" customWidth="1"/>
    <col min="8" max="8" width="18.7109375" style="15" bestFit="1" customWidth="1"/>
    <col min="9" max="9" width="17.28515625" style="15" bestFit="1" customWidth="1"/>
    <col min="10" max="10" width="13.140625" style="15" bestFit="1" customWidth="1"/>
    <col min="11" max="11" width="19.140625" style="15" bestFit="1" customWidth="1"/>
    <col min="12" max="13" width="12.7109375" style="15" customWidth="1"/>
    <col min="14" max="14" width="45.7109375" style="16" bestFit="1" customWidth="1"/>
    <col min="15" max="15" width="19.140625" style="15" bestFit="1" customWidth="1"/>
    <col min="16" max="16" width="9.85546875" style="15" bestFit="1" customWidth="1"/>
    <col min="17" max="17" width="17.5703125" style="15" bestFit="1" customWidth="1"/>
    <col min="18" max="18" width="15.7109375" style="15" bestFit="1" customWidth="1"/>
    <col min="19" max="19" width="12.42578125" style="15" bestFit="1" customWidth="1"/>
    <col min="20" max="20" width="29" style="15" bestFit="1" customWidth="1"/>
    <col min="21" max="21" width="24.28515625" style="15" bestFit="1" customWidth="1"/>
    <col min="22" max="22" width="11.7109375" style="15" bestFit="1" customWidth="1"/>
    <col min="23" max="23" width="9.42578125" style="15" customWidth="1"/>
    <col min="24" max="24" width="9.85546875" style="15" customWidth="1"/>
    <col min="25" max="64" width="13.7109375" style="15" bestFit="1" customWidth="1"/>
    <col min="65" max="65" width="5.85546875" style="15" bestFit="1" customWidth="1"/>
    <col min="66" max="665" width="13.7109375" style="15" bestFit="1" customWidth="1"/>
    <col min="666" max="666" width="12.28515625" style="15" bestFit="1" customWidth="1"/>
    <col min="667" max="1055" width="20.5703125" style="15" bestFit="1" customWidth="1"/>
    <col min="1056" max="1056" width="7" style="15" bestFit="1" customWidth="1"/>
    <col min="1057" max="1057" width="13.28515625" style="15" bestFit="1" customWidth="1"/>
    <col min="1058" max="1558" width="33.28515625" style="15" customWidth="1"/>
    <col min="1559" max="16384" width="33.28515625" style="15"/>
  </cols>
  <sheetData>
    <row r="1" spans="1:22" ht="46.5" customHeight="1" x14ac:dyDescent="0.25">
      <c r="A1" s="51" t="str">
        <f ca="1">"Análise de Erros "&amp;TEXT(TODAY(),"dd/mm/aa")</f>
        <v>Análise de Erros 08/08/25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52"/>
      <c r="O1" s="49"/>
      <c r="P1" s="49"/>
      <c r="Q1" s="49"/>
      <c r="R1" s="49"/>
      <c r="S1" s="49"/>
      <c r="T1" s="49"/>
      <c r="U1" s="49"/>
      <c r="V1" s="49"/>
    </row>
    <row r="4" spans="1:22" x14ac:dyDescent="0.25">
      <c r="A4" s="48" t="s">
        <v>0</v>
      </c>
      <c r="B4" s="49"/>
      <c r="C4" s="49"/>
      <c r="D4" s="49"/>
      <c r="E4" s="49"/>
      <c r="F4" s="49"/>
      <c r="N4" s="48" t="s">
        <v>1</v>
      </c>
      <c r="O4" s="49"/>
      <c r="P4" s="49"/>
      <c r="Q4" s="49"/>
      <c r="R4" s="49"/>
      <c r="S4" s="49"/>
      <c r="T4" s="49"/>
      <c r="U4" s="49"/>
      <c r="V4" s="49"/>
    </row>
    <row r="5" spans="1:22" x14ac:dyDescent="0.25">
      <c r="A5" s="17" t="s">
        <v>2</v>
      </c>
      <c r="B5" s="18" t="s">
        <v>3</v>
      </c>
      <c r="N5" s="17" t="s">
        <v>4</v>
      </c>
      <c r="O5" s="18" t="s">
        <v>5</v>
      </c>
    </row>
    <row r="6" spans="1:22" x14ac:dyDescent="0.25">
      <c r="A6" s="19" t="s">
        <v>6</v>
      </c>
      <c r="B6" s="20" t="s">
        <v>7</v>
      </c>
      <c r="C6" s="20" t="s">
        <v>8</v>
      </c>
      <c r="D6" s="20" t="s">
        <v>9</v>
      </c>
      <c r="E6" s="20" t="s">
        <v>3</v>
      </c>
      <c r="F6" s="20" t="s">
        <v>10</v>
      </c>
      <c r="N6" s="19" t="s">
        <v>11</v>
      </c>
      <c r="O6" s="20" t="s">
        <v>12</v>
      </c>
      <c r="P6" s="20" t="s">
        <v>13</v>
      </c>
      <c r="Q6" s="20" t="s">
        <v>14</v>
      </c>
      <c r="R6" s="20" t="s">
        <v>15</v>
      </c>
      <c r="S6" s="20" t="s">
        <v>16</v>
      </c>
      <c r="T6" s="20" t="s">
        <v>17</v>
      </c>
      <c r="U6" s="20" t="s">
        <v>18</v>
      </c>
      <c r="V6" s="30" t="s">
        <v>10</v>
      </c>
    </row>
    <row r="7" spans="1:22" x14ac:dyDescent="0.25">
      <c r="A7" s="16" t="s">
        <v>19</v>
      </c>
      <c r="B7" s="26">
        <v>100</v>
      </c>
      <c r="C7" s="26">
        <v>36</v>
      </c>
      <c r="D7" s="26">
        <v>99</v>
      </c>
      <c r="E7" s="26">
        <v>21</v>
      </c>
      <c r="F7" s="26">
        <v>256</v>
      </c>
      <c r="N7" s="42" t="s">
        <v>20</v>
      </c>
      <c r="O7" s="20"/>
      <c r="P7" s="20"/>
      <c r="Q7" s="20"/>
      <c r="R7" s="20"/>
      <c r="S7" s="20"/>
      <c r="T7" s="20"/>
      <c r="U7" s="20"/>
      <c r="V7" s="20"/>
    </row>
    <row r="8" spans="1:22" x14ac:dyDescent="0.25">
      <c r="A8" s="16" t="s">
        <v>21</v>
      </c>
      <c r="B8" s="26">
        <v>74</v>
      </c>
      <c r="C8" s="26">
        <v>8</v>
      </c>
      <c r="D8" s="26">
        <v>55</v>
      </c>
      <c r="E8" s="26">
        <v>1</v>
      </c>
      <c r="F8" s="26">
        <v>138</v>
      </c>
      <c r="N8" s="40" t="s">
        <v>22</v>
      </c>
      <c r="O8" s="26">
        <v>88</v>
      </c>
      <c r="P8" s="26">
        <v>10</v>
      </c>
      <c r="Q8" s="26"/>
      <c r="R8" s="26">
        <v>69</v>
      </c>
      <c r="S8" s="26"/>
      <c r="T8" s="26">
        <v>52</v>
      </c>
      <c r="U8" s="26"/>
      <c r="V8" s="26">
        <v>219</v>
      </c>
    </row>
    <row r="9" spans="1:22" x14ac:dyDescent="0.25">
      <c r="A9" s="16" t="s">
        <v>23</v>
      </c>
      <c r="B9" s="26">
        <v>2</v>
      </c>
      <c r="C9" s="26">
        <v>4</v>
      </c>
      <c r="D9" s="26">
        <v>6</v>
      </c>
      <c r="E9" s="26">
        <v>9</v>
      </c>
      <c r="F9" s="26">
        <v>21</v>
      </c>
      <c r="N9" s="41" t="s">
        <v>24</v>
      </c>
      <c r="O9" s="35">
        <v>88</v>
      </c>
      <c r="P9" s="35">
        <v>10</v>
      </c>
      <c r="Q9" s="35"/>
      <c r="R9" s="35">
        <v>69</v>
      </c>
      <c r="S9" s="35"/>
      <c r="T9" s="35">
        <v>52</v>
      </c>
      <c r="U9" s="35"/>
      <c r="V9" s="35">
        <v>219</v>
      </c>
    </row>
    <row r="10" spans="1:22" x14ac:dyDescent="0.25">
      <c r="A10" s="16" t="s">
        <v>25</v>
      </c>
      <c r="B10" s="26"/>
      <c r="C10" s="26"/>
      <c r="D10" s="26">
        <v>13</v>
      </c>
      <c r="E10" s="26">
        <v>19</v>
      </c>
      <c r="F10" s="26">
        <v>32</v>
      </c>
      <c r="N10" s="42" t="s">
        <v>39</v>
      </c>
      <c r="O10" s="20"/>
      <c r="P10" s="20"/>
      <c r="Q10" s="20"/>
      <c r="R10" s="20"/>
      <c r="S10" s="20"/>
      <c r="T10" s="20"/>
      <c r="U10" s="20"/>
      <c r="V10" s="20"/>
    </row>
    <row r="11" spans="1:22" x14ac:dyDescent="0.25">
      <c r="A11" s="39" t="s">
        <v>27</v>
      </c>
      <c r="B11" s="33"/>
      <c r="C11" s="33">
        <v>1</v>
      </c>
      <c r="D11" s="33">
        <v>3</v>
      </c>
      <c r="E11" s="33">
        <v>12</v>
      </c>
      <c r="F11" s="33">
        <v>16</v>
      </c>
      <c r="N11" s="40" t="s">
        <v>22</v>
      </c>
      <c r="O11" s="26">
        <v>29</v>
      </c>
      <c r="P11" s="26">
        <v>30</v>
      </c>
      <c r="Q11" s="26"/>
      <c r="R11" s="26"/>
      <c r="S11" s="26"/>
      <c r="T11" s="26">
        <v>11</v>
      </c>
      <c r="U11" s="26"/>
      <c r="V11" s="26">
        <v>70</v>
      </c>
    </row>
    <row r="12" spans="1:22" x14ac:dyDescent="0.25">
      <c r="A12" s="39" t="s">
        <v>29</v>
      </c>
      <c r="B12" s="33"/>
      <c r="C12" s="33">
        <v>2</v>
      </c>
      <c r="D12" s="33">
        <v>1</v>
      </c>
      <c r="E12" s="33">
        <v>1</v>
      </c>
      <c r="F12" s="33">
        <v>4</v>
      </c>
      <c r="N12" s="41" t="s">
        <v>40</v>
      </c>
      <c r="O12" s="35">
        <v>29</v>
      </c>
      <c r="P12" s="35">
        <v>30</v>
      </c>
      <c r="Q12" s="35"/>
      <c r="R12" s="35"/>
      <c r="S12" s="35"/>
      <c r="T12" s="35">
        <v>11</v>
      </c>
      <c r="U12" s="35"/>
      <c r="V12" s="35">
        <v>70</v>
      </c>
    </row>
    <row r="13" spans="1:22" x14ac:dyDescent="0.25">
      <c r="A13" s="39" t="s">
        <v>30</v>
      </c>
      <c r="B13" s="33"/>
      <c r="C13" s="33"/>
      <c r="D13" s="33">
        <v>2</v>
      </c>
      <c r="E13" s="33">
        <v>1</v>
      </c>
      <c r="F13" s="33">
        <v>3</v>
      </c>
      <c r="N13" s="43" t="s">
        <v>26</v>
      </c>
      <c r="O13" s="20"/>
      <c r="P13" s="20"/>
      <c r="Q13" s="20"/>
      <c r="R13" s="20"/>
      <c r="S13" s="20"/>
      <c r="T13" s="20"/>
      <c r="U13" s="20"/>
      <c r="V13" s="20"/>
    </row>
    <row r="14" spans="1:22" x14ac:dyDescent="0.25">
      <c r="A14" s="16" t="s">
        <v>10</v>
      </c>
      <c r="B14" s="26">
        <v>176</v>
      </c>
      <c r="C14" s="26">
        <v>51</v>
      </c>
      <c r="D14" s="26">
        <v>179</v>
      </c>
      <c r="E14" s="26">
        <v>64</v>
      </c>
      <c r="F14" s="34">
        <v>470</v>
      </c>
      <c r="N14" s="36" t="s">
        <v>28</v>
      </c>
      <c r="O14" s="20"/>
      <c r="P14" s="20"/>
      <c r="Q14" s="20"/>
      <c r="R14" s="20"/>
      <c r="S14" s="20">
        <v>62</v>
      </c>
      <c r="T14" s="20"/>
      <c r="U14" s="20"/>
      <c r="V14" s="20">
        <v>62</v>
      </c>
    </row>
    <row r="15" spans="1:22" x14ac:dyDescent="0.25">
      <c r="N15" s="36" t="s">
        <v>22</v>
      </c>
      <c r="O15" s="20"/>
      <c r="P15" s="20"/>
      <c r="Q15" s="20"/>
      <c r="R15" s="20"/>
      <c r="S15" s="20">
        <v>2</v>
      </c>
      <c r="T15" s="20"/>
      <c r="U15" s="20"/>
      <c r="V15" s="20">
        <v>2</v>
      </c>
    </row>
    <row r="16" spans="1:22" x14ac:dyDescent="0.25">
      <c r="A16" s="50" t="s">
        <v>34</v>
      </c>
      <c r="B16" s="49"/>
      <c r="C16" s="49"/>
      <c r="D16" s="49"/>
      <c r="E16" s="49"/>
      <c r="F16" s="31">
        <v>290</v>
      </c>
      <c r="N16" s="16" t="s">
        <v>31</v>
      </c>
      <c r="O16" s="20"/>
      <c r="P16" s="20"/>
      <c r="Q16" s="20"/>
      <c r="R16" s="20"/>
      <c r="S16" s="20">
        <v>64</v>
      </c>
      <c r="T16" s="20"/>
      <c r="U16" s="20"/>
      <c r="V16" s="20">
        <v>64</v>
      </c>
    </row>
    <row r="17" spans="1:22" x14ac:dyDescent="0.25">
      <c r="A17" s="53" t="str">
        <f>IF(($F$16/$F$7)&gt;=100%,"Eficiência Positiva","Eficiência Negativa")</f>
        <v>Eficiência Positiva</v>
      </c>
      <c r="B17" s="49"/>
      <c r="C17" s="49"/>
      <c r="D17" s="49"/>
      <c r="E17" s="49"/>
      <c r="F17" s="32">
        <f>($F$16/$F$7)-100%</f>
        <v>0.1328125</v>
      </c>
      <c r="N17" s="43" t="s">
        <v>32</v>
      </c>
      <c r="O17" s="20"/>
      <c r="P17" s="20"/>
      <c r="Q17" s="20"/>
      <c r="R17" s="20"/>
      <c r="S17" s="20"/>
      <c r="T17" s="20"/>
      <c r="U17" s="20"/>
      <c r="V17" s="20"/>
    </row>
    <row r="18" spans="1:22" x14ac:dyDescent="0.25">
      <c r="N18" s="36" t="s">
        <v>33</v>
      </c>
      <c r="O18" s="20"/>
      <c r="P18" s="20"/>
      <c r="Q18" s="20">
        <v>28</v>
      </c>
      <c r="R18" s="20"/>
      <c r="S18" s="20"/>
      <c r="T18" s="20"/>
      <c r="U18" s="20"/>
      <c r="V18" s="20">
        <v>28</v>
      </c>
    </row>
    <row r="19" spans="1:22" x14ac:dyDescent="0.25">
      <c r="A19" s="48" t="s">
        <v>36</v>
      </c>
      <c r="B19" s="49"/>
      <c r="C19" s="49"/>
      <c r="D19" s="49"/>
      <c r="E19" s="49"/>
      <c r="F19" s="49"/>
      <c r="N19" s="36" t="s">
        <v>28</v>
      </c>
      <c r="O19" s="20"/>
      <c r="P19" s="20"/>
      <c r="Q19" s="20">
        <v>10</v>
      </c>
      <c r="R19" s="20"/>
      <c r="S19" s="20"/>
      <c r="T19" s="20"/>
      <c r="U19" s="20"/>
      <c r="V19" s="20">
        <v>10</v>
      </c>
    </row>
    <row r="20" spans="1:22" x14ac:dyDescent="0.25">
      <c r="A20" s="19" t="s">
        <v>38</v>
      </c>
      <c r="B20" s="21" t="s">
        <v>5</v>
      </c>
      <c r="N20" s="36" t="s">
        <v>35</v>
      </c>
      <c r="O20" s="20"/>
      <c r="P20" s="20"/>
      <c r="Q20" s="20">
        <v>7</v>
      </c>
      <c r="R20" s="20"/>
      <c r="S20" s="20"/>
      <c r="T20" s="20"/>
      <c r="U20" s="20"/>
      <c r="V20" s="20">
        <v>7</v>
      </c>
    </row>
    <row r="21" spans="1:22" x14ac:dyDescent="0.25">
      <c r="A21" s="19" t="s">
        <v>11</v>
      </c>
      <c r="B21" s="15" t="s">
        <v>7</v>
      </c>
      <c r="C21" s="15" t="s">
        <v>8</v>
      </c>
      <c r="D21" s="15" t="s">
        <v>9</v>
      </c>
      <c r="E21" s="15" t="s">
        <v>3</v>
      </c>
      <c r="F21" s="15" t="s">
        <v>10</v>
      </c>
      <c r="N21" s="36" t="s">
        <v>22</v>
      </c>
      <c r="O21" s="20"/>
      <c r="P21" s="20"/>
      <c r="Q21" s="20">
        <v>6</v>
      </c>
      <c r="R21" s="20"/>
      <c r="S21" s="20"/>
      <c r="T21" s="20"/>
      <c r="U21" s="20"/>
      <c r="V21" s="20">
        <v>6</v>
      </c>
    </row>
    <row r="22" spans="1:22" x14ac:dyDescent="0.25">
      <c r="A22" s="16" t="s">
        <v>12</v>
      </c>
      <c r="B22" s="56">
        <v>7</v>
      </c>
      <c r="C22" s="56">
        <v>35</v>
      </c>
      <c r="D22" s="56">
        <v>68</v>
      </c>
      <c r="E22" s="56">
        <v>16</v>
      </c>
      <c r="F22" s="56">
        <v>126</v>
      </c>
      <c r="N22" s="16" t="s">
        <v>37</v>
      </c>
      <c r="O22" s="20"/>
      <c r="P22" s="20"/>
      <c r="Q22" s="20">
        <v>51</v>
      </c>
      <c r="R22" s="20"/>
      <c r="S22" s="20"/>
      <c r="T22" s="20"/>
      <c r="U22" s="20"/>
      <c r="V22" s="20">
        <v>51</v>
      </c>
    </row>
    <row r="23" spans="1:22" x14ac:dyDescent="0.25">
      <c r="A23" s="16" t="s">
        <v>17</v>
      </c>
      <c r="B23" s="56">
        <v>37</v>
      </c>
      <c r="C23" s="56">
        <v>10</v>
      </c>
      <c r="D23" s="56">
        <v>41</v>
      </c>
      <c r="E23" s="56"/>
      <c r="F23" s="56">
        <v>88</v>
      </c>
      <c r="N23" s="42" t="s">
        <v>43</v>
      </c>
      <c r="O23" s="20"/>
      <c r="P23" s="20"/>
      <c r="Q23" s="20"/>
      <c r="R23" s="20"/>
      <c r="S23" s="20"/>
      <c r="T23" s="20"/>
      <c r="U23" s="20"/>
      <c r="V23" s="20"/>
    </row>
    <row r="24" spans="1:22" x14ac:dyDescent="0.25">
      <c r="A24" s="16" t="s">
        <v>16</v>
      </c>
      <c r="B24" s="56">
        <v>63</v>
      </c>
      <c r="C24" s="56"/>
      <c r="D24" s="56">
        <v>5</v>
      </c>
      <c r="E24" s="56">
        <v>6</v>
      </c>
      <c r="F24" s="56">
        <v>74</v>
      </c>
      <c r="N24" s="40" t="s">
        <v>28</v>
      </c>
      <c r="O24" s="26">
        <v>3</v>
      </c>
      <c r="P24" s="26">
        <v>8</v>
      </c>
      <c r="Q24" s="26"/>
      <c r="R24" s="26">
        <v>1</v>
      </c>
      <c r="S24" s="26">
        <v>1</v>
      </c>
      <c r="T24" s="26">
        <v>11</v>
      </c>
      <c r="U24" s="26"/>
      <c r="V24" s="26">
        <v>24</v>
      </c>
    </row>
    <row r="25" spans="1:22" x14ac:dyDescent="0.25">
      <c r="A25" s="16" t="s">
        <v>15</v>
      </c>
      <c r="B25" s="56">
        <v>1</v>
      </c>
      <c r="C25" s="56">
        <v>2</v>
      </c>
      <c r="D25" s="56">
        <v>25</v>
      </c>
      <c r="E25" s="56">
        <v>42</v>
      </c>
      <c r="F25" s="56">
        <v>70</v>
      </c>
      <c r="N25" s="40" t="s">
        <v>52</v>
      </c>
      <c r="O25" s="20">
        <v>1</v>
      </c>
      <c r="P25" s="20"/>
      <c r="Q25" s="20"/>
      <c r="R25" s="20"/>
      <c r="S25" s="20"/>
      <c r="T25" s="20"/>
      <c r="U25" s="20"/>
      <c r="V25" s="20">
        <v>1</v>
      </c>
    </row>
    <row r="26" spans="1:22" x14ac:dyDescent="0.25">
      <c r="A26" s="16" t="s">
        <v>13</v>
      </c>
      <c r="B26" s="56">
        <v>13</v>
      </c>
      <c r="C26" s="56">
        <v>3</v>
      </c>
      <c r="D26" s="56">
        <v>38</v>
      </c>
      <c r="E26" s="56"/>
      <c r="F26" s="56">
        <v>54</v>
      </c>
      <c r="N26" s="41" t="s">
        <v>44</v>
      </c>
      <c r="O26" s="35">
        <v>4</v>
      </c>
      <c r="P26" s="35">
        <v>8</v>
      </c>
      <c r="Q26" s="35"/>
      <c r="R26" s="35">
        <v>1</v>
      </c>
      <c r="S26" s="35">
        <v>1</v>
      </c>
      <c r="T26" s="35">
        <v>11</v>
      </c>
      <c r="U26" s="35"/>
      <c r="V26" s="35">
        <v>25</v>
      </c>
    </row>
    <row r="27" spans="1:22" x14ac:dyDescent="0.25">
      <c r="A27" s="16" t="s">
        <v>14</v>
      </c>
      <c r="B27" s="56">
        <v>51</v>
      </c>
      <c r="C27" s="56"/>
      <c r="D27" s="56"/>
      <c r="E27" s="56"/>
      <c r="F27" s="56">
        <v>51</v>
      </c>
      <c r="N27" s="43" t="s">
        <v>45</v>
      </c>
      <c r="O27" s="20"/>
      <c r="P27" s="20"/>
      <c r="Q27" s="20"/>
      <c r="R27" s="20"/>
      <c r="S27" s="20"/>
      <c r="T27" s="20"/>
      <c r="U27" s="20"/>
      <c r="V27" s="20"/>
    </row>
    <row r="28" spans="1:22" x14ac:dyDescent="0.25">
      <c r="A28" s="16" t="s">
        <v>18</v>
      </c>
      <c r="B28" s="56">
        <v>4</v>
      </c>
      <c r="C28" s="56">
        <v>1</v>
      </c>
      <c r="D28" s="56"/>
      <c r="E28" s="56"/>
      <c r="F28" s="56">
        <v>5</v>
      </c>
      <c r="N28" s="36" t="s">
        <v>22</v>
      </c>
      <c r="O28" s="20">
        <v>5</v>
      </c>
      <c r="P28" s="20">
        <v>5</v>
      </c>
      <c r="Q28" s="20"/>
      <c r="R28" s="20"/>
      <c r="S28" s="20">
        <v>8</v>
      </c>
      <c r="T28" s="20"/>
      <c r="U28" s="20"/>
      <c r="V28" s="20">
        <v>18</v>
      </c>
    </row>
    <row r="29" spans="1:22" x14ac:dyDescent="0.25">
      <c r="A29" s="16" t="s">
        <v>10</v>
      </c>
      <c r="B29" s="56">
        <v>176</v>
      </c>
      <c r="C29" s="56">
        <v>51</v>
      </c>
      <c r="D29" s="56">
        <v>177</v>
      </c>
      <c r="E29" s="56">
        <v>64</v>
      </c>
      <c r="F29" s="34">
        <v>468</v>
      </c>
      <c r="N29" s="16" t="s">
        <v>48</v>
      </c>
      <c r="O29" s="20">
        <v>5</v>
      </c>
      <c r="P29" s="20">
        <v>5</v>
      </c>
      <c r="Q29" s="20"/>
      <c r="R29" s="20"/>
      <c r="S29" s="20">
        <v>8</v>
      </c>
      <c r="T29" s="20"/>
      <c r="U29" s="20"/>
      <c r="V29" s="20">
        <v>18</v>
      </c>
    </row>
    <row r="30" spans="1:22" x14ac:dyDescent="0.25">
      <c r="N30" s="42" t="s">
        <v>41</v>
      </c>
      <c r="O30" s="20"/>
      <c r="P30" s="20"/>
      <c r="Q30" s="20"/>
      <c r="R30" s="20"/>
      <c r="S30" s="20"/>
      <c r="T30" s="20"/>
      <c r="U30" s="20"/>
      <c r="V30" s="20"/>
    </row>
    <row r="31" spans="1:22" x14ac:dyDescent="0.25">
      <c r="A31" s="48" t="s">
        <v>46</v>
      </c>
      <c r="B31" s="49"/>
      <c r="C31" s="49"/>
      <c r="D31" s="49"/>
      <c r="E31" s="49"/>
      <c r="F31" s="49"/>
      <c r="G31" s="49"/>
      <c r="H31" s="49"/>
      <c r="I31" s="49"/>
      <c r="N31" s="40" t="s">
        <v>22</v>
      </c>
      <c r="O31" s="26"/>
      <c r="P31" s="26"/>
      <c r="Q31" s="26"/>
      <c r="R31" s="26"/>
      <c r="S31" s="26">
        <v>1</v>
      </c>
      <c r="T31" s="26">
        <v>14</v>
      </c>
      <c r="U31" s="26"/>
      <c r="V31" s="26">
        <v>15</v>
      </c>
    </row>
    <row r="32" spans="1:22" x14ac:dyDescent="0.25">
      <c r="A32" s="27" t="s">
        <v>47</v>
      </c>
      <c r="B32" s="28" t="s">
        <v>5</v>
      </c>
      <c r="C32" s="29"/>
      <c r="D32" s="29"/>
      <c r="E32" s="29"/>
      <c r="F32" s="29"/>
      <c r="G32" s="29"/>
      <c r="H32" s="29"/>
      <c r="I32" s="29"/>
      <c r="N32" s="41" t="s">
        <v>42</v>
      </c>
      <c r="O32" s="35"/>
      <c r="P32" s="35"/>
      <c r="Q32" s="35"/>
      <c r="R32" s="35"/>
      <c r="S32" s="35">
        <v>1</v>
      </c>
      <c r="T32" s="35">
        <v>14</v>
      </c>
      <c r="U32" s="35"/>
      <c r="V32" s="35">
        <v>15</v>
      </c>
    </row>
    <row r="33" spans="1:22" x14ac:dyDescent="0.25">
      <c r="A33" s="27" t="s">
        <v>11</v>
      </c>
      <c r="B33" s="30" t="s">
        <v>12</v>
      </c>
      <c r="C33" s="30" t="s">
        <v>13</v>
      </c>
      <c r="D33" s="30" t="s">
        <v>14</v>
      </c>
      <c r="E33" s="30" t="s">
        <v>15</v>
      </c>
      <c r="F33" s="30" t="s">
        <v>16</v>
      </c>
      <c r="G33" s="30" t="s">
        <v>17</v>
      </c>
      <c r="H33" s="30" t="s">
        <v>18</v>
      </c>
      <c r="I33" s="30" t="s">
        <v>10</v>
      </c>
      <c r="N33" s="43" t="s">
        <v>49</v>
      </c>
      <c r="O33" s="20"/>
      <c r="P33" s="20"/>
      <c r="Q33" s="20"/>
      <c r="R33" s="20"/>
      <c r="S33" s="20"/>
      <c r="T33" s="20"/>
      <c r="U33" s="20"/>
      <c r="V33" s="20"/>
    </row>
    <row r="34" spans="1:22" x14ac:dyDescent="0.25">
      <c r="A34" s="16" t="s">
        <v>22</v>
      </c>
      <c r="B34" s="26">
        <v>122</v>
      </c>
      <c r="C34" s="26">
        <v>45</v>
      </c>
      <c r="D34" s="26">
        <v>6</v>
      </c>
      <c r="E34" s="26">
        <v>69</v>
      </c>
      <c r="F34" s="26">
        <v>11</v>
      </c>
      <c r="G34" s="26">
        <v>77</v>
      </c>
      <c r="H34" s="26">
        <v>1</v>
      </c>
      <c r="I34" s="26">
        <v>331</v>
      </c>
      <c r="N34" s="36" t="s">
        <v>33</v>
      </c>
      <c r="O34" s="20"/>
      <c r="P34" s="20"/>
      <c r="Q34" s="20"/>
      <c r="R34" s="20"/>
      <c r="S34" s="20"/>
      <c r="T34" s="20"/>
      <c r="U34" s="20">
        <v>2</v>
      </c>
      <c r="V34" s="20">
        <v>2</v>
      </c>
    </row>
    <row r="35" spans="1:22" x14ac:dyDescent="0.25">
      <c r="A35" s="16" t="s">
        <v>28</v>
      </c>
      <c r="B35" s="26">
        <v>3</v>
      </c>
      <c r="C35" s="26">
        <v>8</v>
      </c>
      <c r="D35" s="26">
        <v>10</v>
      </c>
      <c r="E35" s="26">
        <v>1</v>
      </c>
      <c r="F35" s="26">
        <v>63</v>
      </c>
      <c r="G35" s="26">
        <v>11</v>
      </c>
      <c r="H35" s="26">
        <v>1</v>
      </c>
      <c r="I35" s="26">
        <v>97</v>
      </c>
      <c r="N35" s="36" t="s">
        <v>28</v>
      </c>
      <c r="O35" s="20"/>
      <c r="P35" s="20"/>
      <c r="Q35" s="20"/>
      <c r="R35" s="20"/>
      <c r="S35" s="20"/>
      <c r="T35" s="20"/>
      <c r="U35" s="20">
        <v>1</v>
      </c>
      <c r="V35" s="20">
        <v>1</v>
      </c>
    </row>
    <row r="36" spans="1:22" x14ac:dyDescent="0.25">
      <c r="A36" s="16" t="s">
        <v>33</v>
      </c>
      <c r="B36" s="26"/>
      <c r="C36" s="26"/>
      <c r="D36" s="26">
        <v>28</v>
      </c>
      <c r="E36" s="26"/>
      <c r="F36" s="26"/>
      <c r="G36" s="26"/>
      <c r="H36" s="26">
        <v>2</v>
      </c>
      <c r="I36" s="26">
        <v>30</v>
      </c>
      <c r="N36" s="36" t="s">
        <v>22</v>
      </c>
      <c r="O36" s="20"/>
      <c r="P36" s="20"/>
      <c r="Q36" s="20"/>
      <c r="R36" s="20"/>
      <c r="S36" s="20"/>
      <c r="T36" s="20"/>
      <c r="U36" s="20">
        <v>1</v>
      </c>
      <c r="V36" s="20">
        <v>1</v>
      </c>
    </row>
    <row r="37" spans="1:22" x14ac:dyDescent="0.25">
      <c r="A37" s="16" t="s">
        <v>35</v>
      </c>
      <c r="B37" s="26"/>
      <c r="C37" s="26"/>
      <c r="D37" s="26">
        <v>7</v>
      </c>
      <c r="E37" s="26"/>
      <c r="F37" s="26"/>
      <c r="G37" s="26"/>
      <c r="H37" s="26">
        <v>1</v>
      </c>
      <c r="I37" s="26">
        <v>8</v>
      </c>
      <c r="N37" s="36" t="s">
        <v>35</v>
      </c>
      <c r="O37" s="20"/>
      <c r="P37" s="20"/>
      <c r="Q37" s="20"/>
      <c r="R37" s="20"/>
      <c r="S37" s="20"/>
      <c r="T37" s="20"/>
      <c r="U37" s="20">
        <v>1</v>
      </c>
      <c r="V37" s="20">
        <v>1</v>
      </c>
    </row>
    <row r="38" spans="1:22" x14ac:dyDescent="0.25">
      <c r="A38" s="16" t="s">
        <v>52</v>
      </c>
      <c r="B38" s="26">
        <v>1</v>
      </c>
      <c r="C38" s="26">
        <v>1</v>
      </c>
      <c r="D38" s="26"/>
      <c r="E38" s="26"/>
      <c r="F38" s="26"/>
      <c r="G38" s="26"/>
      <c r="H38" s="26"/>
      <c r="I38" s="26">
        <v>2</v>
      </c>
      <c r="N38" s="16" t="s">
        <v>50</v>
      </c>
      <c r="O38" s="20"/>
      <c r="P38" s="20"/>
      <c r="Q38" s="20"/>
      <c r="R38" s="20"/>
      <c r="S38" s="20"/>
      <c r="T38" s="20"/>
      <c r="U38" s="20">
        <v>5</v>
      </c>
      <c r="V38" s="20">
        <v>5</v>
      </c>
    </row>
    <row r="39" spans="1:22" x14ac:dyDescent="0.25">
      <c r="A39" s="16" t="s">
        <v>10</v>
      </c>
      <c r="B39" s="26">
        <v>126</v>
      </c>
      <c r="C39" s="26">
        <v>54</v>
      </c>
      <c r="D39" s="26">
        <v>51</v>
      </c>
      <c r="E39" s="26">
        <v>70</v>
      </c>
      <c r="F39" s="26">
        <v>74</v>
      </c>
      <c r="G39" s="26">
        <v>88</v>
      </c>
      <c r="H39" s="26">
        <v>5</v>
      </c>
      <c r="I39" s="26">
        <v>468</v>
      </c>
      <c r="N39" s="42" t="s">
        <v>51</v>
      </c>
      <c r="O39" s="20"/>
      <c r="P39" s="20"/>
      <c r="Q39" s="20"/>
      <c r="R39" s="20"/>
      <c r="S39" s="20"/>
      <c r="T39" s="20"/>
      <c r="U39" s="20"/>
      <c r="V39" s="20"/>
    </row>
    <row r="40" spans="1:22" x14ac:dyDescent="0.25">
      <c r="N40" s="40" t="s">
        <v>52</v>
      </c>
      <c r="O40" s="20"/>
      <c r="P40" s="20">
        <v>1</v>
      </c>
      <c r="Q40" s="20"/>
      <c r="R40" s="20"/>
      <c r="S40" s="20"/>
      <c r="T40" s="20"/>
      <c r="U40" s="20"/>
      <c r="V40" s="20">
        <v>1</v>
      </c>
    </row>
    <row r="41" spans="1:22" ht="15" customHeight="1" x14ac:dyDescent="0.25">
      <c r="A41" s="48" t="s">
        <v>54</v>
      </c>
      <c r="B41" s="49"/>
      <c r="C41" s="49"/>
      <c r="D41" s="49"/>
      <c r="E41" s="49"/>
      <c r="F41" s="49"/>
      <c r="G41" s="49"/>
      <c r="H41" s="49"/>
      <c r="I41" s="49"/>
      <c r="N41" s="41" t="s">
        <v>53</v>
      </c>
      <c r="O41" s="35"/>
      <c r="P41" s="35">
        <v>1</v>
      </c>
      <c r="Q41" s="35"/>
      <c r="R41" s="35"/>
      <c r="S41" s="35"/>
      <c r="T41" s="35"/>
      <c r="U41" s="35"/>
      <c r="V41" s="35">
        <v>1</v>
      </c>
    </row>
    <row r="42" spans="1:22" x14ac:dyDescent="0.25">
      <c r="A42" s="19" t="s">
        <v>55</v>
      </c>
      <c r="B42" s="21" t="s">
        <v>5</v>
      </c>
      <c r="N42" s="16" t="s">
        <v>10</v>
      </c>
      <c r="O42" s="35">
        <v>126</v>
      </c>
      <c r="P42" s="35">
        <v>54</v>
      </c>
      <c r="Q42" s="35">
        <v>51</v>
      </c>
      <c r="R42" s="35">
        <v>70</v>
      </c>
      <c r="S42" s="35">
        <v>74</v>
      </c>
      <c r="T42" s="35">
        <v>88</v>
      </c>
      <c r="U42" s="35">
        <v>5</v>
      </c>
      <c r="V42" s="35">
        <v>468</v>
      </c>
    </row>
    <row r="43" spans="1:22" x14ac:dyDescent="0.25">
      <c r="A43" s="19" t="s">
        <v>11</v>
      </c>
      <c r="B43" s="15" t="s">
        <v>12</v>
      </c>
      <c r="C43" s="15" t="s">
        <v>13</v>
      </c>
      <c r="D43" s="15" t="s">
        <v>14</v>
      </c>
      <c r="E43" s="15" t="s">
        <v>15</v>
      </c>
      <c r="F43" s="15" t="s">
        <v>16</v>
      </c>
      <c r="G43" s="15" t="s">
        <v>17</v>
      </c>
      <c r="H43" s="15" t="s">
        <v>18</v>
      </c>
      <c r="I43" s="15" t="s">
        <v>10</v>
      </c>
    </row>
    <row r="44" spans="1:22" x14ac:dyDescent="0.25">
      <c r="A44" s="16" t="s">
        <v>56</v>
      </c>
      <c r="B44" s="26">
        <v>112</v>
      </c>
      <c r="C44" s="26">
        <v>31</v>
      </c>
      <c r="D44" s="26"/>
      <c r="E44" s="26">
        <v>69</v>
      </c>
      <c r="F44" s="26"/>
      <c r="G44" s="26">
        <v>43</v>
      </c>
      <c r="H44" s="26">
        <v>1</v>
      </c>
      <c r="I44" s="56">
        <v>256</v>
      </c>
    </row>
    <row r="45" spans="1:22" x14ac:dyDescent="0.25">
      <c r="A45" s="16" t="s">
        <v>57</v>
      </c>
      <c r="B45" s="26">
        <v>3</v>
      </c>
      <c r="C45" s="26">
        <v>3</v>
      </c>
      <c r="D45" s="26">
        <v>2</v>
      </c>
      <c r="E45" s="26"/>
      <c r="F45" s="26">
        <v>63</v>
      </c>
      <c r="G45" s="26">
        <v>11</v>
      </c>
      <c r="H45" s="26"/>
      <c r="I45" s="56">
        <v>82</v>
      </c>
    </row>
    <row r="46" spans="1:22" x14ac:dyDescent="0.25">
      <c r="A46" s="16" t="s">
        <v>58</v>
      </c>
      <c r="B46" s="26"/>
      <c r="C46" s="26"/>
      <c r="D46" s="26">
        <v>28</v>
      </c>
      <c r="E46" s="26"/>
      <c r="F46" s="26"/>
      <c r="G46" s="26"/>
      <c r="H46" s="26">
        <v>2</v>
      </c>
      <c r="I46" s="56">
        <v>30</v>
      </c>
    </row>
    <row r="47" spans="1:22" x14ac:dyDescent="0.25">
      <c r="A47" s="15" t="s">
        <v>59</v>
      </c>
      <c r="B47" s="26">
        <v>6</v>
      </c>
      <c r="C47" s="26">
        <v>6</v>
      </c>
      <c r="D47" s="26"/>
      <c r="E47" s="26"/>
      <c r="F47" s="26">
        <v>10</v>
      </c>
      <c r="G47" s="26"/>
      <c r="H47" s="26"/>
      <c r="I47" s="56">
        <v>22</v>
      </c>
    </row>
    <row r="48" spans="1:22" x14ac:dyDescent="0.25">
      <c r="A48" s="16" t="s">
        <v>60</v>
      </c>
      <c r="B48" s="26"/>
      <c r="C48" s="26">
        <v>5</v>
      </c>
      <c r="D48" s="26">
        <v>8</v>
      </c>
      <c r="E48" s="26">
        <v>1</v>
      </c>
      <c r="F48" s="26"/>
      <c r="G48" s="26"/>
      <c r="H48" s="26">
        <v>1</v>
      </c>
      <c r="I48" s="56">
        <v>15</v>
      </c>
    </row>
    <row r="49" spans="1:22" x14ac:dyDescent="0.25">
      <c r="A49" s="15" t="s">
        <v>61</v>
      </c>
      <c r="B49" s="26">
        <v>1</v>
      </c>
      <c r="C49" s="26">
        <v>1</v>
      </c>
      <c r="D49" s="26"/>
      <c r="E49" s="26"/>
      <c r="F49" s="26"/>
      <c r="G49" s="26">
        <v>11</v>
      </c>
      <c r="H49" s="26"/>
      <c r="I49" s="56">
        <v>13</v>
      </c>
    </row>
    <row r="50" spans="1:22" x14ac:dyDescent="0.25">
      <c r="A50" s="15" t="s">
        <v>68</v>
      </c>
      <c r="B50" s="26"/>
      <c r="C50" s="26">
        <v>4</v>
      </c>
      <c r="D50" s="26"/>
      <c r="E50" s="26"/>
      <c r="F50" s="26"/>
      <c r="G50" s="26">
        <v>7</v>
      </c>
      <c r="H50" s="26"/>
      <c r="I50" s="56">
        <v>11</v>
      </c>
    </row>
    <row r="51" spans="1:22" x14ac:dyDescent="0.25">
      <c r="A51" s="16" t="s">
        <v>65</v>
      </c>
      <c r="B51" s="26"/>
      <c r="C51" s="26"/>
      <c r="D51" s="26">
        <v>6</v>
      </c>
      <c r="E51" s="26"/>
      <c r="F51" s="26"/>
      <c r="G51" s="26">
        <v>3</v>
      </c>
      <c r="H51" s="26"/>
      <c r="I51" s="56">
        <v>9</v>
      </c>
      <c r="N51" s="53" t="s">
        <v>64</v>
      </c>
      <c r="O51" s="49"/>
      <c r="P51" s="49"/>
      <c r="Q51" s="49"/>
      <c r="R51" s="49"/>
      <c r="S51" s="49"/>
      <c r="T51" s="53"/>
      <c r="U51" s="49"/>
      <c r="V51" s="49"/>
    </row>
    <row r="52" spans="1:22" x14ac:dyDescent="0.25">
      <c r="A52" s="16" t="s">
        <v>63</v>
      </c>
      <c r="B52" s="26"/>
      <c r="C52" s="26">
        <v>3</v>
      </c>
      <c r="D52" s="26"/>
      <c r="E52" s="26"/>
      <c r="F52" s="26">
        <v>1</v>
      </c>
      <c r="G52" s="26">
        <v>4</v>
      </c>
      <c r="H52" s="26"/>
      <c r="I52" s="56">
        <v>8</v>
      </c>
      <c r="N52" s="19" t="s">
        <v>66</v>
      </c>
      <c r="O52" s="21" t="s">
        <v>5</v>
      </c>
    </row>
    <row r="53" spans="1:22" x14ac:dyDescent="0.25">
      <c r="A53" s="16" t="s">
        <v>67</v>
      </c>
      <c r="B53" s="26"/>
      <c r="C53" s="26"/>
      <c r="D53" s="26">
        <v>7</v>
      </c>
      <c r="E53" s="26"/>
      <c r="F53" s="26"/>
      <c r="G53" s="26"/>
      <c r="H53" s="26">
        <v>1</v>
      </c>
      <c r="I53" s="56">
        <v>8</v>
      </c>
      <c r="N53" s="19" t="s">
        <v>11</v>
      </c>
      <c r="O53" s="15" t="s">
        <v>13</v>
      </c>
      <c r="P53" s="15" t="s">
        <v>14</v>
      </c>
      <c r="Q53" s="15" t="s">
        <v>15</v>
      </c>
      <c r="R53" s="15" t="s">
        <v>18</v>
      </c>
      <c r="S53" s="15" t="s">
        <v>12</v>
      </c>
      <c r="T53" s="15" t="s">
        <v>16</v>
      </c>
      <c r="U53" s="15" t="s">
        <v>17</v>
      </c>
      <c r="V53" s="15" t="s">
        <v>10</v>
      </c>
    </row>
    <row r="54" spans="1:22" x14ac:dyDescent="0.25">
      <c r="A54" s="15" t="s">
        <v>70</v>
      </c>
      <c r="B54" s="26"/>
      <c r="C54" s="26"/>
      <c r="D54" s="26"/>
      <c r="E54" s="26"/>
      <c r="F54" s="26"/>
      <c r="G54" s="26">
        <v>4</v>
      </c>
      <c r="H54" s="26"/>
      <c r="I54" s="56">
        <v>4</v>
      </c>
      <c r="N54" s="16" t="s">
        <v>26</v>
      </c>
      <c r="O54" s="55"/>
      <c r="P54" s="55"/>
      <c r="Q54" s="55"/>
      <c r="R54" s="55"/>
      <c r="S54" s="55"/>
      <c r="T54" s="55">
        <v>64</v>
      </c>
      <c r="U54" s="55"/>
      <c r="V54" s="55">
        <v>64</v>
      </c>
    </row>
    <row r="55" spans="1:22" x14ac:dyDescent="0.25">
      <c r="A55" s="15" t="s">
        <v>804</v>
      </c>
      <c r="B55" s="26">
        <v>2</v>
      </c>
      <c r="C55" s="26"/>
      <c r="D55" s="26"/>
      <c r="E55" s="26"/>
      <c r="F55" s="26"/>
      <c r="G55" s="26"/>
      <c r="H55" s="26"/>
      <c r="I55" s="56">
        <v>2</v>
      </c>
      <c r="N55" s="16" t="s">
        <v>71</v>
      </c>
      <c r="O55" s="55"/>
      <c r="P55" s="55"/>
      <c r="Q55" s="55">
        <v>58</v>
      </c>
      <c r="R55" s="55"/>
      <c r="S55" s="55"/>
      <c r="T55" s="55"/>
      <c r="U55" s="55"/>
      <c r="V55" s="55">
        <v>58</v>
      </c>
    </row>
    <row r="56" spans="1:22" x14ac:dyDescent="0.25">
      <c r="A56" s="15" t="s">
        <v>69</v>
      </c>
      <c r="B56" s="26">
        <v>1</v>
      </c>
      <c r="C56" s="26"/>
      <c r="D56" s="26"/>
      <c r="E56" s="26"/>
      <c r="F56" s="26"/>
      <c r="G56" s="26">
        <v>1</v>
      </c>
      <c r="H56" s="26"/>
      <c r="I56" s="56">
        <v>2</v>
      </c>
      <c r="N56" s="16" t="s">
        <v>14</v>
      </c>
      <c r="O56" s="55"/>
      <c r="P56" s="55">
        <v>51</v>
      </c>
      <c r="Q56" s="55"/>
      <c r="R56" s="55"/>
      <c r="S56" s="55"/>
      <c r="T56" s="55"/>
      <c r="U56" s="55"/>
      <c r="V56" s="55">
        <v>51</v>
      </c>
    </row>
    <row r="57" spans="1:22" x14ac:dyDescent="0.25">
      <c r="A57" s="16" t="s">
        <v>72</v>
      </c>
      <c r="B57" s="26"/>
      <c r="C57" s="26">
        <v>1</v>
      </c>
      <c r="D57" s="26"/>
      <c r="E57" s="26"/>
      <c r="F57" s="26"/>
      <c r="G57" s="26"/>
      <c r="H57" s="26"/>
      <c r="I57" s="56">
        <v>1</v>
      </c>
      <c r="N57" s="16" t="s">
        <v>73</v>
      </c>
      <c r="O57" s="55"/>
      <c r="P57" s="55"/>
      <c r="Q57" s="55"/>
      <c r="R57" s="55"/>
      <c r="S57" s="55"/>
      <c r="T57" s="55"/>
      <c r="U57" s="55">
        <v>36</v>
      </c>
      <c r="V57" s="55">
        <v>36</v>
      </c>
    </row>
    <row r="58" spans="1:22" x14ac:dyDescent="0.25">
      <c r="A58" s="15" t="s">
        <v>76</v>
      </c>
      <c r="B58" s="26"/>
      <c r="C58" s="26"/>
      <c r="D58" s="26"/>
      <c r="E58" s="26"/>
      <c r="F58" s="26"/>
      <c r="G58" s="26">
        <v>1</v>
      </c>
      <c r="H58" s="26"/>
      <c r="I58" s="56">
        <v>1</v>
      </c>
      <c r="N58" s="16" t="s">
        <v>75</v>
      </c>
      <c r="O58" s="55"/>
      <c r="P58" s="55"/>
      <c r="Q58" s="55"/>
      <c r="R58" s="55"/>
      <c r="S58" s="55">
        <v>27</v>
      </c>
      <c r="T58" s="55">
        <v>2</v>
      </c>
      <c r="U58" s="55"/>
      <c r="V58" s="55">
        <v>29</v>
      </c>
    </row>
    <row r="59" spans="1:22" x14ac:dyDescent="0.25">
      <c r="A59" s="15" t="s">
        <v>78</v>
      </c>
      <c r="B59" s="26"/>
      <c r="C59" s="26"/>
      <c r="D59" s="26"/>
      <c r="E59" s="26"/>
      <c r="F59" s="26"/>
      <c r="G59" s="26">
        <v>1</v>
      </c>
      <c r="H59" s="26"/>
      <c r="I59" s="56">
        <v>1</v>
      </c>
      <c r="N59" s="15" t="s">
        <v>79</v>
      </c>
      <c r="O59" s="55"/>
      <c r="P59" s="55"/>
      <c r="Q59" s="55"/>
      <c r="R59" s="55"/>
      <c r="S59" s="55">
        <v>18</v>
      </c>
      <c r="T59" s="55"/>
      <c r="U59" s="55"/>
      <c r="V59" s="55">
        <v>18</v>
      </c>
    </row>
    <row r="60" spans="1:22" x14ac:dyDescent="0.25">
      <c r="A60" s="16" t="s">
        <v>1056</v>
      </c>
      <c r="B60" s="26">
        <v>1</v>
      </c>
      <c r="C60" s="26"/>
      <c r="D60" s="26"/>
      <c r="E60" s="26"/>
      <c r="F60" s="26"/>
      <c r="G60" s="26"/>
      <c r="H60" s="26"/>
      <c r="I60" s="56">
        <v>1</v>
      </c>
      <c r="N60" s="16" t="s">
        <v>82</v>
      </c>
      <c r="O60" s="55">
        <v>15</v>
      </c>
      <c r="P60" s="55"/>
      <c r="Q60" s="55"/>
      <c r="R60" s="55"/>
      <c r="S60" s="55"/>
      <c r="T60" s="55"/>
      <c r="U60" s="55"/>
      <c r="V60" s="55">
        <v>15</v>
      </c>
    </row>
    <row r="61" spans="1:22" x14ac:dyDescent="0.25">
      <c r="A61" s="15" t="s">
        <v>74</v>
      </c>
      <c r="B61" s="26"/>
      <c r="C61" s="26"/>
      <c r="D61" s="26"/>
      <c r="E61" s="26"/>
      <c r="F61" s="26"/>
      <c r="G61" s="26">
        <v>1</v>
      </c>
      <c r="H61" s="26"/>
      <c r="I61" s="56">
        <v>1</v>
      </c>
      <c r="N61" s="16" t="s">
        <v>113</v>
      </c>
      <c r="O61" s="55"/>
      <c r="P61" s="55"/>
      <c r="Q61" s="55">
        <v>12</v>
      </c>
      <c r="R61" s="55"/>
      <c r="S61" s="55"/>
      <c r="T61" s="55"/>
      <c r="U61" s="55"/>
      <c r="V61" s="55">
        <v>12</v>
      </c>
    </row>
    <row r="62" spans="1:22" x14ac:dyDescent="0.25">
      <c r="A62" s="16" t="s">
        <v>62</v>
      </c>
      <c r="B62" s="26"/>
      <c r="C62" s="26"/>
      <c r="D62" s="26"/>
      <c r="E62" s="26"/>
      <c r="F62" s="26"/>
      <c r="G62" s="26">
        <v>1</v>
      </c>
      <c r="H62" s="26"/>
      <c r="I62" s="56">
        <v>1</v>
      </c>
      <c r="N62" s="16" t="s">
        <v>84</v>
      </c>
      <c r="O62" s="55"/>
      <c r="P62" s="55"/>
      <c r="Q62" s="55"/>
      <c r="R62" s="55"/>
      <c r="S62" s="55">
        <v>11</v>
      </c>
      <c r="T62" s="55"/>
      <c r="U62" s="55"/>
      <c r="V62" s="55">
        <v>11</v>
      </c>
    </row>
    <row r="63" spans="1:22" x14ac:dyDescent="0.25">
      <c r="A63" s="16" t="s">
        <v>10</v>
      </c>
      <c r="B63" s="26">
        <v>126</v>
      </c>
      <c r="C63" s="26">
        <v>54</v>
      </c>
      <c r="D63" s="26">
        <v>51</v>
      </c>
      <c r="E63" s="26">
        <v>70</v>
      </c>
      <c r="F63" s="26">
        <v>74</v>
      </c>
      <c r="G63" s="26">
        <v>88</v>
      </c>
      <c r="H63" s="26">
        <v>5</v>
      </c>
      <c r="I63" s="26">
        <v>468</v>
      </c>
      <c r="N63" s="16" t="s">
        <v>94</v>
      </c>
      <c r="O63" s="55"/>
      <c r="P63" s="55"/>
      <c r="Q63" s="55"/>
      <c r="R63" s="55"/>
      <c r="S63" s="55">
        <v>11</v>
      </c>
      <c r="T63" s="55"/>
      <c r="U63" s="55"/>
      <c r="V63" s="55">
        <v>11</v>
      </c>
    </row>
    <row r="64" spans="1:22" x14ac:dyDescent="0.25">
      <c r="N64" s="16" t="s">
        <v>103</v>
      </c>
      <c r="O64" s="55"/>
      <c r="P64" s="55"/>
      <c r="Q64" s="55"/>
      <c r="R64" s="55"/>
      <c r="S64" s="55"/>
      <c r="T64" s="55"/>
      <c r="U64" s="55">
        <v>9</v>
      </c>
      <c r="V64" s="55">
        <v>9</v>
      </c>
    </row>
    <row r="65" spans="1:22" x14ac:dyDescent="0.25">
      <c r="N65" s="16" t="s">
        <v>104</v>
      </c>
      <c r="O65" s="55"/>
      <c r="P65" s="55"/>
      <c r="Q65" s="55"/>
      <c r="R65" s="55"/>
      <c r="S65" s="55"/>
      <c r="T65" s="55"/>
      <c r="U65" s="55">
        <v>9</v>
      </c>
      <c r="V65" s="55">
        <v>9</v>
      </c>
    </row>
    <row r="66" spans="1:22" x14ac:dyDescent="0.25">
      <c r="N66" s="16" t="s">
        <v>91</v>
      </c>
      <c r="O66" s="55"/>
      <c r="P66" s="55"/>
      <c r="Q66" s="55"/>
      <c r="R66" s="55"/>
      <c r="S66" s="55"/>
      <c r="T66" s="55"/>
      <c r="U66" s="55">
        <v>8</v>
      </c>
      <c r="V66" s="20">
        <v>8</v>
      </c>
    </row>
    <row r="67" spans="1:22" x14ac:dyDescent="0.25">
      <c r="N67" s="16" t="s">
        <v>111</v>
      </c>
      <c r="O67" s="55">
        <v>7</v>
      </c>
      <c r="P67" s="55"/>
      <c r="Q67" s="55"/>
      <c r="R67" s="55"/>
      <c r="S67" s="55">
        <v>1</v>
      </c>
      <c r="T67" s="55"/>
      <c r="U67" s="55"/>
      <c r="V67" s="55">
        <v>8</v>
      </c>
    </row>
    <row r="68" spans="1:22" x14ac:dyDescent="0.25"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16" t="s">
        <v>93</v>
      </c>
      <c r="O68" s="55"/>
      <c r="P68" s="55"/>
      <c r="Q68" s="55"/>
      <c r="R68" s="55"/>
      <c r="S68" s="55">
        <v>8</v>
      </c>
      <c r="T68" s="55"/>
      <c r="U68" s="55"/>
      <c r="V68" s="55">
        <v>8</v>
      </c>
    </row>
    <row r="69" spans="1:22" x14ac:dyDescent="0.25">
      <c r="A69" s="48" t="s">
        <v>88</v>
      </c>
      <c r="B69" s="49"/>
      <c r="C69" s="49"/>
      <c r="D69" s="49"/>
      <c r="E69" s="49"/>
      <c r="F69" s="49"/>
      <c r="G69" s="49"/>
      <c r="H69" s="49"/>
      <c r="I69" s="49"/>
      <c r="J69" s="38"/>
      <c r="L69" s="37"/>
      <c r="N69" s="16" t="s">
        <v>81</v>
      </c>
      <c r="O69" s="55"/>
      <c r="P69" s="55"/>
      <c r="Q69" s="55"/>
      <c r="R69" s="55"/>
      <c r="S69" s="55">
        <v>7</v>
      </c>
      <c r="T69" s="55"/>
      <c r="U69" s="55"/>
      <c r="V69" s="55">
        <v>7</v>
      </c>
    </row>
    <row r="70" spans="1:22" x14ac:dyDescent="0.25">
      <c r="A70" s="19" t="s">
        <v>4</v>
      </c>
      <c r="B70" s="21" t="s">
        <v>5</v>
      </c>
      <c r="N70" s="16" t="s">
        <v>83</v>
      </c>
      <c r="O70" s="55"/>
      <c r="P70" s="55"/>
      <c r="Q70" s="55"/>
      <c r="R70" s="55"/>
      <c r="S70" s="55"/>
      <c r="T70" s="55"/>
      <c r="U70" s="55">
        <v>7</v>
      </c>
      <c r="V70" s="55">
        <v>7</v>
      </c>
    </row>
    <row r="71" spans="1:22" x14ac:dyDescent="0.25">
      <c r="A71" s="19" t="s">
        <v>11</v>
      </c>
      <c r="B71" s="15" t="s">
        <v>51</v>
      </c>
      <c r="C71" s="15" t="s">
        <v>43</v>
      </c>
      <c r="D71" s="15" t="s">
        <v>26</v>
      </c>
      <c r="E71" s="15" t="s">
        <v>41</v>
      </c>
      <c r="F71" s="15" t="s">
        <v>32</v>
      </c>
      <c r="G71" s="15" t="s">
        <v>49</v>
      </c>
      <c r="H71" s="15" t="s">
        <v>39</v>
      </c>
      <c r="I71" s="15" t="s">
        <v>20</v>
      </c>
      <c r="J71" s="15" t="s">
        <v>45</v>
      </c>
      <c r="K71" s="25" t="s">
        <v>10</v>
      </c>
      <c r="M71" s="25"/>
      <c r="N71" s="16" t="s">
        <v>80</v>
      </c>
      <c r="O71" s="55"/>
      <c r="P71" s="55"/>
      <c r="Q71" s="55"/>
      <c r="R71" s="55"/>
      <c r="S71" s="55">
        <v>6</v>
      </c>
      <c r="T71" s="55"/>
      <c r="U71" s="55"/>
      <c r="V71" s="55">
        <v>6</v>
      </c>
    </row>
    <row r="72" spans="1:22" x14ac:dyDescent="0.25">
      <c r="A72" s="16" t="s">
        <v>19</v>
      </c>
      <c r="B72" s="26"/>
      <c r="C72" s="26">
        <v>21</v>
      </c>
      <c r="D72" s="26">
        <v>2</v>
      </c>
      <c r="E72" s="26">
        <v>14</v>
      </c>
      <c r="F72" s="26">
        <v>50</v>
      </c>
      <c r="G72" s="26">
        <v>5</v>
      </c>
      <c r="H72" s="26">
        <v>39</v>
      </c>
      <c r="I72" s="26">
        <v>110</v>
      </c>
      <c r="J72" s="26">
        <v>15</v>
      </c>
      <c r="K72" s="26">
        <v>256</v>
      </c>
      <c r="M72" s="26"/>
      <c r="N72" s="16" t="s">
        <v>89</v>
      </c>
      <c r="O72" s="55"/>
      <c r="P72" s="55"/>
      <c r="Q72" s="55"/>
      <c r="R72" s="55"/>
      <c r="S72" s="55">
        <v>6</v>
      </c>
      <c r="T72" s="55"/>
      <c r="U72" s="55"/>
      <c r="V72" s="55">
        <v>6</v>
      </c>
    </row>
    <row r="73" spans="1:22" x14ac:dyDescent="0.25">
      <c r="A73" s="16" t="s">
        <v>21</v>
      </c>
      <c r="B73" s="26"/>
      <c r="C73" s="26">
        <v>4</v>
      </c>
      <c r="D73" s="26">
        <v>62</v>
      </c>
      <c r="E73" s="26">
        <v>1</v>
      </c>
      <c r="F73" s="26"/>
      <c r="G73" s="26"/>
      <c r="H73" s="26">
        <v>23</v>
      </c>
      <c r="I73" s="26">
        <v>44</v>
      </c>
      <c r="J73" s="26">
        <v>4</v>
      </c>
      <c r="K73" s="26">
        <v>138</v>
      </c>
      <c r="M73" s="26"/>
      <c r="N73" s="15" t="s">
        <v>77</v>
      </c>
      <c r="O73" s="55"/>
      <c r="P73" s="55"/>
      <c r="Q73" s="55"/>
      <c r="R73" s="55"/>
      <c r="S73" s="55"/>
      <c r="T73" s="55"/>
      <c r="U73" s="55">
        <v>6</v>
      </c>
      <c r="V73" s="55">
        <v>6</v>
      </c>
    </row>
    <row r="74" spans="1:22" x14ac:dyDescent="0.25">
      <c r="A74" s="16" t="s">
        <v>23</v>
      </c>
      <c r="B74" s="26">
        <v>1</v>
      </c>
      <c r="C74" s="26"/>
      <c r="D74" s="26"/>
      <c r="E74" s="26"/>
      <c r="F74" s="26">
        <v>1</v>
      </c>
      <c r="G74" s="26"/>
      <c r="H74" s="26">
        <v>3</v>
      </c>
      <c r="I74" s="26">
        <v>16</v>
      </c>
      <c r="J74" s="26"/>
      <c r="K74" s="26">
        <v>21</v>
      </c>
      <c r="M74" s="26"/>
      <c r="N74" s="54" t="s">
        <v>87</v>
      </c>
      <c r="O74" s="55">
        <v>5</v>
      </c>
      <c r="P74" s="55"/>
      <c r="Q74" s="55"/>
      <c r="R74" s="55"/>
      <c r="S74" s="55"/>
      <c r="T74" s="55"/>
      <c r="U74" s="55"/>
      <c r="V74" s="20">
        <v>5</v>
      </c>
    </row>
    <row r="75" spans="1:22" x14ac:dyDescent="0.25">
      <c r="A75" s="16" t="s">
        <v>25</v>
      </c>
      <c r="B75" s="26"/>
      <c r="C75" s="26"/>
      <c r="D75" s="26"/>
      <c r="E75" s="26"/>
      <c r="F75" s="26"/>
      <c r="G75" s="26"/>
      <c r="H75" s="26">
        <v>1</v>
      </c>
      <c r="I75" s="26">
        <v>30</v>
      </c>
      <c r="J75" s="26">
        <v>1</v>
      </c>
      <c r="K75" s="26">
        <v>32</v>
      </c>
      <c r="M75" s="26"/>
      <c r="N75" s="16" t="s">
        <v>92</v>
      </c>
      <c r="O75" s="55"/>
      <c r="P75" s="55"/>
      <c r="Q75" s="55"/>
      <c r="R75" s="55"/>
      <c r="S75" s="55">
        <v>1</v>
      </c>
      <c r="T75" s="55">
        <v>4</v>
      </c>
      <c r="U75" s="55"/>
      <c r="V75" s="55">
        <v>5</v>
      </c>
    </row>
    <row r="76" spans="1:22" x14ac:dyDescent="0.25">
      <c r="A76" s="39" t="s">
        <v>27</v>
      </c>
      <c r="B76" s="33"/>
      <c r="C76" s="33"/>
      <c r="D76" s="33"/>
      <c r="E76" s="33"/>
      <c r="F76" s="33"/>
      <c r="G76" s="33"/>
      <c r="H76" s="33">
        <v>3</v>
      </c>
      <c r="I76" s="33">
        <v>13</v>
      </c>
      <c r="J76" s="33"/>
      <c r="K76" s="33">
        <v>16</v>
      </c>
      <c r="M76" s="33"/>
      <c r="N76" s="16" t="s">
        <v>86</v>
      </c>
      <c r="O76" s="55"/>
      <c r="P76" s="55"/>
      <c r="Q76" s="55"/>
      <c r="R76" s="55"/>
      <c r="S76" s="55">
        <v>5</v>
      </c>
      <c r="T76" s="55"/>
      <c r="U76" s="55"/>
      <c r="V76" s="55">
        <v>5</v>
      </c>
    </row>
    <row r="77" spans="1:22" x14ac:dyDescent="0.25">
      <c r="A77" s="39" t="s">
        <v>29</v>
      </c>
      <c r="B77" s="33"/>
      <c r="C77" s="33"/>
      <c r="D77" s="33"/>
      <c r="E77" s="33"/>
      <c r="F77" s="33"/>
      <c r="G77" s="33"/>
      <c r="H77" s="33">
        <v>1</v>
      </c>
      <c r="I77" s="33">
        <v>3</v>
      </c>
      <c r="J77" s="33"/>
      <c r="K77" s="33">
        <v>4</v>
      </c>
      <c r="M77" s="33"/>
      <c r="N77" s="16" t="s">
        <v>97</v>
      </c>
      <c r="O77" s="55"/>
      <c r="P77" s="55"/>
      <c r="Q77" s="55"/>
      <c r="R77" s="55"/>
      <c r="S77" s="55"/>
      <c r="T77" s="55"/>
      <c r="U77" s="55">
        <v>5</v>
      </c>
      <c r="V77" s="55">
        <v>5</v>
      </c>
    </row>
    <row r="78" spans="1:22" x14ac:dyDescent="0.25">
      <c r="A78" s="39" t="s">
        <v>30</v>
      </c>
      <c r="B78" s="33"/>
      <c r="C78" s="33"/>
      <c r="D78" s="33"/>
      <c r="E78" s="33"/>
      <c r="F78" s="33"/>
      <c r="G78" s="33"/>
      <c r="H78" s="33"/>
      <c r="I78" s="33">
        <v>3</v>
      </c>
      <c r="J78" s="33"/>
      <c r="K78" s="33">
        <v>3</v>
      </c>
      <c r="M78" s="33"/>
      <c r="N78" s="16" t="s">
        <v>105</v>
      </c>
      <c r="O78" s="55"/>
      <c r="P78" s="55"/>
      <c r="Q78" s="55"/>
      <c r="R78" s="55"/>
      <c r="S78" s="55">
        <v>5</v>
      </c>
      <c r="T78" s="55"/>
      <c r="U78" s="55"/>
      <c r="V78" s="55">
        <v>5</v>
      </c>
    </row>
    <row r="79" spans="1:22" x14ac:dyDescent="0.25">
      <c r="A79" s="16" t="s">
        <v>10</v>
      </c>
      <c r="B79" s="26">
        <v>1</v>
      </c>
      <c r="C79" s="26">
        <v>25</v>
      </c>
      <c r="D79" s="26">
        <v>64</v>
      </c>
      <c r="E79" s="26">
        <v>15</v>
      </c>
      <c r="F79" s="26">
        <v>51</v>
      </c>
      <c r="G79" s="26">
        <v>5</v>
      </c>
      <c r="H79" s="26">
        <v>70</v>
      </c>
      <c r="I79" s="26">
        <v>219</v>
      </c>
      <c r="J79" s="26">
        <v>20</v>
      </c>
      <c r="K79" s="26">
        <v>470</v>
      </c>
      <c r="M79" s="26"/>
      <c r="N79" s="15" t="s">
        <v>98</v>
      </c>
      <c r="O79" s="55"/>
      <c r="P79" s="55"/>
      <c r="Q79" s="55"/>
      <c r="R79" s="55"/>
      <c r="S79" s="55">
        <v>5</v>
      </c>
      <c r="T79" s="55"/>
      <c r="U79" s="55"/>
      <c r="V79" s="55">
        <v>5</v>
      </c>
    </row>
    <row r="80" spans="1:22" x14ac:dyDescent="0.25">
      <c r="N80" s="16" t="s">
        <v>100</v>
      </c>
      <c r="O80" s="55">
        <v>4</v>
      </c>
      <c r="P80" s="55"/>
      <c r="Q80" s="55"/>
      <c r="R80" s="55"/>
      <c r="S80" s="55"/>
      <c r="T80" s="55"/>
      <c r="U80" s="55"/>
      <c r="V80" s="55">
        <v>4</v>
      </c>
    </row>
    <row r="81" spans="1:22" x14ac:dyDescent="0.25">
      <c r="N81" s="16" t="s">
        <v>18</v>
      </c>
      <c r="O81" s="55"/>
      <c r="P81" s="55"/>
      <c r="Q81" s="55"/>
      <c r="R81" s="55">
        <v>4</v>
      </c>
      <c r="S81" s="55"/>
      <c r="T81" s="55"/>
      <c r="U81" s="55"/>
      <c r="V81" s="55">
        <v>4</v>
      </c>
    </row>
    <row r="82" spans="1:22" x14ac:dyDescent="0.25">
      <c r="A82" s="48" t="s">
        <v>102</v>
      </c>
      <c r="B82" s="49"/>
      <c r="C82" s="49"/>
      <c r="D82" s="49"/>
      <c r="E82" s="49"/>
      <c r="F82" s="49"/>
      <c r="G82" s="49"/>
      <c r="H82" s="49"/>
      <c r="I82" s="49"/>
      <c r="J82" s="38"/>
      <c r="L82" s="37"/>
      <c r="N82" s="54" t="s">
        <v>110</v>
      </c>
      <c r="O82" s="55"/>
      <c r="P82" s="55"/>
      <c r="Q82" s="55"/>
      <c r="R82" s="55"/>
      <c r="S82" s="55">
        <v>4</v>
      </c>
      <c r="T82" s="55"/>
      <c r="U82" s="55"/>
      <c r="V82" s="55">
        <v>4</v>
      </c>
    </row>
    <row r="83" spans="1:22" x14ac:dyDescent="0.25">
      <c r="A83" s="19" t="s">
        <v>4</v>
      </c>
      <c r="B83" s="21" t="s">
        <v>5</v>
      </c>
      <c r="N83" s="16" t="s">
        <v>119</v>
      </c>
      <c r="O83" s="55">
        <v>4</v>
      </c>
      <c r="P83" s="55"/>
      <c r="Q83" s="55"/>
      <c r="R83" s="55"/>
      <c r="S83" s="55"/>
      <c r="T83" s="55"/>
      <c r="U83" s="55"/>
      <c r="V83" s="55">
        <v>4</v>
      </c>
    </row>
    <row r="84" spans="1:22" x14ac:dyDescent="0.25">
      <c r="A84" s="19" t="s">
        <v>11</v>
      </c>
      <c r="B84" s="15" t="s">
        <v>51</v>
      </c>
      <c r="C84" s="15" t="s">
        <v>43</v>
      </c>
      <c r="D84" s="15" t="s">
        <v>26</v>
      </c>
      <c r="E84" s="15" t="s">
        <v>41</v>
      </c>
      <c r="F84" s="15" t="s">
        <v>32</v>
      </c>
      <c r="G84" s="15" t="s">
        <v>49</v>
      </c>
      <c r="H84" s="15" t="s">
        <v>39</v>
      </c>
      <c r="I84" s="15" t="s">
        <v>20</v>
      </c>
      <c r="J84" s="15" t="s">
        <v>45</v>
      </c>
      <c r="K84" s="20" t="s">
        <v>10</v>
      </c>
      <c r="M84" s="20"/>
      <c r="N84" s="16" t="s">
        <v>106</v>
      </c>
      <c r="O84" s="55">
        <v>4</v>
      </c>
      <c r="P84" s="55"/>
      <c r="Q84" s="55"/>
      <c r="R84" s="55"/>
      <c r="S84" s="55"/>
      <c r="T84" s="55"/>
      <c r="U84" s="55"/>
      <c r="V84" s="55">
        <v>4</v>
      </c>
    </row>
    <row r="85" spans="1:22" x14ac:dyDescent="0.25">
      <c r="A85" s="16" t="s">
        <v>9</v>
      </c>
      <c r="B85" s="26"/>
      <c r="C85" s="26"/>
      <c r="D85" s="26"/>
      <c r="E85" s="26">
        <v>3</v>
      </c>
      <c r="F85" s="26"/>
      <c r="G85" s="26"/>
      <c r="H85" s="26">
        <v>70</v>
      </c>
      <c r="I85" s="26">
        <v>98</v>
      </c>
      <c r="J85" s="26">
        <v>8</v>
      </c>
      <c r="K85" s="26">
        <v>179</v>
      </c>
      <c r="M85" s="26"/>
      <c r="N85" s="16" t="s">
        <v>101</v>
      </c>
      <c r="O85" s="55"/>
      <c r="P85" s="55"/>
      <c r="Q85" s="55"/>
      <c r="R85" s="55"/>
      <c r="S85" s="55">
        <v>4</v>
      </c>
      <c r="T85" s="55"/>
      <c r="U85" s="55"/>
      <c r="V85" s="55">
        <v>4</v>
      </c>
    </row>
    <row r="86" spans="1:22" x14ac:dyDescent="0.25">
      <c r="A86" s="16" t="s">
        <v>7</v>
      </c>
      <c r="B86" s="26">
        <v>1</v>
      </c>
      <c r="C86" s="26">
        <v>25</v>
      </c>
      <c r="D86" s="26">
        <v>62</v>
      </c>
      <c r="E86" s="26">
        <v>11</v>
      </c>
      <c r="F86" s="26">
        <v>51</v>
      </c>
      <c r="G86" s="26">
        <v>4</v>
      </c>
      <c r="H86" s="26"/>
      <c r="I86" s="26">
        <v>15</v>
      </c>
      <c r="J86" s="26">
        <v>7</v>
      </c>
      <c r="K86" s="26">
        <v>176</v>
      </c>
      <c r="M86" s="26"/>
      <c r="N86" s="16" t="s">
        <v>107</v>
      </c>
      <c r="O86" s="55">
        <v>2</v>
      </c>
      <c r="P86" s="55"/>
      <c r="Q86" s="55"/>
      <c r="R86" s="55"/>
      <c r="S86" s="55"/>
      <c r="T86" s="55">
        <v>1</v>
      </c>
      <c r="U86" s="55"/>
      <c r="V86" s="20">
        <v>3</v>
      </c>
    </row>
    <row r="87" spans="1:22" x14ac:dyDescent="0.25">
      <c r="A87" s="16" t="s">
        <v>3</v>
      </c>
      <c r="B87" s="26"/>
      <c r="C87" s="26"/>
      <c r="D87" s="26">
        <v>2</v>
      </c>
      <c r="E87" s="26"/>
      <c r="F87" s="26"/>
      <c r="G87" s="26"/>
      <c r="H87" s="26"/>
      <c r="I87" s="26">
        <v>58</v>
      </c>
      <c r="J87" s="26">
        <v>4</v>
      </c>
      <c r="K87" s="26">
        <v>64</v>
      </c>
      <c r="M87" s="26"/>
      <c r="N87" s="54" t="s">
        <v>115</v>
      </c>
      <c r="O87" s="55">
        <v>3</v>
      </c>
      <c r="P87" s="55"/>
      <c r="Q87" s="55"/>
      <c r="R87" s="55"/>
      <c r="S87" s="55"/>
      <c r="T87" s="55"/>
      <c r="U87" s="55"/>
      <c r="V87" s="55">
        <v>3</v>
      </c>
    </row>
    <row r="88" spans="1:22" x14ac:dyDescent="0.25">
      <c r="A88" s="16" t="s">
        <v>8</v>
      </c>
      <c r="B88" s="26"/>
      <c r="C88" s="26"/>
      <c r="D88" s="26"/>
      <c r="E88" s="26">
        <v>1</v>
      </c>
      <c r="F88" s="26"/>
      <c r="G88" s="26">
        <v>1</v>
      </c>
      <c r="H88" s="26"/>
      <c r="I88" s="26">
        <v>48</v>
      </c>
      <c r="J88" s="26">
        <v>1</v>
      </c>
      <c r="K88" s="26">
        <v>51</v>
      </c>
      <c r="M88" s="26"/>
      <c r="N88" s="16" t="s">
        <v>109</v>
      </c>
      <c r="O88" s="55"/>
      <c r="P88" s="55"/>
      <c r="Q88" s="55"/>
      <c r="R88" s="55"/>
      <c r="S88" s="55">
        <v>3</v>
      </c>
      <c r="T88" s="55"/>
      <c r="U88" s="55"/>
      <c r="V88" s="55">
        <v>3</v>
      </c>
    </row>
    <row r="89" spans="1:22" x14ac:dyDescent="0.25">
      <c r="A89" s="16" t="s">
        <v>10</v>
      </c>
      <c r="B89" s="26">
        <v>1</v>
      </c>
      <c r="C89" s="26">
        <v>25</v>
      </c>
      <c r="D89" s="26">
        <v>64</v>
      </c>
      <c r="E89" s="26">
        <v>15</v>
      </c>
      <c r="F89" s="26">
        <v>51</v>
      </c>
      <c r="G89" s="26">
        <v>5</v>
      </c>
      <c r="H89" s="26">
        <v>70</v>
      </c>
      <c r="I89" s="26">
        <v>219</v>
      </c>
      <c r="J89" s="26">
        <v>20</v>
      </c>
      <c r="K89" s="26">
        <v>470</v>
      </c>
      <c r="M89" s="26"/>
      <c r="N89" s="54" t="s">
        <v>117</v>
      </c>
      <c r="O89" s="55"/>
      <c r="P89" s="55"/>
      <c r="Q89" s="55"/>
      <c r="R89" s="55"/>
      <c r="S89" s="55"/>
      <c r="T89" s="55">
        <v>2</v>
      </c>
      <c r="U89" s="55"/>
      <c r="V89" s="55">
        <v>2</v>
      </c>
    </row>
    <row r="90" spans="1:22" x14ac:dyDescent="0.25">
      <c r="B90" s="20"/>
      <c r="C90" s="20"/>
      <c r="D90" s="20"/>
      <c r="E90" s="20"/>
      <c r="F90" s="20"/>
      <c r="G90" s="20"/>
      <c r="H90" s="20"/>
      <c r="I90" s="20"/>
      <c r="N90" s="16" t="s">
        <v>95</v>
      </c>
      <c r="O90" s="55">
        <v>2</v>
      </c>
      <c r="P90" s="55"/>
      <c r="Q90" s="55"/>
      <c r="R90" s="55"/>
      <c r="S90" s="55"/>
      <c r="T90" s="55"/>
      <c r="U90" s="55"/>
      <c r="V90" s="20">
        <v>2</v>
      </c>
    </row>
    <row r="91" spans="1:22" x14ac:dyDescent="0.25">
      <c r="N91" s="16" t="s">
        <v>96</v>
      </c>
      <c r="O91" s="55"/>
      <c r="P91" s="55"/>
      <c r="Q91" s="55"/>
      <c r="R91" s="55"/>
      <c r="S91" s="55"/>
      <c r="T91" s="55"/>
      <c r="U91" s="55">
        <v>2</v>
      </c>
      <c r="V91" s="55">
        <v>2</v>
      </c>
    </row>
    <row r="92" spans="1:22" x14ac:dyDescent="0.25">
      <c r="A92" s="48" t="s">
        <v>112</v>
      </c>
      <c r="B92" s="49"/>
      <c r="C92" s="49"/>
      <c r="D92" s="49"/>
      <c r="E92" s="49"/>
      <c r="F92" s="49"/>
      <c r="G92" s="49"/>
      <c r="H92" s="49"/>
      <c r="I92" s="49"/>
      <c r="N92" s="54" t="s">
        <v>136</v>
      </c>
      <c r="O92" s="55"/>
      <c r="P92" s="55"/>
      <c r="Q92" s="55"/>
      <c r="R92" s="55"/>
      <c r="S92" s="55">
        <v>2</v>
      </c>
      <c r="T92" s="55"/>
      <c r="U92" s="55"/>
      <c r="V92" s="55">
        <v>2</v>
      </c>
    </row>
    <row r="93" spans="1:22" x14ac:dyDescent="0.25">
      <c r="A93" s="19" t="s">
        <v>114</v>
      </c>
      <c r="B93" s="21" t="s">
        <v>5</v>
      </c>
      <c r="N93" s="54" t="s">
        <v>108</v>
      </c>
      <c r="O93" s="55"/>
      <c r="P93" s="55"/>
      <c r="Q93" s="55"/>
      <c r="R93" s="55"/>
      <c r="S93" s="55"/>
      <c r="T93" s="55"/>
      <c r="U93" s="55">
        <v>2</v>
      </c>
      <c r="V93" s="55">
        <v>2</v>
      </c>
    </row>
    <row r="94" spans="1:22" x14ac:dyDescent="0.25">
      <c r="A94" s="19" t="s">
        <v>11</v>
      </c>
      <c r="B94" s="20" t="s">
        <v>12</v>
      </c>
      <c r="C94" s="20" t="s">
        <v>13</v>
      </c>
      <c r="D94" s="20" t="s">
        <v>14</v>
      </c>
      <c r="E94" s="20" t="s">
        <v>15</v>
      </c>
      <c r="F94" s="20" t="s">
        <v>16</v>
      </c>
      <c r="G94" s="20" t="s">
        <v>17</v>
      </c>
      <c r="H94" s="20" t="s">
        <v>18</v>
      </c>
      <c r="I94" s="20" t="s">
        <v>10</v>
      </c>
      <c r="N94" s="16" t="s">
        <v>979</v>
      </c>
      <c r="O94" s="55">
        <v>2</v>
      </c>
      <c r="P94" s="55"/>
      <c r="Q94" s="55"/>
      <c r="R94" s="55"/>
      <c r="S94" s="55"/>
      <c r="T94" s="55"/>
      <c r="U94" s="55"/>
      <c r="V94" s="55">
        <v>2</v>
      </c>
    </row>
    <row r="95" spans="1:22" x14ac:dyDescent="0.25">
      <c r="A95" s="16" t="s">
        <v>116</v>
      </c>
      <c r="B95" s="26"/>
      <c r="C95" s="26"/>
      <c r="D95" s="26"/>
      <c r="E95" s="26"/>
      <c r="F95" s="26">
        <v>60</v>
      </c>
      <c r="G95" s="26">
        <v>1</v>
      </c>
      <c r="H95" s="26"/>
      <c r="I95" s="26">
        <v>61</v>
      </c>
      <c r="N95" s="16" t="s">
        <v>1660</v>
      </c>
      <c r="O95" s="55"/>
      <c r="P95" s="55"/>
      <c r="Q95" s="55"/>
      <c r="R95" s="55">
        <v>1</v>
      </c>
      <c r="S95" s="55"/>
      <c r="T95" s="55"/>
      <c r="U95" s="55"/>
      <c r="V95" s="55">
        <v>1</v>
      </c>
    </row>
    <row r="96" spans="1:22" x14ac:dyDescent="0.25">
      <c r="A96" s="16" t="s">
        <v>120</v>
      </c>
      <c r="B96" s="26"/>
      <c r="C96" s="26"/>
      <c r="D96" s="26"/>
      <c r="E96" s="26">
        <v>58</v>
      </c>
      <c r="F96" s="26"/>
      <c r="G96" s="26"/>
      <c r="H96" s="26"/>
      <c r="I96" s="26">
        <v>58</v>
      </c>
      <c r="N96" s="16" t="s">
        <v>121</v>
      </c>
      <c r="O96" s="55">
        <v>1</v>
      </c>
      <c r="P96" s="55"/>
      <c r="Q96" s="55"/>
      <c r="R96" s="55"/>
      <c r="S96" s="55"/>
      <c r="T96" s="55"/>
      <c r="U96" s="55"/>
      <c r="V96" s="55">
        <v>1</v>
      </c>
    </row>
    <row r="97" spans="1:22" x14ac:dyDescent="0.25">
      <c r="A97" s="16" t="s">
        <v>118</v>
      </c>
      <c r="B97" s="26"/>
      <c r="C97" s="26"/>
      <c r="D97" s="26">
        <v>50</v>
      </c>
      <c r="E97" s="26"/>
      <c r="F97" s="26"/>
      <c r="G97" s="26"/>
      <c r="H97" s="26"/>
      <c r="I97" s="26">
        <v>50</v>
      </c>
      <c r="N97" s="15" t="s">
        <v>1746</v>
      </c>
      <c r="O97" s="55"/>
      <c r="P97" s="55"/>
      <c r="Q97" s="55"/>
      <c r="R97" s="55"/>
      <c r="S97" s="55"/>
      <c r="T97" s="55">
        <v>1</v>
      </c>
      <c r="U97" s="55"/>
      <c r="V97" s="55">
        <v>1</v>
      </c>
    </row>
    <row r="98" spans="1:22" x14ac:dyDescent="0.25">
      <c r="A98" s="16" t="s">
        <v>122</v>
      </c>
      <c r="B98" s="26"/>
      <c r="C98" s="26"/>
      <c r="D98" s="26"/>
      <c r="E98" s="26"/>
      <c r="F98" s="26"/>
      <c r="G98" s="26">
        <v>36</v>
      </c>
      <c r="H98" s="26"/>
      <c r="I98" s="26">
        <v>36</v>
      </c>
      <c r="N98" s="16" t="s">
        <v>90</v>
      </c>
      <c r="O98" s="55"/>
      <c r="P98" s="55"/>
      <c r="Q98" s="55"/>
      <c r="R98" s="55"/>
      <c r="S98" s="55">
        <v>1</v>
      </c>
      <c r="T98" s="55"/>
      <c r="U98" s="55"/>
      <c r="V98" s="55">
        <v>1</v>
      </c>
    </row>
    <row r="99" spans="1:22" x14ac:dyDescent="0.25">
      <c r="A99" s="16" t="s">
        <v>124</v>
      </c>
      <c r="B99" s="26">
        <v>21</v>
      </c>
      <c r="C99" s="26"/>
      <c r="D99" s="26"/>
      <c r="E99" s="26"/>
      <c r="F99" s="26"/>
      <c r="G99" s="26"/>
      <c r="H99" s="26"/>
      <c r="I99" s="26">
        <v>21</v>
      </c>
      <c r="N99" s="16" t="s">
        <v>99</v>
      </c>
      <c r="O99" s="55"/>
      <c r="P99" s="55"/>
      <c r="Q99" s="55"/>
      <c r="R99" s="55"/>
      <c r="S99" s="55">
        <v>1</v>
      </c>
      <c r="T99" s="55"/>
      <c r="U99" s="55"/>
      <c r="V99" s="20">
        <v>1</v>
      </c>
    </row>
    <row r="100" spans="1:22" x14ac:dyDescent="0.25">
      <c r="A100" s="16" t="s">
        <v>128</v>
      </c>
      <c r="B100" s="26">
        <v>18</v>
      </c>
      <c r="C100" s="26"/>
      <c r="D100" s="26"/>
      <c r="E100" s="26"/>
      <c r="F100" s="26"/>
      <c r="G100" s="26"/>
      <c r="H100" s="26"/>
      <c r="I100" s="26">
        <v>18</v>
      </c>
      <c r="N100" s="54" t="s">
        <v>85</v>
      </c>
      <c r="O100" s="55"/>
      <c r="P100" s="55"/>
      <c r="Q100" s="55"/>
      <c r="R100" s="55"/>
      <c r="S100" s="55"/>
      <c r="T100" s="55"/>
      <c r="U100" s="55">
        <v>1</v>
      </c>
      <c r="V100" s="55">
        <v>1</v>
      </c>
    </row>
    <row r="101" spans="1:22" x14ac:dyDescent="0.25">
      <c r="A101" s="16" t="s">
        <v>130</v>
      </c>
      <c r="B101" s="26"/>
      <c r="C101" s="26">
        <v>15</v>
      </c>
      <c r="D101" s="26"/>
      <c r="E101" s="26"/>
      <c r="F101" s="26">
        <v>2</v>
      </c>
      <c r="G101" s="26"/>
      <c r="H101" s="26"/>
      <c r="I101" s="26">
        <v>17</v>
      </c>
      <c r="N101" s="15" t="s">
        <v>123</v>
      </c>
      <c r="O101" s="55"/>
      <c r="P101" s="55"/>
      <c r="Q101" s="55"/>
      <c r="R101" s="55"/>
      <c r="S101" s="55"/>
      <c r="T101" s="55"/>
      <c r="U101" s="55">
        <v>1</v>
      </c>
      <c r="V101" s="55">
        <v>1</v>
      </c>
    </row>
    <row r="102" spans="1:22" x14ac:dyDescent="0.25">
      <c r="A102" s="16" t="s">
        <v>141</v>
      </c>
      <c r="B102" s="26">
        <v>12</v>
      </c>
      <c r="C102" s="26"/>
      <c r="D102" s="26"/>
      <c r="E102" s="26"/>
      <c r="F102" s="26"/>
      <c r="G102" s="26"/>
      <c r="H102" s="26"/>
      <c r="I102" s="26">
        <v>12</v>
      </c>
      <c r="N102" s="54" t="s">
        <v>127</v>
      </c>
      <c r="O102" s="55"/>
      <c r="P102" s="55"/>
      <c r="Q102" s="55"/>
      <c r="R102" s="55"/>
      <c r="S102" s="55"/>
      <c r="T102" s="55"/>
      <c r="U102" s="55">
        <v>1</v>
      </c>
      <c r="V102" s="55">
        <v>1</v>
      </c>
    </row>
    <row r="103" spans="1:22" x14ac:dyDescent="0.25">
      <c r="A103" s="16" t="s">
        <v>161</v>
      </c>
      <c r="B103" s="26"/>
      <c r="C103" s="26"/>
      <c r="D103" s="26"/>
      <c r="E103" s="26">
        <v>12</v>
      </c>
      <c r="F103" s="26"/>
      <c r="G103" s="26"/>
      <c r="H103" s="26"/>
      <c r="I103" s="26">
        <v>12</v>
      </c>
      <c r="N103" s="54" t="s">
        <v>974</v>
      </c>
      <c r="O103" s="55">
        <v>1</v>
      </c>
      <c r="P103" s="55"/>
      <c r="Q103" s="55"/>
      <c r="R103" s="55"/>
      <c r="S103" s="55"/>
      <c r="T103" s="55"/>
      <c r="U103" s="55"/>
      <c r="V103" s="55">
        <v>1</v>
      </c>
    </row>
    <row r="104" spans="1:22" x14ac:dyDescent="0.25">
      <c r="A104" s="16" t="s">
        <v>135</v>
      </c>
      <c r="B104" s="26">
        <v>11</v>
      </c>
      <c r="C104" s="26"/>
      <c r="D104" s="26"/>
      <c r="E104" s="26"/>
      <c r="F104" s="26"/>
      <c r="G104" s="26"/>
      <c r="H104" s="26"/>
      <c r="I104" s="26">
        <v>11</v>
      </c>
      <c r="N104" s="16" t="s">
        <v>131</v>
      </c>
      <c r="O104" s="55">
        <v>1</v>
      </c>
      <c r="P104" s="55"/>
      <c r="Q104" s="55"/>
      <c r="R104" s="55"/>
      <c r="S104" s="55"/>
      <c r="T104" s="55"/>
      <c r="U104" s="55"/>
      <c r="V104" s="55">
        <v>1</v>
      </c>
    </row>
    <row r="105" spans="1:22" x14ac:dyDescent="0.25">
      <c r="A105" s="16" t="s">
        <v>149</v>
      </c>
      <c r="B105" s="26"/>
      <c r="C105" s="26"/>
      <c r="D105" s="26"/>
      <c r="E105" s="26"/>
      <c r="F105" s="26"/>
      <c r="G105" s="26">
        <v>9</v>
      </c>
      <c r="H105" s="26"/>
      <c r="I105" s="26">
        <v>9</v>
      </c>
      <c r="N105" s="15" t="s">
        <v>134</v>
      </c>
      <c r="O105" s="55"/>
      <c r="P105" s="55"/>
      <c r="Q105" s="55"/>
      <c r="R105" s="55"/>
      <c r="S105" s="55"/>
      <c r="T105" s="55"/>
      <c r="U105" s="55">
        <v>1</v>
      </c>
      <c r="V105" s="55">
        <v>1</v>
      </c>
    </row>
    <row r="106" spans="1:22" x14ac:dyDescent="0.25">
      <c r="A106" s="16" t="s">
        <v>155</v>
      </c>
      <c r="B106" s="26"/>
      <c r="C106" s="26"/>
      <c r="D106" s="26"/>
      <c r="E106" s="26"/>
      <c r="F106" s="26"/>
      <c r="G106" s="26">
        <v>9</v>
      </c>
      <c r="H106" s="26"/>
      <c r="I106" s="26">
        <v>9</v>
      </c>
      <c r="N106" s="16" t="s">
        <v>138</v>
      </c>
      <c r="O106" s="55">
        <v>1</v>
      </c>
      <c r="P106" s="55"/>
      <c r="Q106" s="55"/>
      <c r="R106" s="55"/>
      <c r="S106" s="55"/>
      <c r="T106" s="55"/>
      <c r="U106" s="55"/>
      <c r="V106" s="55">
        <v>1</v>
      </c>
    </row>
    <row r="107" spans="1:22" x14ac:dyDescent="0.25">
      <c r="A107" s="16" t="s">
        <v>143</v>
      </c>
      <c r="B107" s="26">
        <v>8</v>
      </c>
      <c r="C107" s="26"/>
      <c r="D107" s="26"/>
      <c r="E107" s="26"/>
      <c r="F107" s="26"/>
      <c r="G107" s="26"/>
      <c r="H107" s="26"/>
      <c r="I107" s="26">
        <v>8</v>
      </c>
      <c r="N107" s="54" t="s">
        <v>125</v>
      </c>
      <c r="O107" s="55">
        <v>1</v>
      </c>
      <c r="P107" s="55"/>
      <c r="Q107" s="55"/>
      <c r="R107" s="55"/>
      <c r="S107" s="55"/>
      <c r="T107" s="55"/>
      <c r="U107" s="55"/>
      <c r="V107" s="55">
        <v>1</v>
      </c>
    </row>
    <row r="108" spans="1:22" x14ac:dyDescent="0.25">
      <c r="A108" s="16" t="s">
        <v>142</v>
      </c>
      <c r="B108" s="26"/>
      <c r="C108" s="26"/>
      <c r="D108" s="26"/>
      <c r="E108" s="26"/>
      <c r="F108" s="26"/>
      <c r="G108" s="26">
        <v>8</v>
      </c>
      <c r="H108" s="26"/>
      <c r="I108" s="26">
        <v>8</v>
      </c>
      <c r="N108" s="16" t="s">
        <v>129</v>
      </c>
      <c r="O108" s="55">
        <v>1</v>
      </c>
      <c r="P108" s="55"/>
      <c r="Q108" s="55"/>
      <c r="R108" s="55"/>
      <c r="S108" s="55"/>
      <c r="T108" s="55"/>
      <c r="U108" s="55"/>
      <c r="V108" s="55">
        <v>1</v>
      </c>
    </row>
    <row r="109" spans="1:22" x14ac:dyDescent="0.25">
      <c r="A109" s="16" t="s">
        <v>133</v>
      </c>
      <c r="B109" s="26">
        <v>7</v>
      </c>
      <c r="C109" s="26"/>
      <c r="D109" s="26"/>
      <c r="E109" s="26"/>
      <c r="F109" s="26"/>
      <c r="G109" s="26"/>
      <c r="H109" s="26"/>
      <c r="I109" s="26">
        <v>7</v>
      </c>
      <c r="N109" s="16" t="s">
        <v>10</v>
      </c>
      <c r="O109" s="55">
        <v>54</v>
      </c>
      <c r="P109" s="55">
        <v>51</v>
      </c>
      <c r="Q109" s="55">
        <v>70</v>
      </c>
      <c r="R109" s="55">
        <v>5</v>
      </c>
      <c r="S109" s="55">
        <v>126</v>
      </c>
      <c r="T109" s="55">
        <v>74</v>
      </c>
      <c r="U109" s="55">
        <v>88</v>
      </c>
      <c r="V109" s="55">
        <v>468</v>
      </c>
    </row>
    <row r="110" spans="1:22" x14ac:dyDescent="0.25">
      <c r="A110" s="16" t="s">
        <v>92</v>
      </c>
      <c r="B110" s="26"/>
      <c r="C110" s="26"/>
      <c r="D110" s="26"/>
      <c r="E110" s="26"/>
      <c r="F110" s="26">
        <v>6</v>
      </c>
      <c r="G110" s="26"/>
      <c r="H110" s="26"/>
      <c r="I110" s="26">
        <v>6</v>
      </c>
    </row>
    <row r="111" spans="1:22" x14ac:dyDescent="0.25">
      <c r="A111" s="16" t="s">
        <v>126</v>
      </c>
      <c r="B111" s="26"/>
      <c r="C111" s="26"/>
      <c r="D111" s="26"/>
      <c r="E111" s="26"/>
      <c r="F111" s="26"/>
      <c r="G111" s="26">
        <v>6</v>
      </c>
      <c r="H111" s="26"/>
      <c r="I111" s="26">
        <v>6</v>
      </c>
    </row>
    <row r="112" spans="1:22" x14ac:dyDescent="0.25">
      <c r="A112" s="16" t="s">
        <v>132</v>
      </c>
      <c r="B112" s="26">
        <v>6</v>
      </c>
      <c r="C112" s="26"/>
      <c r="D112" s="26"/>
      <c r="E112" s="26"/>
      <c r="F112" s="26"/>
      <c r="G112" s="26"/>
      <c r="H112" s="26"/>
      <c r="I112" s="26">
        <v>6</v>
      </c>
    </row>
    <row r="113" spans="1:9" x14ac:dyDescent="0.25">
      <c r="A113" s="16" t="s">
        <v>140</v>
      </c>
      <c r="B113" s="26">
        <v>6</v>
      </c>
      <c r="C113" s="26"/>
      <c r="D113" s="26"/>
      <c r="E113" s="26"/>
      <c r="F113" s="26"/>
      <c r="G113" s="26"/>
      <c r="H113" s="26"/>
      <c r="I113" s="26">
        <v>6</v>
      </c>
    </row>
    <row r="114" spans="1:9" x14ac:dyDescent="0.25">
      <c r="A114" s="16" t="s">
        <v>145</v>
      </c>
      <c r="B114" s="26"/>
      <c r="C114" s="26"/>
      <c r="D114" s="26"/>
      <c r="E114" s="26"/>
      <c r="F114" s="26"/>
      <c r="G114" s="26">
        <v>5</v>
      </c>
      <c r="H114" s="26"/>
      <c r="I114" s="26">
        <v>5</v>
      </c>
    </row>
    <row r="115" spans="1:9" x14ac:dyDescent="0.25">
      <c r="A115" s="16" t="s">
        <v>146</v>
      </c>
      <c r="B115" s="26">
        <v>5</v>
      </c>
      <c r="C115" s="26"/>
      <c r="D115" s="26"/>
      <c r="E115" s="26"/>
      <c r="F115" s="26"/>
      <c r="G115" s="26"/>
      <c r="H115" s="26"/>
      <c r="I115" s="26">
        <v>5</v>
      </c>
    </row>
    <row r="116" spans="1:9" x14ac:dyDescent="0.25">
      <c r="A116" s="16" t="s">
        <v>150</v>
      </c>
      <c r="B116" s="26">
        <v>5</v>
      </c>
      <c r="C116" s="26"/>
      <c r="D116" s="26"/>
      <c r="E116" s="26"/>
      <c r="F116" s="26"/>
      <c r="G116" s="26"/>
      <c r="H116" s="26"/>
      <c r="I116" s="26">
        <v>5</v>
      </c>
    </row>
    <row r="117" spans="1:9" x14ac:dyDescent="0.25">
      <c r="A117" s="16" t="s">
        <v>152</v>
      </c>
      <c r="B117" s="26"/>
      <c r="C117" s="26"/>
      <c r="D117" s="26"/>
      <c r="E117" s="26"/>
      <c r="F117" s="26"/>
      <c r="G117" s="26"/>
      <c r="H117" s="26">
        <v>5</v>
      </c>
      <c r="I117" s="26">
        <v>5</v>
      </c>
    </row>
    <row r="118" spans="1:9" x14ac:dyDescent="0.25">
      <c r="A118" s="16" t="s">
        <v>137</v>
      </c>
      <c r="B118" s="26">
        <v>5</v>
      </c>
      <c r="C118" s="26"/>
      <c r="D118" s="26"/>
      <c r="E118" s="26"/>
      <c r="F118" s="26"/>
      <c r="G118" s="26"/>
      <c r="H118" s="26"/>
      <c r="I118" s="26">
        <v>5</v>
      </c>
    </row>
    <row r="119" spans="1:9" x14ac:dyDescent="0.25">
      <c r="A119" s="16" t="s">
        <v>1281</v>
      </c>
      <c r="B119" s="26"/>
      <c r="C119" s="26">
        <v>4</v>
      </c>
      <c r="D119" s="26"/>
      <c r="E119" s="26"/>
      <c r="F119" s="26"/>
      <c r="G119" s="26"/>
      <c r="H119" s="26"/>
      <c r="I119" s="26">
        <v>4</v>
      </c>
    </row>
    <row r="120" spans="1:9" x14ac:dyDescent="0.25">
      <c r="A120" s="16" t="s">
        <v>163</v>
      </c>
      <c r="B120" s="26">
        <v>4</v>
      </c>
      <c r="C120" s="26"/>
      <c r="D120" s="26"/>
      <c r="E120" s="26"/>
      <c r="F120" s="26"/>
      <c r="G120" s="26"/>
      <c r="H120" s="26"/>
      <c r="I120" s="26">
        <v>4</v>
      </c>
    </row>
    <row r="121" spans="1:9" x14ac:dyDescent="0.25">
      <c r="A121" s="16" t="s">
        <v>153</v>
      </c>
      <c r="B121" s="26"/>
      <c r="C121" s="26">
        <v>4</v>
      </c>
      <c r="D121" s="26"/>
      <c r="E121" s="26"/>
      <c r="F121" s="26"/>
      <c r="G121" s="26"/>
      <c r="H121" s="26"/>
      <c r="I121" s="26">
        <v>4</v>
      </c>
    </row>
    <row r="122" spans="1:9" x14ac:dyDescent="0.25">
      <c r="A122" s="16" t="s">
        <v>154</v>
      </c>
      <c r="B122" s="26">
        <v>4</v>
      </c>
      <c r="C122" s="26"/>
      <c r="D122" s="26"/>
      <c r="E122" s="26"/>
      <c r="F122" s="26"/>
      <c r="G122" s="26"/>
      <c r="H122" s="26"/>
      <c r="I122" s="26">
        <v>4</v>
      </c>
    </row>
    <row r="123" spans="1:9" x14ac:dyDescent="0.25">
      <c r="A123" s="16" t="s">
        <v>148</v>
      </c>
      <c r="B123" s="26"/>
      <c r="C123" s="26">
        <v>4</v>
      </c>
      <c r="D123" s="26"/>
      <c r="E123" s="26"/>
      <c r="F123" s="26"/>
      <c r="G123" s="26"/>
      <c r="H123" s="26"/>
      <c r="I123" s="26">
        <v>4</v>
      </c>
    </row>
    <row r="124" spans="1:9" x14ac:dyDescent="0.25">
      <c r="A124" s="16" t="s">
        <v>160</v>
      </c>
      <c r="B124" s="26">
        <v>2</v>
      </c>
      <c r="C124" s="26"/>
      <c r="D124" s="26"/>
      <c r="E124" s="26"/>
      <c r="F124" s="26">
        <v>2</v>
      </c>
      <c r="G124" s="26"/>
      <c r="H124" s="26"/>
      <c r="I124" s="26">
        <v>4</v>
      </c>
    </row>
    <row r="125" spans="1:9" x14ac:dyDescent="0.25">
      <c r="A125" s="16" t="s">
        <v>156</v>
      </c>
      <c r="B125" s="26"/>
      <c r="C125" s="26">
        <v>4</v>
      </c>
      <c r="D125" s="26"/>
      <c r="E125" s="26"/>
      <c r="F125" s="26"/>
      <c r="G125" s="26"/>
      <c r="H125" s="26"/>
      <c r="I125" s="26">
        <v>4</v>
      </c>
    </row>
    <row r="126" spans="1:9" x14ac:dyDescent="0.25">
      <c r="A126" s="16" t="s">
        <v>178</v>
      </c>
      <c r="B126" s="26"/>
      <c r="C126" s="26">
        <v>4</v>
      </c>
      <c r="D126" s="26"/>
      <c r="E126" s="26"/>
      <c r="F126" s="26"/>
      <c r="G126" s="26"/>
      <c r="H126" s="26"/>
      <c r="I126" s="26">
        <v>4</v>
      </c>
    </row>
    <row r="127" spans="1:9" x14ac:dyDescent="0.25">
      <c r="A127" s="16" t="s">
        <v>181</v>
      </c>
      <c r="B127" s="26">
        <v>3</v>
      </c>
      <c r="C127" s="26"/>
      <c r="D127" s="26"/>
      <c r="E127" s="26"/>
      <c r="F127" s="26"/>
      <c r="G127" s="26"/>
      <c r="H127" s="26"/>
      <c r="I127" s="26">
        <v>3</v>
      </c>
    </row>
    <row r="128" spans="1:9" x14ac:dyDescent="0.25">
      <c r="A128" s="16" t="s">
        <v>144</v>
      </c>
      <c r="B128" s="26"/>
      <c r="C128" s="26"/>
      <c r="D128" s="26"/>
      <c r="E128" s="26"/>
      <c r="F128" s="26"/>
      <c r="G128" s="26">
        <v>3</v>
      </c>
      <c r="H128" s="26"/>
      <c r="I128" s="26">
        <v>3</v>
      </c>
    </row>
    <row r="129" spans="1:21" x14ac:dyDescent="0.25">
      <c r="A129" s="16" t="s">
        <v>158</v>
      </c>
      <c r="B129" s="26"/>
      <c r="C129" s="26">
        <v>2</v>
      </c>
      <c r="D129" s="26"/>
      <c r="E129" s="26"/>
      <c r="F129" s="26">
        <v>1</v>
      </c>
      <c r="G129" s="26"/>
      <c r="H129" s="26"/>
      <c r="I129" s="26">
        <v>3</v>
      </c>
    </row>
    <row r="130" spans="1:21" x14ac:dyDescent="0.25">
      <c r="A130" s="16" t="s">
        <v>159</v>
      </c>
      <c r="B130" s="26"/>
      <c r="C130" s="26">
        <v>3</v>
      </c>
      <c r="D130" s="26"/>
      <c r="E130" s="26"/>
      <c r="F130" s="26"/>
      <c r="G130" s="26"/>
      <c r="H130" s="26"/>
      <c r="I130" s="26">
        <v>3</v>
      </c>
    </row>
    <row r="131" spans="1:21" x14ac:dyDescent="0.25">
      <c r="A131" s="16" t="s">
        <v>162</v>
      </c>
      <c r="B131" s="26">
        <v>3</v>
      </c>
      <c r="C131" s="26"/>
      <c r="D131" s="26"/>
      <c r="E131" s="26"/>
      <c r="F131" s="26"/>
      <c r="G131" s="26"/>
      <c r="H131" s="26"/>
      <c r="I131" s="26">
        <v>3</v>
      </c>
    </row>
    <row r="132" spans="1:21" x14ac:dyDescent="0.25">
      <c r="A132" s="16" t="s">
        <v>147</v>
      </c>
      <c r="B132" s="26"/>
      <c r="C132" s="26"/>
      <c r="D132" s="26"/>
      <c r="E132" s="26"/>
      <c r="F132" s="26"/>
      <c r="G132" s="26">
        <v>2</v>
      </c>
      <c r="H132" s="26"/>
      <c r="I132" s="26">
        <v>2</v>
      </c>
    </row>
    <row r="133" spans="1:21" x14ac:dyDescent="0.25">
      <c r="A133" s="16" t="s">
        <v>171</v>
      </c>
      <c r="B133" s="26"/>
      <c r="C133" s="26"/>
      <c r="D133" s="26"/>
      <c r="E133" s="26"/>
      <c r="F133" s="26">
        <v>2</v>
      </c>
      <c r="G133" s="26"/>
      <c r="H133" s="26"/>
      <c r="I133" s="26">
        <v>2</v>
      </c>
    </row>
    <row r="134" spans="1:21" x14ac:dyDescent="0.25">
      <c r="A134" s="16" t="s">
        <v>977</v>
      </c>
      <c r="B134" s="26"/>
      <c r="C134" s="26">
        <v>2</v>
      </c>
      <c r="D134" s="26"/>
      <c r="E134" s="26"/>
      <c r="F134" s="26"/>
      <c r="G134" s="26"/>
      <c r="H134" s="26"/>
      <c r="I134" s="26">
        <v>2</v>
      </c>
    </row>
    <row r="135" spans="1:21" x14ac:dyDescent="0.25">
      <c r="A135" s="16" t="s">
        <v>167</v>
      </c>
      <c r="B135" s="26"/>
      <c r="C135" s="26">
        <v>2</v>
      </c>
      <c r="D135" s="26"/>
      <c r="E135" s="26"/>
      <c r="F135" s="26"/>
      <c r="G135" s="26"/>
      <c r="H135" s="26"/>
      <c r="I135" s="26">
        <v>2</v>
      </c>
    </row>
    <row r="136" spans="1:21" x14ac:dyDescent="0.25">
      <c r="A136" s="16" t="s">
        <v>157</v>
      </c>
      <c r="B136" s="26"/>
      <c r="C136" s="26"/>
      <c r="D136" s="26"/>
      <c r="E136" s="26"/>
      <c r="F136" s="26"/>
      <c r="G136" s="26">
        <v>2</v>
      </c>
      <c r="H136" s="26"/>
      <c r="I136" s="26">
        <v>2</v>
      </c>
      <c r="N136" s="17" t="s">
        <v>165</v>
      </c>
      <c r="O136" s="15" t="s">
        <v>166</v>
      </c>
      <c r="Q136" s="18" t="s">
        <v>165</v>
      </c>
      <c r="R136" s="15" t="s">
        <v>166</v>
      </c>
      <c r="T136" s="18" t="s">
        <v>165</v>
      </c>
      <c r="U136" s="15" t="s">
        <v>166</v>
      </c>
    </row>
    <row r="137" spans="1:21" x14ac:dyDescent="0.25">
      <c r="A137" s="16" t="s">
        <v>173</v>
      </c>
      <c r="B137" s="26"/>
      <c r="C137" s="26"/>
      <c r="D137" s="26"/>
      <c r="E137" s="26"/>
      <c r="F137" s="26"/>
      <c r="G137" s="26">
        <v>2</v>
      </c>
      <c r="H137" s="26"/>
      <c r="I137" s="26">
        <v>2</v>
      </c>
      <c r="N137" s="48" t="s">
        <v>168</v>
      </c>
      <c r="O137" s="49"/>
      <c r="Q137" s="48" t="s">
        <v>169</v>
      </c>
      <c r="R137" s="49"/>
      <c r="T137" s="48" t="s">
        <v>170</v>
      </c>
      <c r="U137" s="49"/>
    </row>
    <row r="138" spans="1:21" x14ac:dyDescent="0.25">
      <c r="A138" s="16" t="s">
        <v>179</v>
      </c>
      <c r="B138" s="26">
        <v>2</v>
      </c>
      <c r="C138" s="26"/>
      <c r="D138" s="26"/>
      <c r="E138" s="26"/>
      <c r="F138" s="26"/>
      <c r="G138" s="26"/>
      <c r="H138" s="26"/>
      <c r="I138" s="26">
        <v>2</v>
      </c>
      <c r="N138" s="19" t="s">
        <v>11</v>
      </c>
      <c r="O138" s="22" t="s">
        <v>172</v>
      </c>
      <c r="Q138" s="21" t="s">
        <v>11</v>
      </c>
      <c r="R138" s="22" t="s">
        <v>172</v>
      </c>
      <c r="T138" s="19" t="s">
        <v>11</v>
      </c>
      <c r="U138" s="15" t="s">
        <v>172</v>
      </c>
    </row>
    <row r="139" spans="1:21" x14ac:dyDescent="0.25">
      <c r="A139" s="16" t="s">
        <v>196</v>
      </c>
      <c r="B139" s="26"/>
      <c r="C139" s="26">
        <v>1</v>
      </c>
      <c r="D139" s="26"/>
      <c r="E139" s="26"/>
      <c r="F139" s="26"/>
      <c r="G139" s="26"/>
      <c r="H139" s="26"/>
      <c r="I139" s="26">
        <v>1</v>
      </c>
      <c r="N139" s="16" t="s">
        <v>19</v>
      </c>
      <c r="O139" s="23">
        <v>3796</v>
      </c>
      <c r="Q139" s="16" t="s">
        <v>174</v>
      </c>
      <c r="R139" s="22">
        <v>11265.01</v>
      </c>
      <c r="T139" s="16" t="s">
        <v>174</v>
      </c>
      <c r="U139" s="22">
        <v>11265.01</v>
      </c>
    </row>
    <row r="140" spans="1:21" x14ac:dyDescent="0.25">
      <c r="A140" s="16" t="s">
        <v>191</v>
      </c>
      <c r="B140" s="26"/>
      <c r="C140" s="26">
        <v>1</v>
      </c>
      <c r="D140" s="26"/>
      <c r="E140" s="26"/>
      <c r="F140" s="26"/>
      <c r="G140" s="26"/>
      <c r="H140" s="26"/>
      <c r="I140" s="26">
        <v>1</v>
      </c>
      <c r="N140" s="16" t="s">
        <v>21</v>
      </c>
      <c r="O140" s="23">
        <v>2385.0100000000002</v>
      </c>
      <c r="Q140" s="36" t="s">
        <v>176</v>
      </c>
      <c r="R140" s="22">
        <v>2925</v>
      </c>
      <c r="T140" s="36" t="s">
        <v>176</v>
      </c>
      <c r="U140" s="22">
        <v>2655</v>
      </c>
    </row>
    <row r="141" spans="1:21" x14ac:dyDescent="0.25">
      <c r="A141" s="16" t="s">
        <v>182</v>
      </c>
      <c r="B141" s="26"/>
      <c r="C141" s="26"/>
      <c r="D141" s="26"/>
      <c r="E141" s="26"/>
      <c r="F141" s="26"/>
      <c r="G141" s="26">
        <v>1</v>
      </c>
      <c r="H141" s="26"/>
      <c r="I141" s="26">
        <v>1</v>
      </c>
      <c r="N141" s="54" t="s">
        <v>25</v>
      </c>
      <c r="O141" s="23">
        <v>1610</v>
      </c>
      <c r="Q141" s="36" t="s">
        <v>177</v>
      </c>
      <c r="R141" s="22">
        <v>8340.01</v>
      </c>
      <c r="T141" s="36" t="s">
        <v>177</v>
      </c>
      <c r="U141" s="22">
        <v>8610.01</v>
      </c>
    </row>
    <row r="142" spans="1:21" x14ac:dyDescent="0.25">
      <c r="A142" s="16" t="s">
        <v>185</v>
      </c>
      <c r="B142" s="26"/>
      <c r="C142" s="26">
        <v>1</v>
      </c>
      <c r="D142" s="26"/>
      <c r="E142" s="26"/>
      <c r="F142" s="26"/>
      <c r="G142" s="26"/>
      <c r="H142" s="26"/>
      <c r="I142" s="26">
        <v>1</v>
      </c>
      <c r="N142" s="16" t="s">
        <v>10</v>
      </c>
      <c r="O142" s="23">
        <v>7791.01</v>
      </c>
      <c r="Q142" s="16" t="s">
        <v>10</v>
      </c>
      <c r="R142" s="22">
        <v>11265.01</v>
      </c>
      <c r="T142" s="15" t="s">
        <v>1790</v>
      </c>
      <c r="U142" s="22"/>
    </row>
    <row r="143" spans="1:21" x14ac:dyDescent="0.25">
      <c r="A143" s="16" t="s">
        <v>184</v>
      </c>
      <c r="B143" s="26"/>
      <c r="C143" s="26"/>
      <c r="D143" s="26"/>
      <c r="E143" s="26"/>
      <c r="F143" s="26">
        <v>1</v>
      </c>
      <c r="G143" s="26"/>
      <c r="H143" s="26"/>
      <c r="I143" s="26">
        <v>1</v>
      </c>
      <c r="N143"/>
      <c r="O143"/>
      <c r="T143" s="36" t="s">
        <v>1790</v>
      </c>
      <c r="U143" s="22"/>
    </row>
    <row r="144" spans="1:21" x14ac:dyDescent="0.25">
      <c r="A144" s="16" t="s">
        <v>151</v>
      </c>
      <c r="B144" s="26">
        <v>1</v>
      </c>
      <c r="C144" s="26"/>
      <c r="D144" s="26"/>
      <c r="E144" s="26"/>
      <c r="F144" s="26"/>
      <c r="G144" s="26"/>
      <c r="H144" s="26"/>
      <c r="I144" s="26">
        <v>1</v>
      </c>
      <c r="T144" s="24" t="s">
        <v>10</v>
      </c>
      <c r="U144" s="22">
        <v>11265.01</v>
      </c>
    </row>
    <row r="145" spans="1:9" x14ac:dyDescent="0.25">
      <c r="A145" s="16" t="s">
        <v>193</v>
      </c>
      <c r="B145" s="26"/>
      <c r="C145" s="26"/>
      <c r="D145" s="26"/>
      <c r="E145" s="26"/>
      <c r="F145" s="26"/>
      <c r="G145" s="26">
        <v>1</v>
      </c>
      <c r="H145" s="26"/>
      <c r="I145" s="26">
        <v>1</v>
      </c>
    </row>
    <row r="146" spans="1:9" x14ac:dyDescent="0.25">
      <c r="A146" s="16" t="s">
        <v>195</v>
      </c>
      <c r="B146" s="26"/>
      <c r="C146" s="26">
        <v>1</v>
      </c>
      <c r="D146" s="26"/>
      <c r="E146" s="26"/>
      <c r="F146" s="26"/>
      <c r="G146" s="26"/>
      <c r="H146" s="26"/>
      <c r="I146" s="26">
        <v>1</v>
      </c>
    </row>
    <row r="147" spans="1:9" x14ac:dyDescent="0.25">
      <c r="A147" s="16" t="s">
        <v>188</v>
      </c>
      <c r="B147" s="26"/>
      <c r="C147" s="26">
        <v>1</v>
      </c>
      <c r="D147" s="26"/>
      <c r="E147" s="26"/>
      <c r="F147" s="26"/>
      <c r="G147" s="26"/>
      <c r="H147" s="26"/>
      <c r="I147" s="26">
        <v>1</v>
      </c>
    </row>
    <row r="148" spans="1:9" x14ac:dyDescent="0.25">
      <c r="A148" s="16" t="s">
        <v>180</v>
      </c>
      <c r="B148" s="26">
        <v>1</v>
      </c>
      <c r="C148" s="26"/>
      <c r="D148" s="26"/>
      <c r="E148" s="26"/>
      <c r="F148" s="26"/>
      <c r="G148" s="26"/>
      <c r="H148" s="26"/>
      <c r="I148" s="26">
        <v>1</v>
      </c>
    </row>
    <row r="149" spans="1:9" x14ac:dyDescent="0.25">
      <c r="A149" s="16" t="s">
        <v>1264</v>
      </c>
      <c r="B149" s="26">
        <v>1</v>
      </c>
      <c r="C149" s="26"/>
      <c r="D149" s="26"/>
      <c r="E149" s="26"/>
      <c r="F149" s="26"/>
      <c r="G149" s="26"/>
      <c r="H149" s="26"/>
      <c r="I149" s="26">
        <v>1</v>
      </c>
    </row>
    <row r="150" spans="1:9" x14ac:dyDescent="0.25">
      <c r="A150" s="16" t="s">
        <v>183</v>
      </c>
      <c r="B150" s="26"/>
      <c r="C150" s="26"/>
      <c r="D150" s="26"/>
      <c r="E150" s="26"/>
      <c r="F150" s="26"/>
      <c r="G150" s="26">
        <v>1</v>
      </c>
      <c r="H150" s="26"/>
      <c r="I150" s="26">
        <v>1</v>
      </c>
    </row>
    <row r="151" spans="1:9" x14ac:dyDescent="0.25">
      <c r="A151" s="16" t="s">
        <v>189</v>
      </c>
      <c r="B151" s="26"/>
      <c r="C151" s="26">
        <v>1</v>
      </c>
      <c r="D151" s="26"/>
      <c r="E151" s="26"/>
      <c r="F151" s="26"/>
      <c r="G151" s="26"/>
      <c r="H151" s="26"/>
      <c r="I151" s="26">
        <v>1</v>
      </c>
    </row>
    <row r="152" spans="1:9" x14ac:dyDescent="0.25">
      <c r="A152" s="16" t="s">
        <v>190</v>
      </c>
      <c r="B152" s="26"/>
      <c r="C152" s="26">
        <v>1</v>
      </c>
      <c r="D152" s="26"/>
      <c r="E152" s="26"/>
      <c r="F152" s="26"/>
      <c r="G152" s="26"/>
      <c r="H152" s="26"/>
      <c r="I152" s="26">
        <v>1</v>
      </c>
    </row>
    <row r="153" spans="1:9" x14ac:dyDescent="0.25">
      <c r="A153" s="16" t="s">
        <v>139</v>
      </c>
      <c r="B153" s="26">
        <v>1</v>
      </c>
      <c r="C153" s="26"/>
      <c r="D153" s="26"/>
      <c r="E153" s="26"/>
      <c r="F153" s="26"/>
      <c r="G153" s="26"/>
      <c r="H153" s="26"/>
      <c r="I153" s="26">
        <v>1</v>
      </c>
    </row>
    <row r="154" spans="1:9" x14ac:dyDescent="0.25">
      <c r="A154" s="16" t="s">
        <v>971</v>
      </c>
      <c r="B154" s="26"/>
      <c r="C154" s="26">
        <v>1</v>
      </c>
      <c r="D154" s="26"/>
      <c r="E154" s="26"/>
      <c r="F154" s="26"/>
      <c r="G154" s="26"/>
      <c r="H154" s="26"/>
      <c r="I154" s="26">
        <v>1</v>
      </c>
    </row>
    <row r="155" spans="1:9" x14ac:dyDescent="0.25">
      <c r="A155" s="16" t="s">
        <v>192</v>
      </c>
      <c r="B155" s="26"/>
      <c r="C155" s="26">
        <v>1</v>
      </c>
      <c r="D155" s="26"/>
      <c r="E155" s="26"/>
      <c r="F155" s="26"/>
      <c r="G155" s="26"/>
      <c r="H155" s="26"/>
      <c r="I155" s="26">
        <v>1</v>
      </c>
    </row>
    <row r="156" spans="1:9" x14ac:dyDescent="0.25">
      <c r="A156" s="16" t="s">
        <v>194</v>
      </c>
      <c r="B156" s="26"/>
      <c r="C156" s="26">
        <v>1</v>
      </c>
      <c r="D156" s="26"/>
      <c r="E156" s="26"/>
      <c r="F156" s="26"/>
      <c r="G156" s="26"/>
      <c r="H156" s="26"/>
      <c r="I156" s="26">
        <v>1</v>
      </c>
    </row>
    <row r="157" spans="1:9" x14ac:dyDescent="0.25">
      <c r="A157" s="16" t="s">
        <v>164</v>
      </c>
      <c r="B157" s="26"/>
      <c r="C157" s="26"/>
      <c r="D157" s="26">
        <v>1</v>
      </c>
      <c r="E157" s="26"/>
      <c r="F157" s="26"/>
      <c r="G157" s="26"/>
      <c r="H157" s="26"/>
      <c r="I157" s="26">
        <v>1</v>
      </c>
    </row>
    <row r="158" spans="1:9" x14ac:dyDescent="0.25">
      <c r="A158" s="16" t="s">
        <v>186</v>
      </c>
      <c r="B158" s="26"/>
      <c r="C158" s="26"/>
      <c r="D158" s="26"/>
      <c r="E158" s="26"/>
      <c r="F158" s="26"/>
      <c r="G158" s="26">
        <v>1</v>
      </c>
      <c r="H158" s="26"/>
      <c r="I158" s="26">
        <v>1</v>
      </c>
    </row>
    <row r="159" spans="1:9" x14ac:dyDescent="0.25">
      <c r="A159" s="16" t="s">
        <v>175</v>
      </c>
      <c r="B159" s="26"/>
      <c r="C159" s="26"/>
      <c r="D159" s="26"/>
      <c r="E159" s="26"/>
      <c r="F159" s="26"/>
      <c r="G159" s="26">
        <v>1</v>
      </c>
      <c r="H159" s="26"/>
      <c r="I159" s="26">
        <v>1</v>
      </c>
    </row>
    <row r="160" spans="1:9" x14ac:dyDescent="0.25">
      <c r="A160" s="16" t="s">
        <v>10</v>
      </c>
      <c r="B160" s="26">
        <v>126</v>
      </c>
      <c r="C160" s="26">
        <v>54</v>
      </c>
      <c r="D160" s="26">
        <v>51</v>
      </c>
      <c r="E160" s="26">
        <v>70</v>
      </c>
      <c r="F160" s="26">
        <v>74</v>
      </c>
      <c r="G160" s="26">
        <v>88</v>
      </c>
      <c r="H160" s="26">
        <v>5</v>
      </c>
      <c r="I160" s="26">
        <v>468</v>
      </c>
    </row>
    <row r="161" spans="1:14" x14ac:dyDescent="0.25">
      <c r="A161"/>
      <c r="B161"/>
      <c r="C161"/>
      <c r="D161"/>
      <c r="E161"/>
      <c r="F161"/>
      <c r="G161"/>
      <c r="H161"/>
      <c r="I161"/>
    </row>
    <row r="162" spans="1:14" x14ac:dyDescent="0.25">
      <c r="A162"/>
      <c r="B162"/>
      <c r="C162"/>
      <c r="D162"/>
      <c r="E162"/>
      <c r="F162"/>
      <c r="G162"/>
      <c r="H162"/>
      <c r="I162"/>
    </row>
    <row r="163" spans="1:14" x14ac:dyDescent="0.25">
      <c r="A163"/>
      <c r="B163"/>
      <c r="C163"/>
      <c r="D163"/>
      <c r="E163"/>
      <c r="F163"/>
      <c r="G163"/>
      <c r="H163"/>
      <c r="I163"/>
      <c r="N163" s="15"/>
    </row>
    <row r="164" spans="1:14" x14ac:dyDescent="0.25">
      <c r="A164"/>
      <c r="B164"/>
      <c r="C164"/>
      <c r="D164"/>
      <c r="E164"/>
      <c r="F164"/>
      <c r="G164"/>
      <c r="H164"/>
      <c r="I164"/>
      <c r="N164" s="15"/>
    </row>
    <row r="165" spans="1:14" x14ac:dyDescent="0.25">
      <c r="A165"/>
      <c r="B165"/>
      <c r="C165"/>
      <c r="D165"/>
      <c r="E165"/>
      <c r="F165"/>
      <c r="G165"/>
      <c r="H165"/>
      <c r="I165"/>
      <c r="N165" s="15"/>
    </row>
    <row r="166" spans="1:14" x14ac:dyDescent="0.25">
      <c r="A166"/>
      <c r="B166"/>
      <c r="C166"/>
      <c r="D166"/>
      <c r="E166"/>
      <c r="F166"/>
      <c r="G166"/>
      <c r="H166"/>
      <c r="I166"/>
      <c r="N166" s="15"/>
    </row>
    <row r="167" spans="1:14" x14ac:dyDescent="0.25">
      <c r="N167" s="15"/>
    </row>
    <row r="168" spans="1:14" x14ac:dyDescent="0.25">
      <c r="N168" s="15"/>
    </row>
    <row r="169" spans="1:14" x14ac:dyDescent="0.25">
      <c r="N169" s="15"/>
    </row>
    <row r="170" spans="1:14" x14ac:dyDescent="0.25">
      <c r="N170" s="15"/>
    </row>
    <row r="171" spans="1:14" x14ac:dyDescent="0.25">
      <c r="N171" s="15"/>
    </row>
    <row r="172" spans="1:14" x14ac:dyDescent="0.25">
      <c r="N172" s="15"/>
    </row>
    <row r="173" spans="1:14" x14ac:dyDescent="0.25">
      <c r="N173" s="15"/>
    </row>
    <row r="174" spans="1:14" x14ac:dyDescent="0.25">
      <c r="N174" s="15"/>
    </row>
    <row r="175" spans="1:14" x14ac:dyDescent="0.25">
      <c r="N175" s="15"/>
    </row>
    <row r="176" spans="1:14" x14ac:dyDescent="0.25">
      <c r="N176" s="15"/>
    </row>
    <row r="177" spans="14:14" x14ac:dyDescent="0.25">
      <c r="N177" s="15"/>
    </row>
    <row r="178" spans="14:14" x14ac:dyDescent="0.25">
      <c r="N178" s="15"/>
    </row>
    <row r="179" spans="14:14" x14ac:dyDescent="0.25">
      <c r="N179" s="15"/>
    </row>
    <row r="180" spans="14:14" x14ac:dyDescent="0.25">
      <c r="N180" s="15"/>
    </row>
    <row r="181" spans="14:14" x14ac:dyDescent="0.25">
      <c r="N181" s="15"/>
    </row>
    <row r="182" spans="14:14" x14ac:dyDescent="0.25">
      <c r="N182" s="15"/>
    </row>
    <row r="183" spans="14:14" x14ac:dyDescent="0.25">
      <c r="N183" s="15"/>
    </row>
    <row r="184" spans="14:14" x14ac:dyDescent="0.25">
      <c r="N184" s="15"/>
    </row>
    <row r="185" spans="14:14" x14ac:dyDescent="0.25">
      <c r="N185" s="15"/>
    </row>
    <row r="186" spans="14:14" x14ac:dyDescent="0.25">
      <c r="N186" s="15"/>
    </row>
    <row r="187" spans="14:14" ht="15" customHeight="1" x14ac:dyDescent="0.25">
      <c r="N187" s="15"/>
    </row>
    <row r="188" spans="14:14" ht="15" customHeight="1" x14ac:dyDescent="0.25">
      <c r="N188" s="15"/>
    </row>
    <row r="189" spans="14:14" ht="15" customHeight="1" x14ac:dyDescent="0.25">
      <c r="N189" s="15"/>
    </row>
    <row r="190" spans="14:14" ht="15" customHeight="1" x14ac:dyDescent="0.25">
      <c r="N190" s="15"/>
    </row>
    <row r="191" spans="14:14" ht="15" customHeight="1" x14ac:dyDescent="0.25">
      <c r="N191" s="15"/>
    </row>
    <row r="192" spans="14:14" ht="15" customHeight="1" x14ac:dyDescent="0.25">
      <c r="N192" s="15"/>
    </row>
    <row r="193" spans="14:14" ht="15" customHeight="1" x14ac:dyDescent="0.25">
      <c r="N193" s="15"/>
    </row>
    <row r="194" spans="14:14" ht="15" customHeight="1" x14ac:dyDescent="0.25">
      <c r="N194" s="15"/>
    </row>
    <row r="195" spans="14:14" ht="15" customHeight="1" x14ac:dyDescent="0.25">
      <c r="N195" s="15"/>
    </row>
    <row r="196" spans="14:14" ht="15" customHeight="1" x14ac:dyDescent="0.25">
      <c r="N196" s="15"/>
    </row>
    <row r="197" spans="14:14" ht="15" customHeight="1" x14ac:dyDescent="0.25">
      <c r="N197" s="15"/>
    </row>
    <row r="198" spans="14:14" ht="15" customHeight="1" x14ac:dyDescent="0.25">
      <c r="N198" s="15"/>
    </row>
    <row r="199" spans="14:14" ht="15" customHeight="1" x14ac:dyDescent="0.25">
      <c r="N199" s="15"/>
    </row>
    <row r="200" spans="14:14" ht="15" customHeight="1" x14ac:dyDescent="0.25">
      <c r="N200" s="15"/>
    </row>
    <row r="201" spans="14:14" ht="15" customHeight="1" x14ac:dyDescent="0.25">
      <c r="N201" s="15"/>
    </row>
    <row r="202" spans="14:14" ht="15" customHeight="1" x14ac:dyDescent="0.25">
      <c r="N202" s="15"/>
    </row>
    <row r="203" spans="14:14" ht="15" customHeight="1" x14ac:dyDescent="0.25">
      <c r="N203" s="15"/>
    </row>
    <row r="204" spans="14:14" ht="15" customHeight="1" x14ac:dyDescent="0.25">
      <c r="N204" s="15"/>
    </row>
    <row r="205" spans="14:14" ht="15" customHeight="1" x14ac:dyDescent="0.25">
      <c r="N205" s="15"/>
    </row>
    <row r="206" spans="14:14" ht="15" customHeight="1" x14ac:dyDescent="0.25">
      <c r="N206" s="15"/>
    </row>
    <row r="207" spans="14:14" ht="15" customHeight="1" x14ac:dyDescent="0.25">
      <c r="N207" s="15"/>
    </row>
    <row r="208" spans="14:14" ht="15" customHeight="1" x14ac:dyDescent="0.25">
      <c r="N208" s="15"/>
    </row>
    <row r="209" spans="14:14" ht="15" customHeight="1" x14ac:dyDescent="0.25">
      <c r="N209" s="15"/>
    </row>
    <row r="210" spans="14:14" ht="15" customHeight="1" x14ac:dyDescent="0.25">
      <c r="N210" s="15"/>
    </row>
    <row r="211" spans="14:14" ht="15" customHeight="1" x14ac:dyDescent="0.25">
      <c r="N211" s="15"/>
    </row>
    <row r="212" spans="14:14" ht="15" customHeight="1" x14ac:dyDescent="0.25">
      <c r="N212" s="15"/>
    </row>
    <row r="213" spans="14:14" ht="15" customHeight="1" x14ac:dyDescent="0.25">
      <c r="N213" s="15"/>
    </row>
    <row r="214" spans="14:14" ht="15" customHeight="1" x14ac:dyDescent="0.25">
      <c r="N214" s="15"/>
    </row>
    <row r="215" spans="14:14" ht="15" customHeight="1" x14ac:dyDescent="0.25">
      <c r="N215" s="15"/>
    </row>
    <row r="216" spans="14:14" ht="15" customHeight="1" x14ac:dyDescent="0.25">
      <c r="N216" s="15"/>
    </row>
    <row r="217" spans="14:14" ht="15" customHeight="1" x14ac:dyDescent="0.25"/>
    <row r="218" spans="14:14" ht="15" customHeight="1" x14ac:dyDescent="0.25"/>
    <row r="219" spans="14:14" ht="15" customHeight="1" x14ac:dyDescent="0.25"/>
    <row r="220" spans="14:14" ht="15" customHeight="1" x14ac:dyDescent="0.25"/>
    <row r="221" spans="14:14" ht="15" customHeight="1" x14ac:dyDescent="0.25"/>
    <row r="222" spans="14:14" ht="15" customHeight="1" x14ac:dyDescent="0.25"/>
    <row r="223" spans="14:14" ht="15" customHeight="1" x14ac:dyDescent="0.25"/>
    <row r="224" spans="14:1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</sheetData>
  <mergeCells count="16">
    <mergeCell ref="A1:V1"/>
    <mergeCell ref="N51:S51"/>
    <mergeCell ref="Q137:R137"/>
    <mergeCell ref="A31:I31"/>
    <mergeCell ref="A4:F4"/>
    <mergeCell ref="T137:U137"/>
    <mergeCell ref="N137:O137"/>
    <mergeCell ref="A17:E17"/>
    <mergeCell ref="A92:I92"/>
    <mergeCell ref="T51:V51"/>
    <mergeCell ref="N4:V4"/>
    <mergeCell ref="A69:I69"/>
    <mergeCell ref="A82:I82"/>
    <mergeCell ref="A41:I41"/>
    <mergeCell ref="A16:E16"/>
    <mergeCell ref="A19:F19"/>
  </mergeCells>
  <pageMargins left="0.74803149606299213" right="0.74803149606299213" top="0.19685039370078741" bottom="0.19685039370078741" header="0.51181102362204722" footer="0.51181102362204722"/>
  <pageSetup paperSize="9" scale="1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21" width="9.140625" style="1" customWidth="1"/>
    <col min="422" max="16384" width="9.140625" style="1"/>
  </cols>
  <sheetData>
    <row r="1" spans="1:5" x14ac:dyDescent="0.2">
      <c r="A1" s="5" t="s">
        <v>197</v>
      </c>
      <c r="B1" s="5" t="s">
        <v>198</v>
      </c>
      <c r="C1" s="5" t="s">
        <v>199</v>
      </c>
      <c r="D1" s="5" t="s">
        <v>200</v>
      </c>
      <c r="E1" s="5" t="s">
        <v>201</v>
      </c>
    </row>
    <row r="2" spans="1:5" x14ac:dyDescent="0.2">
      <c r="A2" s="2">
        <f>Dashboard!F16</f>
        <v>290</v>
      </c>
      <c r="B2" s="5" t="s">
        <v>12</v>
      </c>
      <c r="C2" s="5">
        <f>IFERROR(GETPIVOTDATA("RESPONSÁVEL",Dashboard!$N$5,"OBTS","ARGO(TMS)"),0)</f>
        <v>126</v>
      </c>
      <c r="D2" s="9">
        <v>2488</v>
      </c>
      <c r="E2" s="4">
        <f t="shared" ref="E2:E8" si="0">C2/$C$9</f>
        <v>0.26923076923076922</v>
      </c>
    </row>
    <row r="3" spans="1:5" x14ac:dyDescent="0.2">
      <c r="B3" s="5" t="s">
        <v>13</v>
      </c>
      <c r="C3" s="5">
        <f>IFERROR(GETPIVOTDATA("RESPONSÁVEL",Dashboard!$N$5,"OBTS","GOVER"),0)</f>
        <v>54</v>
      </c>
      <c r="D3" s="9">
        <v>1935</v>
      </c>
      <c r="E3" s="4">
        <f t="shared" si="0"/>
        <v>0.11538461538461539</v>
      </c>
    </row>
    <row r="4" spans="1:5" x14ac:dyDescent="0.2">
      <c r="B4" s="5" t="s">
        <v>14</v>
      </c>
      <c r="C4" s="5">
        <f>IFERROR(GETPIVOTDATA("RESPONSÁVEL",Dashboard!$N$5,"OBTS","KONTRIP"),0)</f>
        <v>51</v>
      </c>
      <c r="D4" s="9">
        <v>457</v>
      </c>
      <c r="E4" s="4">
        <f t="shared" si="0"/>
        <v>0.10897435897435898</v>
      </c>
    </row>
    <row r="5" spans="1:5" x14ac:dyDescent="0.2">
      <c r="B5" s="5" t="s">
        <v>15</v>
      </c>
      <c r="C5" s="5">
        <f>IFERROR(GETPIVOTDATA("RESPONSÁVEL",Dashboard!$N$5,"OBTS","LEMONTECH"),0)</f>
        <v>70</v>
      </c>
      <c r="D5" s="9">
        <v>741</v>
      </c>
      <c r="E5" s="4">
        <f t="shared" si="0"/>
        <v>0.14957264957264957</v>
      </c>
    </row>
    <row r="6" spans="1:5" x14ac:dyDescent="0.2">
      <c r="B6" s="5" t="s">
        <v>16</v>
      </c>
      <c r="C6" s="5">
        <f>IFERROR(GETPIVOTDATA("RESPONSÁVEL",Dashboard!$N$5,"OBTS","MANUAL"),0)</f>
        <v>74</v>
      </c>
      <c r="D6" s="9">
        <v>330</v>
      </c>
      <c r="E6" s="4">
        <f t="shared" si="0"/>
        <v>0.15811965811965811</v>
      </c>
    </row>
    <row r="7" spans="1:5" x14ac:dyDescent="0.2">
      <c r="B7" s="5" t="s">
        <v>17</v>
      </c>
      <c r="C7" s="5">
        <f>IFERROR(GETPIVOTDATA("RESPONSÁVEL",Dashboard!$N$5,"OBTS","SABRE"),0)</f>
        <v>88</v>
      </c>
      <c r="D7" s="9">
        <v>637</v>
      </c>
      <c r="E7" s="4">
        <f t="shared" si="0"/>
        <v>0.18803418803418803</v>
      </c>
    </row>
    <row r="8" spans="1:5" x14ac:dyDescent="0.2">
      <c r="B8" s="5" t="s">
        <v>18</v>
      </c>
      <c r="C8" s="5">
        <f>GETPIVOTDATA("RESPONSÁVEL",Dashboard!$N$5,"OBTS","ZUPPER")</f>
        <v>5</v>
      </c>
      <c r="D8" s="9">
        <v>3440</v>
      </c>
      <c r="E8" s="4">
        <f t="shared" si="0"/>
        <v>1.0683760683760684E-2</v>
      </c>
    </row>
    <row r="9" spans="1:5" x14ac:dyDescent="0.2">
      <c r="B9" s="7" t="s">
        <v>10</v>
      </c>
      <c r="C9" s="7">
        <f>SUM(C2:C8)</f>
        <v>468</v>
      </c>
      <c r="D9" s="3">
        <f>SUM(D2:D8)</f>
        <v>10028</v>
      </c>
      <c r="E9" s="8">
        <f>C9/D9</f>
        <v>4.6669325887514955E-2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 filterMode="1"/>
  <dimension ref="A1:AQ2160"/>
  <sheetViews>
    <sheetView tabSelected="1" topLeftCell="AI1" zoomScaleNormal="100" workbookViewId="0">
      <pane ySplit="1" topLeftCell="A452" activePane="bottomLeft" state="frozen"/>
      <selection pane="bottomLeft" activeCell="AJ10" sqref="AJ10:AJ556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7.7109375" style="6" bestFit="1" customWidth="1"/>
    <col min="9" max="9" width="11.85546875" style="6" bestFit="1" customWidth="1"/>
    <col min="10" max="10" width="44.140625" style="6" bestFit="1" customWidth="1"/>
    <col min="11" max="11" width="36.28515625" style="6" bestFit="1" customWidth="1"/>
    <col min="12" max="12" width="36.28515625" style="12" bestFit="1" customWidth="1"/>
    <col min="13" max="13" width="18.28515625" style="6" bestFit="1" customWidth="1"/>
    <col min="14" max="14" width="15.85546875" style="6" bestFit="1" customWidth="1"/>
    <col min="15" max="15" width="18.85546875" style="6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66.5703125" style="6" bestFit="1" customWidth="1"/>
    <col min="23" max="23" width="17.85546875" style="6" bestFit="1" customWidth="1"/>
    <col min="24" max="24" width="55.57031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9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95.28515625" style="6" customWidth="1"/>
    <col min="37" max="37" width="11.85546875" style="6" bestFit="1" customWidth="1"/>
    <col min="38" max="38" width="37.42578125" style="6" bestFit="1" customWidth="1"/>
    <col min="39" max="39" width="32.42578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13" width="13.5703125" style="6" customWidth="1"/>
    <col min="114" max="16384" width="13.5703125" style="6"/>
  </cols>
  <sheetData>
    <row r="1" spans="1:43" x14ac:dyDescent="0.25">
      <c r="A1" s="44" t="s">
        <v>202</v>
      </c>
      <c r="B1" s="45" t="s">
        <v>203</v>
      </c>
      <c r="C1" s="45" t="s">
        <v>204</v>
      </c>
      <c r="D1" s="45" t="s">
        <v>205</v>
      </c>
      <c r="E1" s="45" t="s">
        <v>206</v>
      </c>
      <c r="F1" s="46" t="s">
        <v>6</v>
      </c>
      <c r="G1" s="46" t="s">
        <v>207</v>
      </c>
      <c r="H1" s="45" t="s">
        <v>208</v>
      </c>
      <c r="I1" s="45" t="s">
        <v>209</v>
      </c>
      <c r="J1" s="45" t="s">
        <v>210</v>
      </c>
      <c r="K1" s="45" t="s">
        <v>211</v>
      </c>
      <c r="L1" s="45" t="s">
        <v>212</v>
      </c>
      <c r="M1" s="45" t="s">
        <v>213</v>
      </c>
      <c r="N1" s="45" t="s">
        <v>214</v>
      </c>
      <c r="O1" s="45" t="s">
        <v>215</v>
      </c>
      <c r="P1" s="45" t="s">
        <v>216</v>
      </c>
      <c r="Q1" s="45" t="s">
        <v>217</v>
      </c>
      <c r="R1" s="45" t="s">
        <v>218</v>
      </c>
      <c r="S1" s="45" t="s">
        <v>3</v>
      </c>
      <c r="T1" s="45" t="s">
        <v>219</v>
      </c>
      <c r="U1" s="45" t="s">
        <v>220</v>
      </c>
      <c r="V1" s="45" t="s">
        <v>221</v>
      </c>
      <c r="W1" s="45" t="s">
        <v>222</v>
      </c>
      <c r="X1" s="45" t="s">
        <v>223</v>
      </c>
      <c r="Y1" s="45" t="s">
        <v>224</v>
      </c>
      <c r="Z1" s="45" t="s">
        <v>225</v>
      </c>
      <c r="AA1" s="45" t="s">
        <v>226</v>
      </c>
      <c r="AB1" s="45" t="s">
        <v>165</v>
      </c>
      <c r="AC1" s="45" t="s">
        <v>227</v>
      </c>
      <c r="AD1" s="45" t="s">
        <v>228</v>
      </c>
      <c r="AE1" s="45" t="s">
        <v>229</v>
      </c>
      <c r="AF1" s="45" t="s">
        <v>230</v>
      </c>
      <c r="AG1" s="45" t="s">
        <v>231</v>
      </c>
      <c r="AH1" s="45" t="s">
        <v>232</v>
      </c>
      <c r="AI1" s="45" t="s">
        <v>233</v>
      </c>
      <c r="AJ1" s="45" t="s">
        <v>234</v>
      </c>
      <c r="AK1" s="46" t="s">
        <v>198</v>
      </c>
      <c r="AL1" s="46" t="s">
        <v>235</v>
      </c>
      <c r="AM1" s="46" t="s">
        <v>236</v>
      </c>
      <c r="AN1" s="46" t="s">
        <v>237</v>
      </c>
      <c r="AO1" s="46" t="s">
        <v>238</v>
      </c>
      <c r="AP1" s="46" t="s">
        <v>239</v>
      </c>
      <c r="AQ1" s="46" t="s">
        <v>240</v>
      </c>
    </row>
    <row r="2" spans="1:43" hidden="1" x14ac:dyDescent="0.25">
      <c r="A2" s="6">
        <v>22687782</v>
      </c>
      <c r="B2" s="6">
        <v>23491432</v>
      </c>
      <c r="C2" s="6" t="s">
        <v>241</v>
      </c>
      <c r="D2" s="14">
        <v>45874.713217592587</v>
      </c>
      <c r="E2" s="14">
        <v>45875.369398148148</v>
      </c>
      <c r="F2" s="6" t="s">
        <v>19</v>
      </c>
      <c r="G2" s="6" t="s">
        <v>21</v>
      </c>
      <c r="H2" s="6" t="s">
        <v>242</v>
      </c>
      <c r="I2" s="6" t="s">
        <v>16</v>
      </c>
      <c r="J2" s="6" t="s">
        <v>243</v>
      </c>
      <c r="K2" s="6" t="s">
        <v>244</v>
      </c>
      <c r="L2" s="6" t="s">
        <v>244</v>
      </c>
      <c r="M2" s="14">
        <v>45874.713194444441</v>
      </c>
      <c r="N2" s="6" t="s">
        <v>92</v>
      </c>
      <c r="O2" s="6" t="s">
        <v>92</v>
      </c>
      <c r="P2" s="6" t="s">
        <v>245</v>
      </c>
      <c r="Q2" s="6" t="s">
        <v>246</v>
      </c>
      <c r="R2" s="6" t="s">
        <v>247</v>
      </c>
      <c r="S2" s="6" t="s">
        <v>3</v>
      </c>
      <c r="T2" s="6" t="s">
        <v>248</v>
      </c>
      <c r="U2" s="6" t="s">
        <v>92</v>
      </c>
      <c r="V2" s="6" t="s">
        <v>249</v>
      </c>
      <c r="W2" s="6" t="s">
        <v>92</v>
      </c>
      <c r="X2" s="6" t="s">
        <v>250</v>
      </c>
      <c r="Y2" s="6" t="s">
        <v>92</v>
      </c>
      <c r="Z2" s="6" t="s">
        <v>92</v>
      </c>
      <c r="AA2" s="6">
        <v>170240</v>
      </c>
      <c r="AB2" s="6">
        <v>16875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92</v>
      </c>
      <c r="AJ2" s="6" t="s">
        <v>251</v>
      </c>
      <c r="AK2" s="6" t="s">
        <v>16</v>
      </c>
      <c r="AL2" s="6" t="s">
        <v>59</v>
      </c>
      <c r="AM2" s="6" t="s">
        <v>252</v>
      </c>
      <c r="AN2" s="6" t="s">
        <v>22</v>
      </c>
      <c r="AO2" s="6" t="s">
        <v>253</v>
      </c>
      <c r="AP2" s="6" t="s">
        <v>254</v>
      </c>
      <c r="AQ2" s="6" t="s">
        <v>45</v>
      </c>
    </row>
    <row r="3" spans="1:43" hidden="1" x14ac:dyDescent="0.25">
      <c r="A3" s="6">
        <v>22687782</v>
      </c>
      <c r="B3" s="6">
        <v>23491443</v>
      </c>
      <c r="C3" s="6" t="s">
        <v>255</v>
      </c>
      <c r="D3" s="14">
        <v>45874.713217592587</v>
      </c>
      <c r="E3" s="14">
        <v>45875.369398148148</v>
      </c>
      <c r="F3" s="6" t="s">
        <v>19</v>
      </c>
      <c r="G3" s="6" t="s">
        <v>21</v>
      </c>
      <c r="H3" s="6" t="s">
        <v>242</v>
      </c>
      <c r="I3" s="6" t="s">
        <v>16</v>
      </c>
      <c r="J3" s="6" t="s">
        <v>256</v>
      </c>
      <c r="K3" s="6" t="s">
        <v>244</v>
      </c>
      <c r="L3" s="6" t="s">
        <v>244</v>
      </c>
      <c r="M3" s="14">
        <v>45874.713194444441</v>
      </c>
      <c r="N3" s="6" t="s">
        <v>92</v>
      </c>
      <c r="O3" s="6" t="s">
        <v>92</v>
      </c>
      <c r="P3" s="6" t="s">
        <v>245</v>
      </c>
      <c r="Q3" s="6" t="s">
        <v>246</v>
      </c>
      <c r="R3" s="6" t="s">
        <v>247</v>
      </c>
      <c r="S3" s="6" t="s">
        <v>3</v>
      </c>
      <c r="T3" s="6" t="s">
        <v>248</v>
      </c>
      <c r="U3" s="6" t="s">
        <v>92</v>
      </c>
      <c r="V3" s="6" t="s">
        <v>249</v>
      </c>
      <c r="W3" s="6" t="s">
        <v>92</v>
      </c>
      <c r="X3" s="6" t="s">
        <v>250</v>
      </c>
      <c r="Y3" s="6" t="s">
        <v>92</v>
      </c>
      <c r="Z3" s="6" t="s">
        <v>92</v>
      </c>
      <c r="AA3" s="6">
        <v>170240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2568.04</v>
      </c>
      <c r="AI3" s="6" t="s">
        <v>92</v>
      </c>
      <c r="AJ3" s="6" t="s">
        <v>251</v>
      </c>
      <c r="AK3" s="6" t="s">
        <v>16</v>
      </c>
      <c r="AL3" s="6" t="s">
        <v>59</v>
      </c>
      <c r="AM3" s="6" t="s">
        <v>252</v>
      </c>
      <c r="AN3" s="6" t="s">
        <v>22</v>
      </c>
      <c r="AO3" s="6" t="s">
        <v>253</v>
      </c>
      <c r="AP3" s="6" t="s">
        <v>254</v>
      </c>
      <c r="AQ3" s="6" t="s">
        <v>45</v>
      </c>
    </row>
    <row r="4" spans="1:43" hidden="1" x14ac:dyDescent="0.25">
      <c r="A4" s="6">
        <v>22691760</v>
      </c>
      <c r="B4" s="6">
        <v>23494797</v>
      </c>
      <c r="C4" s="6" t="s">
        <v>241</v>
      </c>
      <c r="D4" s="14">
        <v>45875.369687500002</v>
      </c>
      <c r="E4" s="14">
        <v>45875.380856481483</v>
      </c>
      <c r="F4" s="6" t="s">
        <v>19</v>
      </c>
      <c r="G4" s="6" t="s">
        <v>19</v>
      </c>
      <c r="H4" s="6" t="s">
        <v>257</v>
      </c>
      <c r="I4" s="6" t="s">
        <v>16</v>
      </c>
      <c r="J4" s="6" t="s">
        <v>243</v>
      </c>
      <c r="K4" s="6" t="s">
        <v>244</v>
      </c>
      <c r="L4" s="6" t="s">
        <v>244</v>
      </c>
      <c r="M4" s="14">
        <v>45875.369444444441</v>
      </c>
      <c r="N4" s="6" t="s">
        <v>92</v>
      </c>
      <c r="O4" s="6" t="s">
        <v>92</v>
      </c>
      <c r="P4" s="6" t="s">
        <v>245</v>
      </c>
      <c r="Q4" s="6" t="s">
        <v>246</v>
      </c>
      <c r="R4" s="6" t="s">
        <v>247</v>
      </c>
      <c r="S4" s="6" t="s">
        <v>3</v>
      </c>
      <c r="T4" s="6" t="s">
        <v>248</v>
      </c>
      <c r="U4" s="6" t="s">
        <v>92</v>
      </c>
      <c r="V4" s="6" t="s">
        <v>249</v>
      </c>
      <c r="W4" s="6" t="s">
        <v>92</v>
      </c>
      <c r="X4" s="6" t="s">
        <v>250</v>
      </c>
      <c r="Y4" s="6" t="s">
        <v>92</v>
      </c>
      <c r="Z4" s="6" t="s">
        <v>92</v>
      </c>
      <c r="AA4" s="6">
        <v>170240</v>
      </c>
      <c r="AB4" s="6">
        <v>16875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92</v>
      </c>
      <c r="AJ4" s="6" t="s">
        <v>251</v>
      </c>
      <c r="AK4" s="6" t="s">
        <v>16</v>
      </c>
      <c r="AL4" s="6" t="s">
        <v>59</v>
      </c>
      <c r="AM4" s="6" t="s">
        <v>252</v>
      </c>
      <c r="AN4" s="6" t="s">
        <v>22</v>
      </c>
      <c r="AO4" s="6" t="s">
        <v>253</v>
      </c>
      <c r="AP4" s="6" t="s">
        <v>254</v>
      </c>
      <c r="AQ4" s="6" t="s">
        <v>45</v>
      </c>
    </row>
    <row r="5" spans="1:43" hidden="1" x14ac:dyDescent="0.25">
      <c r="A5" s="6">
        <v>22691760</v>
      </c>
      <c r="B5" s="6">
        <v>23494800</v>
      </c>
      <c r="C5" s="6" t="s">
        <v>255</v>
      </c>
      <c r="D5" s="14">
        <v>45875.369687500002</v>
      </c>
      <c r="E5" s="14">
        <v>45875.380856481483</v>
      </c>
      <c r="F5" s="6" t="s">
        <v>19</v>
      </c>
      <c r="G5" s="6" t="s">
        <v>19</v>
      </c>
      <c r="H5" s="6" t="s">
        <v>257</v>
      </c>
      <c r="I5" s="6" t="s">
        <v>16</v>
      </c>
      <c r="J5" s="6" t="s">
        <v>256</v>
      </c>
      <c r="K5" s="6" t="s">
        <v>244</v>
      </c>
      <c r="L5" s="6" t="s">
        <v>244</v>
      </c>
      <c r="M5" s="14">
        <v>45875.369444444441</v>
      </c>
      <c r="N5" s="6" t="s">
        <v>92</v>
      </c>
      <c r="O5" s="6" t="s">
        <v>92</v>
      </c>
      <c r="P5" s="6" t="s">
        <v>245</v>
      </c>
      <c r="Q5" s="6" t="s">
        <v>246</v>
      </c>
      <c r="R5" s="6" t="s">
        <v>247</v>
      </c>
      <c r="S5" s="6" t="s">
        <v>3</v>
      </c>
      <c r="T5" s="6" t="s">
        <v>248</v>
      </c>
      <c r="U5" s="6" t="s">
        <v>92</v>
      </c>
      <c r="V5" s="6" t="s">
        <v>249</v>
      </c>
      <c r="W5" s="6" t="s">
        <v>92</v>
      </c>
      <c r="X5" s="6" t="s">
        <v>250</v>
      </c>
      <c r="Y5" s="6" t="s">
        <v>92</v>
      </c>
      <c r="Z5" s="6" t="s">
        <v>92</v>
      </c>
      <c r="AA5" s="6">
        <v>170240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2568.04</v>
      </c>
      <c r="AI5" s="6" t="s">
        <v>92</v>
      </c>
      <c r="AJ5" s="6" t="s">
        <v>251</v>
      </c>
      <c r="AK5" s="6" t="s">
        <v>16</v>
      </c>
      <c r="AL5" s="6" t="s">
        <v>59</v>
      </c>
      <c r="AM5" s="6" t="s">
        <v>252</v>
      </c>
      <c r="AN5" s="6" t="s">
        <v>22</v>
      </c>
      <c r="AO5" s="6" t="s">
        <v>253</v>
      </c>
      <c r="AP5" s="6" t="s">
        <v>254</v>
      </c>
      <c r="AQ5" s="6" t="s">
        <v>45</v>
      </c>
    </row>
    <row r="6" spans="1:43" hidden="1" x14ac:dyDescent="0.25">
      <c r="A6" s="6">
        <v>22682882</v>
      </c>
      <c r="B6" s="6">
        <v>23487228</v>
      </c>
      <c r="C6" s="6" t="s">
        <v>241</v>
      </c>
      <c r="D6" s="14">
        <v>45874.003252314818</v>
      </c>
      <c r="E6" s="14">
        <v>45874.010682870372</v>
      </c>
      <c r="F6" s="6" t="s">
        <v>21</v>
      </c>
      <c r="G6" s="6" t="s">
        <v>21</v>
      </c>
      <c r="H6" s="6" t="s">
        <v>258</v>
      </c>
      <c r="I6" s="6" t="s">
        <v>259</v>
      </c>
      <c r="J6" s="6" t="s">
        <v>260</v>
      </c>
      <c r="K6" s="6" t="s">
        <v>261</v>
      </c>
      <c r="L6" s="6" t="s">
        <v>261</v>
      </c>
      <c r="M6" s="14">
        <v>45873.794444444437</v>
      </c>
      <c r="N6" s="6">
        <v>276</v>
      </c>
      <c r="O6" s="6" t="s">
        <v>92</v>
      </c>
      <c r="P6" s="6" t="s">
        <v>245</v>
      </c>
      <c r="Q6" s="6" t="s">
        <v>246</v>
      </c>
      <c r="R6" s="6" t="s">
        <v>247</v>
      </c>
      <c r="S6" s="6" t="s">
        <v>9</v>
      </c>
      <c r="T6" s="6" t="s">
        <v>248</v>
      </c>
      <c r="U6" s="6" t="s">
        <v>141</v>
      </c>
      <c r="V6" s="6" t="s">
        <v>262</v>
      </c>
      <c r="W6" s="6" t="s">
        <v>92</v>
      </c>
      <c r="X6" s="6" t="s">
        <v>92</v>
      </c>
      <c r="Y6" s="6" t="s">
        <v>92</v>
      </c>
      <c r="Z6" s="6" t="s">
        <v>92</v>
      </c>
      <c r="AA6" s="6" t="s">
        <v>92</v>
      </c>
      <c r="AB6" s="6">
        <v>415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263</v>
      </c>
      <c r="AJ6" s="6" t="s">
        <v>264</v>
      </c>
      <c r="AK6" s="6" t="s">
        <v>12</v>
      </c>
      <c r="AL6" s="6" t="s">
        <v>56</v>
      </c>
      <c r="AM6" s="6" t="s">
        <v>265</v>
      </c>
      <c r="AN6" s="6" t="s">
        <v>22</v>
      </c>
      <c r="AO6" s="6" t="s">
        <v>253</v>
      </c>
      <c r="AP6" s="6" t="s">
        <v>254</v>
      </c>
      <c r="AQ6" s="6" t="s">
        <v>20</v>
      </c>
    </row>
    <row r="7" spans="1:43" hidden="1" x14ac:dyDescent="0.25">
      <c r="A7" s="6">
        <v>22700836</v>
      </c>
      <c r="B7" s="6">
        <v>23503046</v>
      </c>
      <c r="C7" s="6" t="s">
        <v>241</v>
      </c>
      <c r="D7" s="14">
        <v>45876.532372685193</v>
      </c>
      <c r="E7" s="14">
        <v>45876.537881944438</v>
      </c>
      <c r="F7" s="6" t="s">
        <v>19</v>
      </c>
      <c r="G7" s="6" t="s">
        <v>19</v>
      </c>
      <c r="H7" s="6">
        <v>19480079</v>
      </c>
      <c r="I7" s="6" t="s">
        <v>266</v>
      </c>
      <c r="J7" s="6" t="s">
        <v>267</v>
      </c>
      <c r="K7" s="6" t="s">
        <v>268</v>
      </c>
      <c r="L7" s="6" t="s">
        <v>268</v>
      </c>
      <c r="M7" s="14">
        <v>45876.486111111109</v>
      </c>
      <c r="N7" s="6" t="s">
        <v>269</v>
      </c>
      <c r="O7" s="6" t="s">
        <v>92</v>
      </c>
      <c r="P7" s="6" t="s">
        <v>245</v>
      </c>
      <c r="Q7" s="6" t="s">
        <v>246</v>
      </c>
      <c r="R7" s="6" t="s">
        <v>247</v>
      </c>
      <c r="S7" s="6" t="s">
        <v>9</v>
      </c>
      <c r="T7" s="6" t="s">
        <v>248</v>
      </c>
      <c r="U7" s="6" t="s">
        <v>187</v>
      </c>
      <c r="V7" s="6" t="s">
        <v>270</v>
      </c>
      <c r="W7" s="6" t="s">
        <v>92</v>
      </c>
      <c r="X7" s="6" t="s">
        <v>271</v>
      </c>
      <c r="Y7" s="6" t="s">
        <v>92</v>
      </c>
      <c r="Z7" s="6" t="s">
        <v>92</v>
      </c>
      <c r="AA7" s="6" t="s">
        <v>92</v>
      </c>
      <c r="AB7" s="6">
        <v>210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 t="s">
        <v>272</v>
      </c>
      <c r="AJ7" s="6" t="s">
        <v>273</v>
      </c>
      <c r="AK7" s="6" t="s">
        <v>266</v>
      </c>
      <c r="AL7" s="6" t="s">
        <v>274</v>
      </c>
      <c r="AM7" s="6" t="s">
        <v>67</v>
      </c>
      <c r="AN7" s="6" t="s">
        <v>22</v>
      </c>
      <c r="AO7" s="6" t="s">
        <v>253</v>
      </c>
      <c r="AP7" s="6" t="s">
        <v>254</v>
      </c>
      <c r="AQ7" s="6" t="s">
        <v>45</v>
      </c>
    </row>
    <row r="8" spans="1:43" hidden="1" x14ac:dyDescent="0.25">
      <c r="A8" s="6">
        <v>22700837</v>
      </c>
      <c r="B8" s="6">
        <v>23503048</v>
      </c>
      <c r="C8" s="6" t="s">
        <v>241</v>
      </c>
      <c r="D8" s="14">
        <v>45876.532430555562</v>
      </c>
      <c r="E8" s="14">
        <v>45876.537893518522</v>
      </c>
      <c r="F8" s="6" t="s">
        <v>19</v>
      </c>
      <c r="G8" s="6" t="s">
        <v>19</v>
      </c>
      <c r="H8" s="6">
        <v>19480475</v>
      </c>
      <c r="I8" s="6" t="s">
        <v>266</v>
      </c>
      <c r="J8" s="6" t="s">
        <v>275</v>
      </c>
      <c r="K8" s="6" t="s">
        <v>268</v>
      </c>
      <c r="L8" s="6" t="s">
        <v>268</v>
      </c>
      <c r="M8" s="14">
        <v>45876.495138888888</v>
      </c>
      <c r="N8" s="6" t="s">
        <v>276</v>
      </c>
      <c r="O8" s="6" t="s">
        <v>92</v>
      </c>
      <c r="P8" s="6" t="s">
        <v>245</v>
      </c>
      <c r="Q8" s="6" t="s">
        <v>246</v>
      </c>
      <c r="R8" s="6" t="s">
        <v>247</v>
      </c>
      <c r="S8" s="6" t="s">
        <v>9</v>
      </c>
      <c r="T8" s="6" t="s">
        <v>248</v>
      </c>
      <c r="U8" s="6" t="s">
        <v>187</v>
      </c>
      <c r="V8" s="6" t="s">
        <v>270</v>
      </c>
      <c r="W8" s="6" t="s">
        <v>92</v>
      </c>
      <c r="X8" s="6" t="s">
        <v>277</v>
      </c>
      <c r="Y8" s="6" t="s">
        <v>92</v>
      </c>
      <c r="Z8" s="6" t="s">
        <v>92</v>
      </c>
      <c r="AA8" s="6" t="s">
        <v>92</v>
      </c>
      <c r="AB8" s="6">
        <v>209</v>
      </c>
      <c r="AC8" s="6">
        <v>0</v>
      </c>
      <c r="AD8" s="6">
        <v>0</v>
      </c>
      <c r="AE8" s="6">
        <v>0</v>
      </c>
      <c r="AF8" s="6">
        <v>0</v>
      </c>
      <c r="AG8" s="6">
        <v>10.45</v>
      </c>
      <c r="AH8" s="6">
        <v>0</v>
      </c>
      <c r="AI8" s="6" t="s">
        <v>278</v>
      </c>
      <c r="AJ8" s="6" t="s">
        <v>273</v>
      </c>
      <c r="AK8" s="6" t="s">
        <v>266</v>
      </c>
      <c r="AL8" s="6" t="s">
        <v>274</v>
      </c>
      <c r="AM8" s="6" t="s">
        <v>67</v>
      </c>
      <c r="AN8" s="6" t="s">
        <v>22</v>
      </c>
      <c r="AO8" s="6" t="s">
        <v>253</v>
      </c>
      <c r="AP8" s="6" t="s">
        <v>254</v>
      </c>
      <c r="AQ8" s="6" t="s">
        <v>45</v>
      </c>
    </row>
    <row r="9" spans="1:43" hidden="1" x14ac:dyDescent="0.25">
      <c r="A9" s="6">
        <v>22691840</v>
      </c>
      <c r="B9" s="6">
        <v>23494864</v>
      </c>
      <c r="C9" s="6" t="s">
        <v>241</v>
      </c>
      <c r="D9" s="14">
        <v>45875.380937499998</v>
      </c>
      <c r="E9" s="14">
        <v>45875.382685185177</v>
      </c>
      <c r="F9" s="6" t="s">
        <v>19</v>
      </c>
      <c r="G9" s="6" t="s">
        <v>19</v>
      </c>
      <c r="H9" s="6" t="s">
        <v>279</v>
      </c>
      <c r="I9" s="6" t="s">
        <v>16</v>
      </c>
      <c r="J9" s="6" t="s">
        <v>243</v>
      </c>
      <c r="K9" s="6" t="s">
        <v>244</v>
      </c>
      <c r="L9" s="6" t="s">
        <v>244</v>
      </c>
      <c r="M9" s="14">
        <v>45875.380555555559</v>
      </c>
      <c r="N9" s="6" t="s">
        <v>92</v>
      </c>
      <c r="O9" s="6" t="s">
        <v>92</v>
      </c>
      <c r="P9" s="6" t="s">
        <v>245</v>
      </c>
      <c r="Q9" s="6" t="s">
        <v>246</v>
      </c>
      <c r="R9" s="6" t="s">
        <v>247</v>
      </c>
      <c r="S9" s="6" t="s">
        <v>3</v>
      </c>
      <c r="T9" s="6" t="s">
        <v>248</v>
      </c>
      <c r="U9" s="6" t="s">
        <v>92</v>
      </c>
      <c r="V9" s="6" t="s">
        <v>249</v>
      </c>
      <c r="W9" s="6" t="s">
        <v>92</v>
      </c>
      <c r="X9" s="6" t="s">
        <v>250</v>
      </c>
      <c r="Y9" s="6" t="s">
        <v>92</v>
      </c>
      <c r="Z9" s="6" t="s">
        <v>26</v>
      </c>
      <c r="AA9" s="6">
        <v>170240</v>
      </c>
      <c r="AB9" s="6">
        <v>16875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 t="s">
        <v>92</v>
      </c>
      <c r="AJ9" s="6" t="s">
        <v>251</v>
      </c>
      <c r="AK9" s="6" t="s">
        <v>16</v>
      </c>
      <c r="AL9" s="6" t="s">
        <v>59</v>
      </c>
      <c r="AM9" s="6" t="s">
        <v>252</v>
      </c>
      <c r="AN9" s="6" t="s">
        <v>22</v>
      </c>
      <c r="AO9" s="6" t="s">
        <v>253</v>
      </c>
      <c r="AP9" s="6" t="s">
        <v>26</v>
      </c>
      <c r="AQ9" s="6" t="s">
        <v>26</v>
      </c>
    </row>
    <row r="10" spans="1:43" x14ac:dyDescent="0.25">
      <c r="A10" s="6">
        <v>22691840</v>
      </c>
      <c r="B10" s="6">
        <v>23494866</v>
      </c>
      <c r="C10" s="6" t="s">
        <v>255</v>
      </c>
      <c r="D10" s="14">
        <v>45875.380937499998</v>
      </c>
      <c r="E10" s="14">
        <v>45875.382685185177</v>
      </c>
      <c r="F10" s="6" t="s">
        <v>19</v>
      </c>
      <c r="G10" s="6" t="s">
        <v>19</v>
      </c>
      <c r="H10" s="6" t="s">
        <v>279</v>
      </c>
      <c r="I10" s="6" t="s">
        <v>16</v>
      </c>
      <c r="J10" s="6" t="s">
        <v>256</v>
      </c>
      <c r="K10" s="6" t="s">
        <v>244</v>
      </c>
      <c r="L10" s="6" t="s">
        <v>244</v>
      </c>
      <c r="M10" s="14">
        <v>45875.380555555559</v>
      </c>
      <c r="N10" s="6" t="s">
        <v>92</v>
      </c>
      <c r="O10" s="6" t="s">
        <v>92</v>
      </c>
      <c r="P10" s="6" t="s">
        <v>245</v>
      </c>
      <c r="Q10" s="6" t="s">
        <v>246</v>
      </c>
      <c r="R10" s="6" t="s">
        <v>247</v>
      </c>
      <c r="S10" s="6" t="s">
        <v>3</v>
      </c>
      <c r="T10" s="6" t="s">
        <v>248</v>
      </c>
      <c r="U10" s="6" t="s">
        <v>92</v>
      </c>
      <c r="V10" s="6" t="s">
        <v>249</v>
      </c>
      <c r="W10" s="6" t="s">
        <v>92</v>
      </c>
      <c r="X10" s="6" t="s">
        <v>250</v>
      </c>
      <c r="Y10" s="6" t="s">
        <v>92</v>
      </c>
      <c r="Z10" s="6" t="s">
        <v>26</v>
      </c>
      <c r="AA10" s="6">
        <v>170240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2568.04</v>
      </c>
      <c r="AI10" s="6" t="s">
        <v>92</v>
      </c>
      <c r="AJ10" s="6" t="s">
        <v>251</v>
      </c>
      <c r="AK10" s="6" t="s">
        <v>16</v>
      </c>
      <c r="AL10" s="6" t="s">
        <v>59</v>
      </c>
      <c r="AM10" s="6" t="s">
        <v>252</v>
      </c>
      <c r="AN10" s="6" t="s">
        <v>22</v>
      </c>
      <c r="AO10" s="6" t="s">
        <v>253</v>
      </c>
      <c r="AP10" s="6" t="s">
        <v>26</v>
      </c>
      <c r="AQ10" s="6" t="s">
        <v>26</v>
      </c>
    </row>
    <row r="11" spans="1:43" x14ac:dyDescent="0.25">
      <c r="A11" s="6">
        <v>22649882</v>
      </c>
      <c r="B11" s="6">
        <v>23459418</v>
      </c>
      <c r="C11" s="6" t="s">
        <v>241</v>
      </c>
      <c r="D11" s="14">
        <v>45868.408854166657</v>
      </c>
      <c r="E11" s="14">
        <v>45874.854409722233</v>
      </c>
      <c r="F11" s="6" t="s">
        <v>21</v>
      </c>
      <c r="G11" s="6" t="s">
        <v>25</v>
      </c>
      <c r="H11" s="6" t="s">
        <v>280</v>
      </c>
      <c r="I11" s="6" t="s">
        <v>16</v>
      </c>
      <c r="J11" s="6" t="s">
        <v>281</v>
      </c>
      <c r="K11" s="6" t="s">
        <v>282</v>
      </c>
      <c r="L11" s="6" t="s">
        <v>282</v>
      </c>
      <c r="M11" s="14">
        <v>45867</v>
      </c>
      <c r="N11" s="6">
        <v>4801518571</v>
      </c>
      <c r="O11" s="6" t="s">
        <v>92</v>
      </c>
      <c r="P11" s="6" t="s">
        <v>245</v>
      </c>
      <c r="Q11" s="6" t="s">
        <v>246</v>
      </c>
      <c r="R11" s="6" t="s">
        <v>247</v>
      </c>
      <c r="S11" s="6" t="s">
        <v>7</v>
      </c>
      <c r="T11" s="6" t="s">
        <v>248</v>
      </c>
      <c r="U11" s="6" t="s">
        <v>116</v>
      </c>
      <c r="V11" s="6" t="s">
        <v>283</v>
      </c>
      <c r="W11" s="6" t="s">
        <v>284</v>
      </c>
      <c r="X11" s="6" t="s">
        <v>285</v>
      </c>
      <c r="Y11" s="6">
        <v>2243398439</v>
      </c>
      <c r="Z11" s="6" t="s">
        <v>26</v>
      </c>
      <c r="AA11" s="6">
        <v>167526</v>
      </c>
      <c r="AB11" s="6">
        <v>683.05</v>
      </c>
      <c r="AC11" s="6">
        <v>31.44</v>
      </c>
      <c r="AD11" s="6">
        <v>0</v>
      </c>
      <c r="AE11" s="6">
        <v>68.25</v>
      </c>
      <c r="AF11" s="6">
        <v>0</v>
      </c>
      <c r="AG11" s="6">
        <v>0</v>
      </c>
      <c r="AH11" s="6">
        <v>86.1</v>
      </c>
      <c r="AI11" s="6" t="s">
        <v>286</v>
      </c>
      <c r="AJ11" s="6" t="s">
        <v>287</v>
      </c>
      <c r="AK11" s="6" t="s">
        <v>16</v>
      </c>
      <c r="AL11" s="6" t="s">
        <v>57</v>
      </c>
      <c r="AM11" s="6" t="s">
        <v>288</v>
      </c>
      <c r="AN11" s="6" t="s">
        <v>28</v>
      </c>
      <c r="AO11" s="6" t="s">
        <v>253</v>
      </c>
      <c r="AP11" s="6" t="s">
        <v>26</v>
      </c>
      <c r="AQ11" s="6" t="s">
        <v>26</v>
      </c>
    </row>
    <row r="12" spans="1:43" x14ac:dyDescent="0.25">
      <c r="A12" s="6">
        <v>22649882</v>
      </c>
      <c r="B12" s="6">
        <v>23459419</v>
      </c>
      <c r="C12" s="6" t="s">
        <v>255</v>
      </c>
      <c r="D12" s="14">
        <v>45868.408854166657</v>
      </c>
      <c r="E12" s="14">
        <v>45874.854409722233</v>
      </c>
      <c r="F12" s="6" t="s">
        <v>21</v>
      </c>
      <c r="G12" s="6" t="s">
        <v>25</v>
      </c>
      <c r="H12" s="6" t="s">
        <v>280</v>
      </c>
      <c r="I12" s="6" t="s">
        <v>16</v>
      </c>
      <c r="J12" s="6" t="s">
        <v>289</v>
      </c>
      <c r="K12" s="6" t="s">
        <v>282</v>
      </c>
      <c r="L12" s="6" t="s">
        <v>282</v>
      </c>
      <c r="M12" s="14">
        <v>45867</v>
      </c>
      <c r="N12" s="6">
        <v>4801518571</v>
      </c>
      <c r="O12" s="6" t="s">
        <v>92</v>
      </c>
      <c r="P12" s="6" t="s">
        <v>245</v>
      </c>
      <c r="Q12" s="6" t="s">
        <v>246</v>
      </c>
      <c r="R12" s="6" t="s">
        <v>247</v>
      </c>
      <c r="S12" s="6" t="s">
        <v>7</v>
      </c>
      <c r="T12" s="6" t="s">
        <v>248</v>
      </c>
      <c r="U12" s="6" t="s">
        <v>116</v>
      </c>
      <c r="V12" s="6" t="s">
        <v>283</v>
      </c>
      <c r="W12" s="6" t="s">
        <v>284</v>
      </c>
      <c r="X12" s="6" t="s">
        <v>285</v>
      </c>
      <c r="Y12" s="6">
        <v>2243398440</v>
      </c>
      <c r="Z12" s="6" t="s">
        <v>26</v>
      </c>
      <c r="AA12" s="6">
        <v>167526</v>
      </c>
      <c r="AB12" s="6">
        <v>683.05</v>
      </c>
      <c r="AC12" s="6">
        <v>31.44</v>
      </c>
      <c r="AD12" s="6">
        <v>0</v>
      </c>
      <c r="AE12" s="6">
        <v>68.25</v>
      </c>
      <c r="AF12" s="6">
        <v>0</v>
      </c>
      <c r="AG12" s="6">
        <v>0</v>
      </c>
      <c r="AH12" s="6">
        <v>86.1</v>
      </c>
      <c r="AI12" s="6" t="s">
        <v>286</v>
      </c>
      <c r="AJ12" s="6" t="s">
        <v>287</v>
      </c>
      <c r="AK12" s="6" t="s">
        <v>16</v>
      </c>
      <c r="AL12" s="6" t="s">
        <v>57</v>
      </c>
      <c r="AM12" s="6" t="s">
        <v>288</v>
      </c>
      <c r="AN12" s="6" t="s">
        <v>28</v>
      </c>
      <c r="AO12" s="6" t="s">
        <v>253</v>
      </c>
      <c r="AP12" s="6" t="s">
        <v>26</v>
      </c>
      <c r="AQ12" s="6" t="s">
        <v>26</v>
      </c>
    </row>
    <row r="13" spans="1:43" x14ac:dyDescent="0.25">
      <c r="A13" s="6">
        <v>22649882</v>
      </c>
      <c r="B13" s="6">
        <v>23459420</v>
      </c>
      <c r="C13" s="6" t="s">
        <v>290</v>
      </c>
      <c r="D13" s="14">
        <v>45868.408854166657</v>
      </c>
      <c r="E13" s="14">
        <v>45874.854409722233</v>
      </c>
      <c r="F13" s="6" t="s">
        <v>21</v>
      </c>
      <c r="G13" s="6" t="s">
        <v>25</v>
      </c>
      <c r="H13" s="6" t="s">
        <v>280</v>
      </c>
      <c r="I13" s="6" t="s">
        <v>16</v>
      </c>
      <c r="J13" s="6" t="s">
        <v>291</v>
      </c>
      <c r="K13" s="6" t="s">
        <v>282</v>
      </c>
      <c r="L13" s="6" t="s">
        <v>282</v>
      </c>
      <c r="M13" s="14">
        <v>45867</v>
      </c>
      <c r="N13" s="6">
        <v>4801518571</v>
      </c>
      <c r="O13" s="6" t="s">
        <v>92</v>
      </c>
      <c r="P13" s="6" t="s">
        <v>245</v>
      </c>
      <c r="Q13" s="6" t="s">
        <v>246</v>
      </c>
      <c r="R13" s="6" t="s">
        <v>247</v>
      </c>
      <c r="S13" s="6" t="s">
        <v>7</v>
      </c>
      <c r="T13" s="6" t="s">
        <v>248</v>
      </c>
      <c r="U13" s="6" t="s">
        <v>116</v>
      </c>
      <c r="V13" s="6" t="s">
        <v>283</v>
      </c>
      <c r="W13" s="6" t="s">
        <v>284</v>
      </c>
      <c r="X13" s="6" t="s">
        <v>285</v>
      </c>
      <c r="Y13" s="6">
        <v>2243398441</v>
      </c>
      <c r="Z13" s="6" t="s">
        <v>26</v>
      </c>
      <c r="AA13" s="6">
        <v>167526</v>
      </c>
      <c r="AB13" s="6">
        <v>683.05</v>
      </c>
      <c r="AC13" s="6">
        <v>31.44</v>
      </c>
      <c r="AD13" s="6">
        <v>0</v>
      </c>
      <c r="AE13" s="6">
        <v>68.25</v>
      </c>
      <c r="AF13" s="6">
        <v>0</v>
      </c>
      <c r="AG13" s="6">
        <v>0</v>
      </c>
      <c r="AH13" s="6">
        <v>86.1</v>
      </c>
      <c r="AI13" s="6" t="s">
        <v>286</v>
      </c>
      <c r="AJ13" s="6" t="s">
        <v>287</v>
      </c>
      <c r="AK13" s="6" t="s">
        <v>16</v>
      </c>
      <c r="AL13" s="6" t="s">
        <v>57</v>
      </c>
      <c r="AM13" s="6" t="s">
        <v>288</v>
      </c>
      <c r="AN13" s="6" t="s">
        <v>28</v>
      </c>
      <c r="AO13" s="6" t="s">
        <v>253</v>
      </c>
      <c r="AP13" s="6" t="s">
        <v>26</v>
      </c>
      <c r="AQ13" s="6" t="s">
        <v>26</v>
      </c>
    </row>
    <row r="14" spans="1:43" hidden="1" x14ac:dyDescent="0.25">
      <c r="A14" s="6">
        <v>22649882</v>
      </c>
      <c r="B14" s="6">
        <v>23459421</v>
      </c>
      <c r="C14" s="6" t="s">
        <v>292</v>
      </c>
      <c r="D14" s="14">
        <v>45868.408854166657</v>
      </c>
      <c r="E14" s="14">
        <v>45874.854409722233</v>
      </c>
      <c r="F14" s="6" t="s">
        <v>21</v>
      </c>
      <c r="G14" s="6" t="s">
        <v>25</v>
      </c>
      <c r="H14" s="6" t="s">
        <v>280</v>
      </c>
      <c r="I14" s="6" t="s">
        <v>16</v>
      </c>
      <c r="J14" s="6" t="s">
        <v>293</v>
      </c>
      <c r="K14" s="6" t="s">
        <v>282</v>
      </c>
      <c r="L14" s="6" t="s">
        <v>282</v>
      </c>
      <c r="M14" s="14">
        <v>45867</v>
      </c>
      <c r="N14" s="6">
        <v>4801518571</v>
      </c>
      <c r="O14" s="6" t="s">
        <v>92</v>
      </c>
      <c r="P14" s="6" t="s">
        <v>245</v>
      </c>
      <c r="Q14" s="6" t="s">
        <v>246</v>
      </c>
      <c r="R14" s="6" t="s">
        <v>247</v>
      </c>
      <c r="S14" s="6" t="s">
        <v>7</v>
      </c>
      <c r="T14" s="6" t="s">
        <v>248</v>
      </c>
      <c r="U14" s="6" t="s">
        <v>116</v>
      </c>
      <c r="V14" s="6" t="s">
        <v>283</v>
      </c>
      <c r="W14" s="6" t="s">
        <v>284</v>
      </c>
      <c r="X14" s="6" t="s">
        <v>285</v>
      </c>
      <c r="Y14" s="6">
        <v>2243398442</v>
      </c>
      <c r="Z14" s="6" t="s">
        <v>26</v>
      </c>
      <c r="AA14" s="6">
        <v>167526</v>
      </c>
      <c r="AB14" s="6">
        <v>683.05</v>
      </c>
      <c r="AC14" s="6">
        <v>31.44</v>
      </c>
      <c r="AD14" s="6">
        <v>0</v>
      </c>
      <c r="AE14" s="6">
        <v>68.25</v>
      </c>
      <c r="AF14" s="6">
        <v>0</v>
      </c>
      <c r="AG14" s="6">
        <v>0</v>
      </c>
      <c r="AH14" s="6">
        <v>86.1</v>
      </c>
      <c r="AI14" s="6" t="s">
        <v>286</v>
      </c>
      <c r="AJ14" s="6" t="s">
        <v>287</v>
      </c>
      <c r="AK14" s="6" t="s">
        <v>16</v>
      </c>
      <c r="AL14" s="6" t="s">
        <v>57</v>
      </c>
      <c r="AM14" s="6" t="s">
        <v>288</v>
      </c>
      <c r="AN14" s="6" t="s">
        <v>28</v>
      </c>
      <c r="AO14" s="6" t="s">
        <v>253</v>
      </c>
      <c r="AP14" s="6" t="s">
        <v>26</v>
      </c>
      <c r="AQ14" s="6" t="s">
        <v>26</v>
      </c>
    </row>
    <row r="15" spans="1:43" x14ac:dyDescent="0.25">
      <c r="A15" s="6">
        <v>22649882</v>
      </c>
      <c r="B15" s="6">
        <v>23459422</v>
      </c>
      <c r="C15" s="6" t="s">
        <v>294</v>
      </c>
      <c r="D15" s="14">
        <v>45868.408854166657</v>
      </c>
      <c r="E15" s="14">
        <v>45874.854409722233</v>
      </c>
      <c r="F15" s="6" t="s">
        <v>21</v>
      </c>
      <c r="G15" s="6" t="s">
        <v>25</v>
      </c>
      <c r="H15" s="6" t="s">
        <v>280</v>
      </c>
      <c r="I15" s="6" t="s">
        <v>16</v>
      </c>
      <c r="J15" s="6" t="s">
        <v>295</v>
      </c>
      <c r="K15" s="6" t="s">
        <v>282</v>
      </c>
      <c r="L15" s="6" t="s">
        <v>282</v>
      </c>
      <c r="M15" s="14">
        <v>45867</v>
      </c>
      <c r="N15" s="6">
        <v>4801518571</v>
      </c>
      <c r="O15" s="6" t="s">
        <v>92</v>
      </c>
      <c r="P15" s="6" t="s">
        <v>245</v>
      </c>
      <c r="Q15" s="6" t="s">
        <v>246</v>
      </c>
      <c r="R15" s="6" t="s">
        <v>247</v>
      </c>
      <c r="S15" s="6" t="s">
        <v>7</v>
      </c>
      <c r="T15" s="6" t="s">
        <v>248</v>
      </c>
      <c r="U15" s="6" t="s">
        <v>116</v>
      </c>
      <c r="V15" s="6" t="s">
        <v>283</v>
      </c>
      <c r="W15" s="6" t="s">
        <v>284</v>
      </c>
      <c r="X15" s="6" t="s">
        <v>285</v>
      </c>
      <c r="Y15" s="6">
        <v>2243398443</v>
      </c>
      <c r="Z15" s="6" t="s">
        <v>26</v>
      </c>
      <c r="AA15" s="6">
        <v>167526</v>
      </c>
      <c r="AB15" s="6">
        <v>683.05</v>
      </c>
      <c r="AC15" s="6">
        <v>31.44</v>
      </c>
      <c r="AD15" s="6">
        <v>0</v>
      </c>
      <c r="AE15" s="6">
        <v>68.25</v>
      </c>
      <c r="AF15" s="6">
        <v>0</v>
      </c>
      <c r="AG15" s="6">
        <v>0</v>
      </c>
      <c r="AH15" s="6">
        <v>86.1</v>
      </c>
      <c r="AI15" s="6" t="s">
        <v>286</v>
      </c>
      <c r="AJ15" s="6" t="s">
        <v>287</v>
      </c>
      <c r="AK15" s="6" t="s">
        <v>16</v>
      </c>
      <c r="AL15" s="6" t="s">
        <v>57</v>
      </c>
      <c r="AM15" s="6" t="s">
        <v>288</v>
      </c>
      <c r="AN15" s="6" t="s">
        <v>28</v>
      </c>
      <c r="AO15" s="6" t="s">
        <v>253</v>
      </c>
      <c r="AP15" s="6" t="s">
        <v>26</v>
      </c>
      <c r="AQ15" s="6" t="s">
        <v>26</v>
      </c>
    </row>
    <row r="16" spans="1:43" hidden="1" x14ac:dyDescent="0.25">
      <c r="A16" s="6">
        <v>22649882</v>
      </c>
      <c r="B16" s="6">
        <v>23459423</v>
      </c>
      <c r="C16" s="6" t="s">
        <v>296</v>
      </c>
      <c r="D16" s="14">
        <v>45868.408854166657</v>
      </c>
      <c r="E16" s="14">
        <v>45874.854409722233</v>
      </c>
      <c r="F16" s="6" t="s">
        <v>21</v>
      </c>
      <c r="G16" s="6" t="s">
        <v>25</v>
      </c>
      <c r="H16" s="6" t="s">
        <v>280</v>
      </c>
      <c r="I16" s="6" t="s">
        <v>16</v>
      </c>
      <c r="J16" s="6" t="s">
        <v>297</v>
      </c>
      <c r="K16" s="6" t="s">
        <v>282</v>
      </c>
      <c r="L16" s="6" t="s">
        <v>282</v>
      </c>
      <c r="M16" s="14">
        <v>45867</v>
      </c>
      <c r="N16" s="6">
        <v>4801518571</v>
      </c>
      <c r="O16" s="6" t="s">
        <v>92</v>
      </c>
      <c r="P16" s="6" t="s">
        <v>245</v>
      </c>
      <c r="Q16" s="6" t="s">
        <v>246</v>
      </c>
      <c r="R16" s="6" t="s">
        <v>247</v>
      </c>
      <c r="S16" s="6" t="s">
        <v>7</v>
      </c>
      <c r="T16" s="6" t="s">
        <v>248</v>
      </c>
      <c r="U16" s="6" t="s">
        <v>116</v>
      </c>
      <c r="V16" s="6" t="s">
        <v>283</v>
      </c>
      <c r="W16" s="6" t="s">
        <v>284</v>
      </c>
      <c r="X16" s="6" t="s">
        <v>285</v>
      </c>
      <c r="Y16" s="6">
        <v>2243398444</v>
      </c>
      <c r="Z16" s="6" t="s">
        <v>26</v>
      </c>
      <c r="AA16" s="6">
        <v>167526</v>
      </c>
      <c r="AB16" s="6">
        <v>683.05</v>
      </c>
      <c r="AC16" s="6">
        <v>31.44</v>
      </c>
      <c r="AD16" s="6">
        <v>0</v>
      </c>
      <c r="AE16" s="6">
        <v>68.25</v>
      </c>
      <c r="AF16" s="6">
        <v>0</v>
      </c>
      <c r="AG16" s="6">
        <v>0</v>
      </c>
      <c r="AH16" s="6">
        <v>86.1</v>
      </c>
      <c r="AI16" s="6" t="s">
        <v>286</v>
      </c>
      <c r="AJ16" s="6" t="s">
        <v>287</v>
      </c>
      <c r="AK16" s="6" t="s">
        <v>16</v>
      </c>
      <c r="AL16" s="6" t="s">
        <v>57</v>
      </c>
      <c r="AM16" s="6" t="s">
        <v>288</v>
      </c>
      <c r="AN16" s="6" t="s">
        <v>28</v>
      </c>
      <c r="AO16" s="6" t="s">
        <v>253</v>
      </c>
      <c r="AP16" s="6" t="s">
        <v>26</v>
      </c>
      <c r="AQ16" s="6" t="s">
        <v>26</v>
      </c>
    </row>
    <row r="17" spans="1:43" hidden="1" x14ac:dyDescent="0.25">
      <c r="A17" s="6">
        <v>22649882</v>
      </c>
      <c r="B17" s="6">
        <v>23459424</v>
      </c>
      <c r="C17" s="6" t="s">
        <v>298</v>
      </c>
      <c r="D17" s="14">
        <v>45868.408854166657</v>
      </c>
      <c r="E17" s="14">
        <v>45874.854409722233</v>
      </c>
      <c r="F17" s="6" t="s">
        <v>21</v>
      </c>
      <c r="G17" s="6" t="s">
        <v>25</v>
      </c>
      <c r="H17" s="6" t="s">
        <v>280</v>
      </c>
      <c r="I17" s="6" t="s">
        <v>16</v>
      </c>
      <c r="J17" s="6" t="s">
        <v>299</v>
      </c>
      <c r="K17" s="6" t="s">
        <v>282</v>
      </c>
      <c r="L17" s="6" t="s">
        <v>282</v>
      </c>
      <c r="M17" s="14">
        <v>45867</v>
      </c>
      <c r="N17" s="6">
        <v>4801518571</v>
      </c>
      <c r="O17" s="6" t="s">
        <v>92</v>
      </c>
      <c r="P17" s="6" t="s">
        <v>245</v>
      </c>
      <c r="Q17" s="6" t="s">
        <v>246</v>
      </c>
      <c r="R17" s="6" t="s">
        <v>247</v>
      </c>
      <c r="S17" s="6" t="s">
        <v>7</v>
      </c>
      <c r="T17" s="6" t="s">
        <v>248</v>
      </c>
      <c r="U17" s="6" t="s">
        <v>116</v>
      </c>
      <c r="V17" s="6" t="s">
        <v>283</v>
      </c>
      <c r="W17" s="6" t="s">
        <v>284</v>
      </c>
      <c r="X17" s="6" t="s">
        <v>285</v>
      </c>
      <c r="Y17" s="6">
        <v>2243398445</v>
      </c>
      <c r="Z17" s="6" t="s">
        <v>26</v>
      </c>
      <c r="AA17" s="6">
        <v>167526</v>
      </c>
      <c r="AB17" s="6">
        <v>683.05</v>
      </c>
      <c r="AC17" s="6">
        <v>31.44</v>
      </c>
      <c r="AD17" s="6">
        <v>0</v>
      </c>
      <c r="AE17" s="6">
        <v>68.25</v>
      </c>
      <c r="AF17" s="6">
        <v>0</v>
      </c>
      <c r="AG17" s="6">
        <v>0</v>
      </c>
      <c r="AH17" s="6">
        <v>86.1</v>
      </c>
      <c r="AI17" s="6" t="s">
        <v>286</v>
      </c>
      <c r="AJ17" s="6" t="s">
        <v>287</v>
      </c>
      <c r="AK17" s="6" t="s">
        <v>16</v>
      </c>
      <c r="AL17" s="6" t="s">
        <v>57</v>
      </c>
      <c r="AM17" s="6" t="s">
        <v>288</v>
      </c>
      <c r="AN17" s="6" t="s">
        <v>28</v>
      </c>
      <c r="AO17" s="6" t="s">
        <v>253</v>
      </c>
      <c r="AP17" s="6" t="s">
        <v>26</v>
      </c>
      <c r="AQ17" s="6" t="s">
        <v>26</v>
      </c>
    </row>
    <row r="18" spans="1:43" hidden="1" x14ac:dyDescent="0.25">
      <c r="A18" s="6">
        <v>22649882</v>
      </c>
      <c r="B18" s="6">
        <v>23459425</v>
      </c>
      <c r="C18" s="6" t="s">
        <v>300</v>
      </c>
      <c r="D18" s="14">
        <v>45868.408854166657</v>
      </c>
      <c r="E18" s="14">
        <v>45874.854409722233</v>
      </c>
      <c r="F18" s="6" t="s">
        <v>21</v>
      </c>
      <c r="G18" s="6" t="s">
        <v>25</v>
      </c>
      <c r="H18" s="6" t="s">
        <v>280</v>
      </c>
      <c r="I18" s="6" t="s">
        <v>16</v>
      </c>
      <c r="J18" s="6" t="s">
        <v>301</v>
      </c>
      <c r="K18" s="6" t="s">
        <v>282</v>
      </c>
      <c r="L18" s="6" t="s">
        <v>282</v>
      </c>
      <c r="M18" s="14">
        <v>45867</v>
      </c>
      <c r="N18" s="6">
        <v>4801518571</v>
      </c>
      <c r="O18" s="6" t="s">
        <v>92</v>
      </c>
      <c r="P18" s="6" t="s">
        <v>245</v>
      </c>
      <c r="Q18" s="6" t="s">
        <v>246</v>
      </c>
      <c r="R18" s="6" t="s">
        <v>247</v>
      </c>
      <c r="S18" s="6" t="s">
        <v>7</v>
      </c>
      <c r="T18" s="6" t="s">
        <v>248</v>
      </c>
      <c r="U18" s="6" t="s">
        <v>116</v>
      </c>
      <c r="V18" s="6" t="s">
        <v>283</v>
      </c>
      <c r="W18" s="6" t="s">
        <v>284</v>
      </c>
      <c r="X18" s="6" t="s">
        <v>285</v>
      </c>
      <c r="Y18" s="6">
        <v>2243398446</v>
      </c>
      <c r="Z18" s="6" t="s">
        <v>26</v>
      </c>
      <c r="AA18" s="6">
        <v>167526</v>
      </c>
      <c r="AB18" s="6">
        <v>683.05</v>
      </c>
      <c r="AC18" s="6">
        <v>31.44</v>
      </c>
      <c r="AD18" s="6">
        <v>0</v>
      </c>
      <c r="AE18" s="6">
        <v>68.25</v>
      </c>
      <c r="AF18" s="6">
        <v>0</v>
      </c>
      <c r="AG18" s="6">
        <v>0</v>
      </c>
      <c r="AH18" s="6">
        <v>86.1</v>
      </c>
      <c r="AI18" s="6" t="s">
        <v>286</v>
      </c>
      <c r="AJ18" s="6" t="s">
        <v>287</v>
      </c>
      <c r="AK18" s="6" t="s">
        <v>16</v>
      </c>
      <c r="AL18" s="6" t="s">
        <v>57</v>
      </c>
      <c r="AM18" s="6" t="s">
        <v>288</v>
      </c>
      <c r="AN18" s="6" t="s">
        <v>28</v>
      </c>
      <c r="AO18" s="6" t="s">
        <v>253</v>
      </c>
      <c r="AP18" s="6" t="s">
        <v>26</v>
      </c>
      <c r="AQ18" s="6" t="s">
        <v>26</v>
      </c>
    </row>
    <row r="19" spans="1:43" hidden="1" x14ac:dyDescent="0.25">
      <c r="A19" s="6">
        <v>22649882</v>
      </c>
      <c r="B19" s="6">
        <v>23459426</v>
      </c>
      <c r="C19" s="6" t="s">
        <v>302</v>
      </c>
      <c r="D19" s="14">
        <v>45868.408854166657</v>
      </c>
      <c r="E19" s="14">
        <v>45874.854409722233</v>
      </c>
      <c r="F19" s="6" t="s">
        <v>21</v>
      </c>
      <c r="G19" s="6" t="s">
        <v>25</v>
      </c>
      <c r="H19" s="6" t="s">
        <v>280</v>
      </c>
      <c r="I19" s="6" t="s">
        <v>16</v>
      </c>
      <c r="J19" s="6" t="s">
        <v>303</v>
      </c>
      <c r="K19" s="6" t="s">
        <v>282</v>
      </c>
      <c r="L19" s="6" t="s">
        <v>282</v>
      </c>
      <c r="M19" s="14">
        <v>45867</v>
      </c>
      <c r="N19" s="6">
        <v>4801518571</v>
      </c>
      <c r="O19" s="6" t="s">
        <v>92</v>
      </c>
      <c r="P19" s="6" t="s">
        <v>245</v>
      </c>
      <c r="Q19" s="6" t="s">
        <v>246</v>
      </c>
      <c r="R19" s="6" t="s">
        <v>247</v>
      </c>
      <c r="S19" s="6" t="s">
        <v>7</v>
      </c>
      <c r="T19" s="6" t="s">
        <v>248</v>
      </c>
      <c r="U19" s="6" t="s">
        <v>116</v>
      </c>
      <c r="V19" s="6" t="s">
        <v>283</v>
      </c>
      <c r="W19" s="6" t="s">
        <v>284</v>
      </c>
      <c r="X19" s="6" t="s">
        <v>285</v>
      </c>
      <c r="Y19" s="6">
        <v>2243398447</v>
      </c>
      <c r="Z19" s="6" t="s">
        <v>26</v>
      </c>
      <c r="AA19" s="6">
        <v>167526</v>
      </c>
      <c r="AB19" s="6">
        <v>683.05</v>
      </c>
      <c r="AC19" s="6">
        <v>31.44</v>
      </c>
      <c r="AD19" s="6">
        <v>0</v>
      </c>
      <c r="AE19" s="6">
        <v>68.25</v>
      </c>
      <c r="AF19" s="6">
        <v>0</v>
      </c>
      <c r="AG19" s="6">
        <v>0</v>
      </c>
      <c r="AH19" s="6">
        <v>86.1</v>
      </c>
      <c r="AI19" s="6" t="s">
        <v>286</v>
      </c>
      <c r="AJ19" s="6" t="s">
        <v>287</v>
      </c>
      <c r="AK19" s="6" t="s">
        <v>16</v>
      </c>
      <c r="AL19" s="6" t="s">
        <v>57</v>
      </c>
      <c r="AM19" s="6" t="s">
        <v>288</v>
      </c>
      <c r="AN19" s="6" t="s">
        <v>28</v>
      </c>
      <c r="AO19" s="6" t="s">
        <v>253</v>
      </c>
      <c r="AP19" s="6" t="s">
        <v>26</v>
      </c>
      <c r="AQ19" s="6" t="s">
        <v>26</v>
      </c>
    </row>
    <row r="20" spans="1:43" hidden="1" x14ac:dyDescent="0.25">
      <c r="A20" s="6">
        <v>22649882</v>
      </c>
      <c r="B20" s="6">
        <v>23459427</v>
      </c>
      <c r="C20" s="6" t="s">
        <v>304</v>
      </c>
      <c r="D20" s="14">
        <v>45868.408854166657</v>
      </c>
      <c r="E20" s="14">
        <v>45874.854409722233</v>
      </c>
      <c r="F20" s="6" t="s">
        <v>21</v>
      </c>
      <c r="G20" s="6" t="s">
        <v>25</v>
      </c>
      <c r="H20" s="6" t="s">
        <v>280</v>
      </c>
      <c r="I20" s="6" t="s">
        <v>16</v>
      </c>
      <c r="J20" s="6" t="s">
        <v>305</v>
      </c>
      <c r="K20" s="6" t="s">
        <v>282</v>
      </c>
      <c r="L20" s="6" t="s">
        <v>282</v>
      </c>
      <c r="M20" s="14">
        <v>45867</v>
      </c>
      <c r="N20" s="6">
        <v>4801518571</v>
      </c>
      <c r="O20" s="6" t="s">
        <v>92</v>
      </c>
      <c r="P20" s="6" t="s">
        <v>245</v>
      </c>
      <c r="Q20" s="6" t="s">
        <v>246</v>
      </c>
      <c r="R20" s="6" t="s">
        <v>247</v>
      </c>
      <c r="S20" s="6" t="s">
        <v>7</v>
      </c>
      <c r="T20" s="6" t="s">
        <v>248</v>
      </c>
      <c r="U20" s="6" t="s">
        <v>116</v>
      </c>
      <c r="V20" s="6" t="s">
        <v>283</v>
      </c>
      <c r="W20" s="6" t="s">
        <v>284</v>
      </c>
      <c r="X20" s="6" t="s">
        <v>285</v>
      </c>
      <c r="Y20" s="6">
        <v>2243398448</v>
      </c>
      <c r="Z20" s="6" t="s">
        <v>26</v>
      </c>
      <c r="AA20" s="6">
        <v>167526</v>
      </c>
      <c r="AB20" s="6">
        <v>683.05</v>
      </c>
      <c r="AC20" s="6">
        <v>31.44</v>
      </c>
      <c r="AD20" s="6">
        <v>0</v>
      </c>
      <c r="AE20" s="6">
        <v>68.25</v>
      </c>
      <c r="AF20" s="6">
        <v>0</v>
      </c>
      <c r="AG20" s="6">
        <v>0</v>
      </c>
      <c r="AH20" s="6">
        <v>86.1</v>
      </c>
      <c r="AI20" s="6" t="s">
        <v>286</v>
      </c>
      <c r="AJ20" s="6" t="s">
        <v>287</v>
      </c>
      <c r="AK20" s="6" t="s">
        <v>16</v>
      </c>
      <c r="AL20" s="6" t="s">
        <v>57</v>
      </c>
      <c r="AM20" s="6" t="s">
        <v>288</v>
      </c>
      <c r="AN20" s="6" t="s">
        <v>28</v>
      </c>
      <c r="AO20" s="6" t="s">
        <v>253</v>
      </c>
      <c r="AP20" s="6" t="s">
        <v>26</v>
      </c>
      <c r="AQ20" s="6" t="s">
        <v>26</v>
      </c>
    </row>
    <row r="21" spans="1:43" hidden="1" x14ac:dyDescent="0.25">
      <c r="A21" s="6">
        <v>22649882</v>
      </c>
      <c r="B21" s="6">
        <v>23459428</v>
      </c>
      <c r="C21" s="6" t="s">
        <v>306</v>
      </c>
      <c r="D21" s="14">
        <v>45868.408854166657</v>
      </c>
      <c r="E21" s="14">
        <v>45874.854409722233</v>
      </c>
      <c r="F21" s="6" t="s">
        <v>21</v>
      </c>
      <c r="G21" s="6" t="s">
        <v>25</v>
      </c>
      <c r="H21" s="6" t="s">
        <v>280</v>
      </c>
      <c r="I21" s="6" t="s">
        <v>16</v>
      </c>
      <c r="J21" s="6" t="s">
        <v>307</v>
      </c>
      <c r="K21" s="6" t="s">
        <v>282</v>
      </c>
      <c r="L21" s="6" t="s">
        <v>282</v>
      </c>
      <c r="M21" s="14">
        <v>45867</v>
      </c>
      <c r="N21" s="6">
        <v>4801518571</v>
      </c>
      <c r="O21" s="6" t="s">
        <v>92</v>
      </c>
      <c r="P21" s="6" t="s">
        <v>245</v>
      </c>
      <c r="Q21" s="6" t="s">
        <v>246</v>
      </c>
      <c r="R21" s="6" t="s">
        <v>247</v>
      </c>
      <c r="S21" s="6" t="s">
        <v>7</v>
      </c>
      <c r="T21" s="6" t="s">
        <v>248</v>
      </c>
      <c r="U21" s="6" t="s">
        <v>116</v>
      </c>
      <c r="V21" s="6" t="s">
        <v>283</v>
      </c>
      <c r="W21" s="6" t="s">
        <v>284</v>
      </c>
      <c r="X21" s="6" t="s">
        <v>285</v>
      </c>
      <c r="Y21" s="6">
        <v>2243398449</v>
      </c>
      <c r="Z21" s="6" t="s">
        <v>26</v>
      </c>
      <c r="AA21" s="6">
        <v>167526</v>
      </c>
      <c r="AB21" s="6">
        <v>683.05</v>
      </c>
      <c r="AC21" s="6">
        <v>31.44</v>
      </c>
      <c r="AD21" s="6">
        <v>0</v>
      </c>
      <c r="AE21" s="6">
        <v>68.25</v>
      </c>
      <c r="AF21" s="6">
        <v>0</v>
      </c>
      <c r="AG21" s="6">
        <v>0</v>
      </c>
      <c r="AH21" s="6">
        <v>86.1</v>
      </c>
      <c r="AI21" s="6" t="s">
        <v>286</v>
      </c>
      <c r="AJ21" s="6" t="s">
        <v>287</v>
      </c>
      <c r="AK21" s="6" t="s">
        <v>16</v>
      </c>
      <c r="AL21" s="6" t="s">
        <v>57</v>
      </c>
      <c r="AM21" s="6" t="s">
        <v>288</v>
      </c>
      <c r="AN21" s="6" t="s">
        <v>28</v>
      </c>
      <c r="AO21" s="6" t="s">
        <v>253</v>
      </c>
      <c r="AP21" s="6" t="s">
        <v>26</v>
      </c>
      <c r="AQ21" s="6" t="s">
        <v>26</v>
      </c>
    </row>
    <row r="22" spans="1:43" hidden="1" x14ac:dyDescent="0.25">
      <c r="A22" s="6">
        <v>22649882</v>
      </c>
      <c r="B22" s="6">
        <v>23459429</v>
      </c>
      <c r="C22" s="6" t="s">
        <v>308</v>
      </c>
      <c r="D22" s="14">
        <v>45868.408854166657</v>
      </c>
      <c r="E22" s="14">
        <v>45874.854409722233</v>
      </c>
      <c r="F22" s="6" t="s">
        <v>21</v>
      </c>
      <c r="G22" s="6" t="s">
        <v>25</v>
      </c>
      <c r="H22" s="6" t="s">
        <v>280</v>
      </c>
      <c r="I22" s="6" t="s">
        <v>16</v>
      </c>
      <c r="J22" s="6" t="s">
        <v>309</v>
      </c>
      <c r="K22" s="6" t="s">
        <v>282</v>
      </c>
      <c r="L22" s="6" t="s">
        <v>282</v>
      </c>
      <c r="M22" s="14">
        <v>45867</v>
      </c>
      <c r="N22" s="6">
        <v>4801518571</v>
      </c>
      <c r="O22" s="6" t="s">
        <v>92</v>
      </c>
      <c r="P22" s="6" t="s">
        <v>245</v>
      </c>
      <c r="Q22" s="6" t="s">
        <v>246</v>
      </c>
      <c r="R22" s="6" t="s">
        <v>247</v>
      </c>
      <c r="S22" s="6" t="s">
        <v>7</v>
      </c>
      <c r="T22" s="6" t="s">
        <v>248</v>
      </c>
      <c r="U22" s="6" t="s">
        <v>116</v>
      </c>
      <c r="V22" s="6" t="s">
        <v>283</v>
      </c>
      <c r="W22" s="6" t="s">
        <v>284</v>
      </c>
      <c r="X22" s="6" t="s">
        <v>285</v>
      </c>
      <c r="Y22" s="6">
        <v>2243398450</v>
      </c>
      <c r="Z22" s="6" t="s">
        <v>26</v>
      </c>
      <c r="AA22" s="6">
        <v>167526</v>
      </c>
      <c r="AB22" s="6">
        <v>683.05</v>
      </c>
      <c r="AC22" s="6">
        <v>31.44</v>
      </c>
      <c r="AD22" s="6">
        <v>0</v>
      </c>
      <c r="AE22" s="6">
        <v>68.25</v>
      </c>
      <c r="AF22" s="6">
        <v>0</v>
      </c>
      <c r="AG22" s="6">
        <v>0</v>
      </c>
      <c r="AH22" s="6">
        <v>86.1</v>
      </c>
      <c r="AI22" s="6" t="s">
        <v>286</v>
      </c>
      <c r="AJ22" s="6" t="s">
        <v>287</v>
      </c>
      <c r="AK22" s="6" t="s">
        <v>16</v>
      </c>
      <c r="AL22" s="6" t="s">
        <v>57</v>
      </c>
      <c r="AM22" s="6" t="s">
        <v>288</v>
      </c>
      <c r="AN22" s="6" t="s">
        <v>28</v>
      </c>
      <c r="AO22" s="6" t="s">
        <v>253</v>
      </c>
      <c r="AP22" s="6" t="s">
        <v>26</v>
      </c>
      <c r="AQ22" s="6" t="s">
        <v>26</v>
      </c>
    </row>
    <row r="23" spans="1:43" hidden="1" x14ac:dyDescent="0.25">
      <c r="A23" s="6">
        <v>22649882</v>
      </c>
      <c r="B23" s="6">
        <v>23459430</v>
      </c>
      <c r="C23" s="6" t="s">
        <v>310</v>
      </c>
      <c r="D23" s="14">
        <v>45868.408854166657</v>
      </c>
      <c r="E23" s="14">
        <v>45874.854409722233</v>
      </c>
      <c r="F23" s="6" t="s">
        <v>21</v>
      </c>
      <c r="G23" s="6" t="s">
        <v>25</v>
      </c>
      <c r="H23" s="6" t="s">
        <v>280</v>
      </c>
      <c r="I23" s="6" t="s">
        <v>16</v>
      </c>
      <c r="J23" s="6" t="s">
        <v>311</v>
      </c>
      <c r="K23" s="6" t="s">
        <v>282</v>
      </c>
      <c r="L23" s="6" t="s">
        <v>282</v>
      </c>
      <c r="M23" s="14">
        <v>45867</v>
      </c>
      <c r="N23" s="6">
        <v>4801518571</v>
      </c>
      <c r="O23" s="6" t="s">
        <v>92</v>
      </c>
      <c r="P23" s="6" t="s">
        <v>245</v>
      </c>
      <c r="Q23" s="6" t="s">
        <v>246</v>
      </c>
      <c r="R23" s="6" t="s">
        <v>247</v>
      </c>
      <c r="S23" s="6" t="s">
        <v>7</v>
      </c>
      <c r="T23" s="6" t="s">
        <v>248</v>
      </c>
      <c r="U23" s="6" t="s">
        <v>116</v>
      </c>
      <c r="V23" s="6" t="s">
        <v>283</v>
      </c>
      <c r="W23" s="6" t="s">
        <v>284</v>
      </c>
      <c r="X23" s="6" t="s">
        <v>285</v>
      </c>
      <c r="Y23" s="6">
        <v>2243398451</v>
      </c>
      <c r="Z23" s="6" t="s">
        <v>26</v>
      </c>
      <c r="AA23" s="6">
        <v>167526</v>
      </c>
      <c r="AB23" s="6">
        <v>683.05</v>
      </c>
      <c r="AC23" s="6">
        <v>31.44</v>
      </c>
      <c r="AD23" s="6">
        <v>0</v>
      </c>
      <c r="AE23" s="6">
        <v>68.25</v>
      </c>
      <c r="AF23" s="6">
        <v>0</v>
      </c>
      <c r="AG23" s="6">
        <v>0</v>
      </c>
      <c r="AH23" s="6">
        <v>86.1</v>
      </c>
      <c r="AI23" s="6" t="s">
        <v>286</v>
      </c>
      <c r="AJ23" s="6" t="s">
        <v>287</v>
      </c>
      <c r="AK23" s="6" t="s">
        <v>16</v>
      </c>
      <c r="AL23" s="6" t="s">
        <v>57</v>
      </c>
      <c r="AM23" s="6" t="s">
        <v>288</v>
      </c>
      <c r="AN23" s="6" t="s">
        <v>28</v>
      </c>
      <c r="AO23" s="6" t="s">
        <v>253</v>
      </c>
      <c r="AP23" s="6" t="s">
        <v>26</v>
      </c>
      <c r="AQ23" s="6" t="s">
        <v>26</v>
      </c>
    </row>
    <row r="24" spans="1:43" hidden="1" x14ac:dyDescent="0.25">
      <c r="A24" s="6">
        <v>22649882</v>
      </c>
      <c r="B24" s="6">
        <v>23459431</v>
      </c>
      <c r="C24" s="6" t="s">
        <v>312</v>
      </c>
      <c r="D24" s="14">
        <v>45868.408854166657</v>
      </c>
      <c r="E24" s="14">
        <v>45874.854409722233</v>
      </c>
      <c r="F24" s="6" t="s">
        <v>21</v>
      </c>
      <c r="G24" s="6" t="s">
        <v>25</v>
      </c>
      <c r="H24" s="6" t="s">
        <v>280</v>
      </c>
      <c r="I24" s="6" t="s">
        <v>16</v>
      </c>
      <c r="J24" s="6" t="s">
        <v>313</v>
      </c>
      <c r="K24" s="6" t="s">
        <v>282</v>
      </c>
      <c r="L24" s="6" t="s">
        <v>282</v>
      </c>
      <c r="M24" s="14">
        <v>45867</v>
      </c>
      <c r="N24" s="6">
        <v>4801518571</v>
      </c>
      <c r="O24" s="6" t="s">
        <v>92</v>
      </c>
      <c r="P24" s="6" t="s">
        <v>245</v>
      </c>
      <c r="Q24" s="6" t="s">
        <v>246</v>
      </c>
      <c r="R24" s="6" t="s">
        <v>247</v>
      </c>
      <c r="S24" s="6" t="s">
        <v>7</v>
      </c>
      <c r="T24" s="6" t="s">
        <v>248</v>
      </c>
      <c r="U24" s="6" t="s">
        <v>116</v>
      </c>
      <c r="V24" s="6" t="s">
        <v>283</v>
      </c>
      <c r="W24" s="6" t="s">
        <v>284</v>
      </c>
      <c r="X24" s="6" t="s">
        <v>285</v>
      </c>
      <c r="Y24" s="6">
        <v>2243398498</v>
      </c>
      <c r="Z24" s="6" t="s">
        <v>26</v>
      </c>
      <c r="AA24" s="6">
        <v>167526</v>
      </c>
      <c r="AB24" s="6">
        <v>683.05</v>
      </c>
      <c r="AC24" s="6">
        <v>31.44</v>
      </c>
      <c r="AD24" s="6">
        <v>0</v>
      </c>
      <c r="AE24" s="6">
        <v>68.25</v>
      </c>
      <c r="AF24" s="6">
        <v>0</v>
      </c>
      <c r="AG24" s="6">
        <v>0</v>
      </c>
      <c r="AH24" s="6">
        <v>86.1</v>
      </c>
      <c r="AI24" s="6" t="s">
        <v>286</v>
      </c>
      <c r="AJ24" s="6" t="s">
        <v>287</v>
      </c>
      <c r="AK24" s="6" t="s">
        <v>16</v>
      </c>
      <c r="AL24" s="6" t="s">
        <v>57</v>
      </c>
      <c r="AM24" s="6" t="s">
        <v>288</v>
      </c>
      <c r="AN24" s="6" t="s">
        <v>28</v>
      </c>
      <c r="AO24" s="6" t="s">
        <v>253</v>
      </c>
      <c r="AP24" s="6" t="s">
        <v>26</v>
      </c>
      <c r="AQ24" s="6" t="s">
        <v>26</v>
      </c>
    </row>
    <row r="25" spans="1:43" x14ac:dyDescent="0.25">
      <c r="A25" s="6">
        <v>22649882</v>
      </c>
      <c r="B25" s="6">
        <v>23459432</v>
      </c>
      <c r="C25" s="6" t="s">
        <v>314</v>
      </c>
      <c r="D25" s="14">
        <v>45868.408854166657</v>
      </c>
      <c r="E25" s="14">
        <v>45874.854409722233</v>
      </c>
      <c r="F25" s="6" t="s">
        <v>21</v>
      </c>
      <c r="G25" s="6" t="s">
        <v>25</v>
      </c>
      <c r="H25" s="6" t="s">
        <v>280</v>
      </c>
      <c r="I25" s="6" t="s">
        <v>16</v>
      </c>
      <c r="J25" s="6" t="s">
        <v>315</v>
      </c>
      <c r="K25" s="6" t="s">
        <v>282</v>
      </c>
      <c r="L25" s="6" t="s">
        <v>282</v>
      </c>
      <c r="M25" s="14">
        <v>45867</v>
      </c>
      <c r="N25" s="6">
        <v>4801518571</v>
      </c>
      <c r="O25" s="6" t="s">
        <v>92</v>
      </c>
      <c r="P25" s="6" t="s">
        <v>245</v>
      </c>
      <c r="Q25" s="6" t="s">
        <v>246</v>
      </c>
      <c r="R25" s="6" t="s">
        <v>247</v>
      </c>
      <c r="S25" s="6" t="s">
        <v>7</v>
      </c>
      <c r="T25" s="6" t="s">
        <v>248</v>
      </c>
      <c r="U25" s="6" t="s">
        <v>116</v>
      </c>
      <c r="V25" s="6" t="s">
        <v>283</v>
      </c>
      <c r="W25" s="6" t="s">
        <v>284</v>
      </c>
      <c r="X25" s="6" t="s">
        <v>285</v>
      </c>
      <c r="Y25" s="6">
        <v>2243398452</v>
      </c>
      <c r="Z25" s="6" t="s">
        <v>26</v>
      </c>
      <c r="AA25" s="6">
        <v>167526</v>
      </c>
      <c r="AB25" s="6">
        <v>683.05</v>
      </c>
      <c r="AC25" s="6">
        <v>31.44</v>
      </c>
      <c r="AD25" s="6">
        <v>0</v>
      </c>
      <c r="AE25" s="6">
        <v>68.25</v>
      </c>
      <c r="AF25" s="6">
        <v>0</v>
      </c>
      <c r="AG25" s="6">
        <v>0</v>
      </c>
      <c r="AH25" s="6">
        <v>86.1</v>
      </c>
      <c r="AI25" s="6" t="s">
        <v>286</v>
      </c>
      <c r="AJ25" s="6" t="s">
        <v>287</v>
      </c>
      <c r="AK25" s="6" t="s">
        <v>16</v>
      </c>
      <c r="AL25" s="6" t="s">
        <v>57</v>
      </c>
      <c r="AM25" s="6" t="s">
        <v>288</v>
      </c>
      <c r="AN25" s="6" t="s">
        <v>28</v>
      </c>
      <c r="AO25" s="6" t="s">
        <v>253</v>
      </c>
      <c r="AP25" s="6" t="s">
        <v>26</v>
      </c>
      <c r="AQ25" s="6" t="s">
        <v>26</v>
      </c>
    </row>
    <row r="26" spans="1:43" x14ac:dyDescent="0.25">
      <c r="A26" s="6">
        <v>22649882</v>
      </c>
      <c r="B26" s="6">
        <v>23459433</v>
      </c>
      <c r="C26" s="6" t="s">
        <v>316</v>
      </c>
      <c r="D26" s="14">
        <v>45868.408854166657</v>
      </c>
      <c r="E26" s="14">
        <v>45874.854409722233</v>
      </c>
      <c r="F26" s="6" t="s">
        <v>21</v>
      </c>
      <c r="G26" s="6" t="s">
        <v>25</v>
      </c>
      <c r="H26" s="6" t="s">
        <v>280</v>
      </c>
      <c r="I26" s="6" t="s">
        <v>16</v>
      </c>
      <c r="J26" s="6" t="s">
        <v>317</v>
      </c>
      <c r="K26" s="6" t="s">
        <v>282</v>
      </c>
      <c r="L26" s="6" t="s">
        <v>282</v>
      </c>
      <c r="M26" s="14">
        <v>45867</v>
      </c>
      <c r="N26" s="6">
        <v>4801518571</v>
      </c>
      <c r="O26" s="6" t="s">
        <v>92</v>
      </c>
      <c r="P26" s="6" t="s">
        <v>245</v>
      </c>
      <c r="Q26" s="6" t="s">
        <v>246</v>
      </c>
      <c r="R26" s="6" t="s">
        <v>247</v>
      </c>
      <c r="S26" s="6" t="s">
        <v>7</v>
      </c>
      <c r="T26" s="6" t="s">
        <v>248</v>
      </c>
      <c r="U26" s="6" t="s">
        <v>116</v>
      </c>
      <c r="V26" s="6" t="s">
        <v>283</v>
      </c>
      <c r="W26" s="6" t="s">
        <v>284</v>
      </c>
      <c r="X26" s="6" t="s">
        <v>285</v>
      </c>
      <c r="Y26" s="6">
        <v>2243398453</v>
      </c>
      <c r="Z26" s="6" t="s">
        <v>26</v>
      </c>
      <c r="AA26" s="6">
        <v>167526</v>
      </c>
      <c r="AB26" s="6">
        <v>683.05</v>
      </c>
      <c r="AC26" s="6">
        <v>31.44</v>
      </c>
      <c r="AD26" s="6">
        <v>0</v>
      </c>
      <c r="AE26" s="6">
        <v>68.25</v>
      </c>
      <c r="AF26" s="6">
        <v>0</v>
      </c>
      <c r="AG26" s="6">
        <v>0</v>
      </c>
      <c r="AH26" s="6">
        <v>86.1</v>
      </c>
      <c r="AI26" s="6" t="s">
        <v>286</v>
      </c>
      <c r="AJ26" s="6" t="s">
        <v>287</v>
      </c>
      <c r="AK26" s="6" t="s">
        <v>16</v>
      </c>
      <c r="AL26" s="6" t="s">
        <v>57</v>
      </c>
      <c r="AM26" s="6" t="s">
        <v>288</v>
      </c>
      <c r="AN26" s="6" t="s">
        <v>28</v>
      </c>
      <c r="AO26" s="6" t="s">
        <v>253</v>
      </c>
      <c r="AP26" s="6" t="s">
        <v>26</v>
      </c>
      <c r="AQ26" s="6" t="s">
        <v>26</v>
      </c>
    </row>
    <row r="27" spans="1:43" x14ac:dyDescent="0.25">
      <c r="A27" s="6">
        <v>22649882</v>
      </c>
      <c r="B27" s="6">
        <v>23459434</v>
      </c>
      <c r="C27" s="6" t="s">
        <v>318</v>
      </c>
      <c r="D27" s="14">
        <v>45868.408854166657</v>
      </c>
      <c r="E27" s="14">
        <v>45874.854409722233</v>
      </c>
      <c r="F27" s="6" t="s">
        <v>21</v>
      </c>
      <c r="G27" s="6" t="s">
        <v>25</v>
      </c>
      <c r="H27" s="6" t="s">
        <v>280</v>
      </c>
      <c r="I27" s="6" t="s">
        <v>16</v>
      </c>
      <c r="J27" s="6" t="s">
        <v>319</v>
      </c>
      <c r="K27" s="6" t="s">
        <v>282</v>
      </c>
      <c r="L27" s="6" t="s">
        <v>282</v>
      </c>
      <c r="M27" s="14">
        <v>45867</v>
      </c>
      <c r="N27" s="6">
        <v>4801518571</v>
      </c>
      <c r="O27" s="6" t="s">
        <v>92</v>
      </c>
      <c r="P27" s="6" t="s">
        <v>245</v>
      </c>
      <c r="Q27" s="6" t="s">
        <v>246</v>
      </c>
      <c r="R27" s="6" t="s">
        <v>247</v>
      </c>
      <c r="S27" s="6" t="s">
        <v>7</v>
      </c>
      <c r="T27" s="6" t="s">
        <v>248</v>
      </c>
      <c r="U27" s="6" t="s">
        <v>116</v>
      </c>
      <c r="V27" s="6" t="s">
        <v>283</v>
      </c>
      <c r="W27" s="6" t="s">
        <v>284</v>
      </c>
      <c r="X27" s="6" t="s">
        <v>285</v>
      </c>
      <c r="Y27" s="6">
        <v>2243398454</v>
      </c>
      <c r="Z27" s="6" t="s">
        <v>26</v>
      </c>
      <c r="AA27" s="6">
        <v>167526</v>
      </c>
      <c r="AB27" s="6">
        <v>683.05</v>
      </c>
      <c r="AC27" s="6">
        <v>31.44</v>
      </c>
      <c r="AD27" s="6">
        <v>0</v>
      </c>
      <c r="AE27" s="6">
        <v>68.25</v>
      </c>
      <c r="AF27" s="6">
        <v>0</v>
      </c>
      <c r="AG27" s="6">
        <v>0</v>
      </c>
      <c r="AH27" s="6">
        <v>86.1</v>
      </c>
      <c r="AI27" s="6" t="s">
        <v>286</v>
      </c>
      <c r="AJ27" s="6" t="s">
        <v>287</v>
      </c>
      <c r="AK27" s="6" t="s">
        <v>16</v>
      </c>
      <c r="AL27" s="6" t="s">
        <v>57</v>
      </c>
      <c r="AM27" s="6" t="s">
        <v>288</v>
      </c>
      <c r="AN27" s="6" t="s">
        <v>28</v>
      </c>
      <c r="AO27" s="6" t="s">
        <v>253</v>
      </c>
      <c r="AP27" s="6" t="s">
        <v>26</v>
      </c>
      <c r="AQ27" s="6" t="s">
        <v>26</v>
      </c>
    </row>
    <row r="28" spans="1:43" hidden="1" x14ac:dyDescent="0.25">
      <c r="A28" s="6">
        <v>22649882</v>
      </c>
      <c r="B28" s="6">
        <v>23459435</v>
      </c>
      <c r="C28" s="6" t="s">
        <v>320</v>
      </c>
      <c r="D28" s="14">
        <v>45868.408854166657</v>
      </c>
      <c r="E28" s="14">
        <v>45874.854409722233</v>
      </c>
      <c r="F28" s="6" t="s">
        <v>21</v>
      </c>
      <c r="G28" s="6" t="s">
        <v>25</v>
      </c>
      <c r="H28" s="6" t="s">
        <v>280</v>
      </c>
      <c r="I28" s="6" t="s">
        <v>16</v>
      </c>
      <c r="J28" s="6" t="s">
        <v>321</v>
      </c>
      <c r="K28" s="6" t="s">
        <v>282</v>
      </c>
      <c r="L28" s="6" t="s">
        <v>282</v>
      </c>
      <c r="M28" s="14">
        <v>45867</v>
      </c>
      <c r="N28" s="6">
        <v>4801518571</v>
      </c>
      <c r="O28" s="6" t="s">
        <v>92</v>
      </c>
      <c r="P28" s="6" t="s">
        <v>245</v>
      </c>
      <c r="Q28" s="6" t="s">
        <v>246</v>
      </c>
      <c r="R28" s="6" t="s">
        <v>247</v>
      </c>
      <c r="S28" s="6" t="s">
        <v>7</v>
      </c>
      <c r="T28" s="6" t="s">
        <v>248</v>
      </c>
      <c r="U28" s="6" t="s">
        <v>116</v>
      </c>
      <c r="V28" s="6" t="s">
        <v>283</v>
      </c>
      <c r="W28" s="6" t="s">
        <v>284</v>
      </c>
      <c r="X28" s="6" t="s">
        <v>285</v>
      </c>
      <c r="Y28" s="6">
        <v>2243398455</v>
      </c>
      <c r="Z28" s="6" t="s">
        <v>26</v>
      </c>
      <c r="AA28" s="6">
        <v>167526</v>
      </c>
      <c r="AB28" s="6">
        <v>683.05</v>
      </c>
      <c r="AC28" s="6">
        <v>31.44</v>
      </c>
      <c r="AD28" s="6">
        <v>0</v>
      </c>
      <c r="AE28" s="6">
        <v>68.25</v>
      </c>
      <c r="AF28" s="6">
        <v>0</v>
      </c>
      <c r="AG28" s="6">
        <v>0</v>
      </c>
      <c r="AH28" s="6">
        <v>86.1</v>
      </c>
      <c r="AI28" s="6" t="s">
        <v>286</v>
      </c>
      <c r="AJ28" s="6" t="s">
        <v>287</v>
      </c>
      <c r="AK28" s="6" t="s">
        <v>16</v>
      </c>
      <c r="AL28" s="6" t="s">
        <v>57</v>
      </c>
      <c r="AM28" s="6" t="s">
        <v>288</v>
      </c>
      <c r="AN28" s="6" t="s">
        <v>28</v>
      </c>
      <c r="AO28" s="6" t="s">
        <v>253</v>
      </c>
      <c r="AP28" s="6" t="s">
        <v>26</v>
      </c>
      <c r="AQ28" s="6" t="s">
        <v>26</v>
      </c>
    </row>
    <row r="29" spans="1:43" hidden="1" x14ac:dyDescent="0.25">
      <c r="A29" s="6">
        <v>22649882</v>
      </c>
      <c r="B29" s="6">
        <v>23459436</v>
      </c>
      <c r="C29" s="6" t="s">
        <v>322</v>
      </c>
      <c r="D29" s="14">
        <v>45868.408854166657</v>
      </c>
      <c r="E29" s="14">
        <v>45874.854409722233</v>
      </c>
      <c r="F29" s="6" t="s">
        <v>21</v>
      </c>
      <c r="G29" s="6" t="s">
        <v>25</v>
      </c>
      <c r="H29" s="6" t="s">
        <v>280</v>
      </c>
      <c r="I29" s="6" t="s">
        <v>16</v>
      </c>
      <c r="J29" s="6" t="s">
        <v>323</v>
      </c>
      <c r="K29" s="6" t="s">
        <v>282</v>
      </c>
      <c r="L29" s="6" t="s">
        <v>282</v>
      </c>
      <c r="M29" s="14">
        <v>45867</v>
      </c>
      <c r="N29" s="6">
        <v>4801518571</v>
      </c>
      <c r="O29" s="6" t="s">
        <v>92</v>
      </c>
      <c r="P29" s="6" t="s">
        <v>245</v>
      </c>
      <c r="Q29" s="6" t="s">
        <v>246</v>
      </c>
      <c r="R29" s="6" t="s">
        <v>247</v>
      </c>
      <c r="S29" s="6" t="s">
        <v>7</v>
      </c>
      <c r="T29" s="6" t="s">
        <v>248</v>
      </c>
      <c r="U29" s="6" t="s">
        <v>116</v>
      </c>
      <c r="V29" s="6" t="s">
        <v>283</v>
      </c>
      <c r="W29" s="6" t="s">
        <v>284</v>
      </c>
      <c r="X29" s="6" t="s">
        <v>285</v>
      </c>
      <c r="Y29" s="6">
        <v>2243398456</v>
      </c>
      <c r="Z29" s="6" t="s">
        <v>26</v>
      </c>
      <c r="AA29" s="6">
        <v>167526</v>
      </c>
      <c r="AB29" s="6">
        <v>683.05</v>
      </c>
      <c r="AC29" s="6">
        <v>31.44</v>
      </c>
      <c r="AD29" s="6">
        <v>0</v>
      </c>
      <c r="AE29" s="6">
        <v>68.25</v>
      </c>
      <c r="AF29" s="6">
        <v>0</v>
      </c>
      <c r="AG29" s="6">
        <v>0</v>
      </c>
      <c r="AH29" s="6">
        <v>86.1</v>
      </c>
      <c r="AI29" s="6" t="s">
        <v>286</v>
      </c>
      <c r="AJ29" s="6" t="s">
        <v>287</v>
      </c>
      <c r="AK29" s="6" t="s">
        <v>16</v>
      </c>
      <c r="AL29" s="6" t="s">
        <v>57</v>
      </c>
      <c r="AM29" s="6" t="s">
        <v>288</v>
      </c>
      <c r="AN29" s="6" t="s">
        <v>28</v>
      </c>
      <c r="AO29" s="6" t="s">
        <v>253</v>
      </c>
      <c r="AP29" s="6" t="s">
        <v>26</v>
      </c>
      <c r="AQ29" s="6" t="s">
        <v>26</v>
      </c>
    </row>
    <row r="30" spans="1:43" hidden="1" x14ac:dyDescent="0.25">
      <c r="A30" s="6">
        <v>22649882</v>
      </c>
      <c r="B30" s="6">
        <v>23459437</v>
      </c>
      <c r="C30" s="6" t="s">
        <v>324</v>
      </c>
      <c r="D30" s="14">
        <v>45868.408854166657</v>
      </c>
      <c r="E30" s="14">
        <v>45874.854409722233</v>
      </c>
      <c r="F30" s="6" t="s">
        <v>21</v>
      </c>
      <c r="G30" s="6" t="s">
        <v>25</v>
      </c>
      <c r="H30" s="6" t="s">
        <v>280</v>
      </c>
      <c r="I30" s="6" t="s">
        <v>16</v>
      </c>
      <c r="J30" s="6" t="s">
        <v>325</v>
      </c>
      <c r="K30" s="6" t="s">
        <v>282</v>
      </c>
      <c r="L30" s="6" t="s">
        <v>282</v>
      </c>
      <c r="M30" s="14">
        <v>45867</v>
      </c>
      <c r="N30" s="6">
        <v>4801518571</v>
      </c>
      <c r="O30" s="6" t="s">
        <v>92</v>
      </c>
      <c r="P30" s="6" t="s">
        <v>245</v>
      </c>
      <c r="Q30" s="6" t="s">
        <v>246</v>
      </c>
      <c r="R30" s="6" t="s">
        <v>247</v>
      </c>
      <c r="S30" s="6" t="s">
        <v>7</v>
      </c>
      <c r="T30" s="6" t="s">
        <v>248</v>
      </c>
      <c r="U30" s="6" t="s">
        <v>116</v>
      </c>
      <c r="V30" s="6" t="s">
        <v>283</v>
      </c>
      <c r="W30" s="6" t="s">
        <v>284</v>
      </c>
      <c r="X30" s="6" t="s">
        <v>285</v>
      </c>
      <c r="Y30" s="6">
        <v>2243398457</v>
      </c>
      <c r="Z30" s="6" t="s">
        <v>26</v>
      </c>
      <c r="AA30" s="6">
        <v>167526</v>
      </c>
      <c r="AB30" s="6">
        <v>683.05</v>
      </c>
      <c r="AC30" s="6">
        <v>31.44</v>
      </c>
      <c r="AD30" s="6">
        <v>0</v>
      </c>
      <c r="AE30" s="6">
        <v>68.25</v>
      </c>
      <c r="AF30" s="6">
        <v>0</v>
      </c>
      <c r="AG30" s="6">
        <v>0</v>
      </c>
      <c r="AH30" s="6">
        <v>86.1</v>
      </c>
      <c r="AI30" s="6" t="s">
        <v>286</v>
      </c>
      <c r="AJ30" s="6" t="s">
        <v>287</v>
      </c>
      <c r="AK30" s="6" t="s">
        <v>16</v>
      </c>
      <c r="AL30" s="6" t="s">
        <v>57</v>
      </c>
      <c r="AM30" s="6" t="s">
        <v>288</v>
      </c>
      <c r="AN30" s="6" t="s">
        <v>28</v>
      </c>
      <c r="AO30" s="6" t="s">
        <v>253</v>
      </c>
      <c r="AP30" s="6" t="s">
        <v>26</v>
      </c>
      <c r="AQ30" s="6" t="s">
        <v>26</v>
      </c>
    </row>
    <row r="31" spans="1:43" hidden="1" x14ac:dyDescent="0.25">
      <c r="A31" s="6">
        <v>22649882</v>
      </c>
      <c r="B31" s="6">
        <v>23459438</v>
      </c>
      <c r="C31" s="6" t="s">
        <v>326</v>
      </c>
      <c r="D31" s="14">
        <v>45868.408854166657</v>
      </c>
      <c r="E31" s="14">
        <v>45874.854409722233</v>
      </c>
      <c r="F31" s="6" t="s">
        <v>21</v>
      </c>
      <c r="G31" s="6" t="s">
        <v>25</v>
      </c>
      <c r="H31" s="6" t="s">
        <v>280</v>
      </c>
      <c r="I31" s="6" t="s">
        <v>16</v>
      </c>
      <c r="J31" s="6" t="s">
        <v>327</v>
      </c>
      <c r="K31" s="6" t="s">
        <v>282</v>
      </c>
      <c r="L31" s="6" t="s">
        <v>282</v>
      </c>
      <c r="M31" s="14">
        <v>45867</v>
      </c>
      <c r="N31" s="6">
        <v>4801518571</v>
      </c>
      <c r="O31" s="6" t="s">
        <v>92</v>
      </c>
      <c r="P31" s="6" t="s">
        <v>245</v>
      </c>
      <c r="Q31" s="6" t="s">
        <v>246</v>
      </c>
      <c r="R31" s="6" t="s">
        <v>247</v>
      </c>
      <c r="S31" s="6" t="s">
        <v>7</v>
      </c>
      <c r="T31" s="6" t="s">
        <v>248</v>
      </c>
      <c r="U31" s="6" t="s">
        <v>116</v>
      </c>
      <c r="V31" s="6" t="s">
        <v>283</v>
      </c>
      <c r="W31" s="6" t="s">
        <v>284</v>
      </c>
      <c r="X31" s="6" t="s">
        <v>285</v>
      </c>
      <c r="Y31" s="6">
        <v>2243398493</v>
      </c>
      <c r="Z31" s="6" t="s">
        <v>26</v>
      </c>
      <c r="AA31" s="6">
        <v>167526</v>
      </c>
      <c r="AB31" s="6">
        <v>683.05</v>
      </c>
      <c r="AC31" s="6">
        <v>31.44</v>
      </c>
      <c r="AD31" s="6">
        <v>0</v>
      </c>
      <c r="AE31" s="6">
        <v>68.25</v>
      </c>
      <c r="AF31" s="6">
        <v>0</v>
      </c>
      <c r="AG31" s="6">
        <v>0</v>
      </c>
      <c r="AH31" s="6">
        <v>86.1</v>
      </c>
      <c r="AI31" s="6" t="s">
        <v>286</v>
      </c>
      <c r="AJ31" s="6" t="s">
        <v>287</v>
      </c>
      <c r="AK31" s="6" t="s">
        <v>16</v>
      </c>
      <c r="AL31" s="6" t="s">
        <v>57</v>
      </c>
      <c r="AM31" s="6" t="s">
        <v>288</v>
      </c>
      <c r="AN31" s="6" t="s">
        <v>28</v>
      </c>
      <c r="AO31" s="6" t="s">
        <v>253</v>
      </c>
      <c r="AP31" s="6" t="s">
        <v>26</v>
      </c>
      <c r="AQ31" s="6" t="s">
        <v>26</v>
      </c>
    </row>
    <row r="32" spans="1:43" hidden="1" x14ac:dyDescent="0.25">
      <c r="A32" s="6">
        <v>22649882</v>
      </c>
      <c r="B32" s="6">
        <v>23459439</v>
      </c>
      <c r="C32" s="6" t="s">
        <v>328</v>
      </c>
      <c r="D32" s="14">
        <v>45868.408854166657</v>
      </c>
      <c r="E32" s="14">
        <v>45874.854409722233</v>
      </c>
      <c r="F32" s="6" t="s">
        <v>21</v>
      </c>
      <c r="G32" s="6" t="s">
        <v>25</v>
      </c>
      <c r="H32" s="6" t="s">
        <v>280</v>
      </c>
      <c r="I32" s="6" t="s">
        <v>16</v>
      </c>
      <c r="J32" s="6" t="s">
        <v>329</v>
      </c>
      <c r="K32" s="6" t="s">
        <v>282</v>
      </c>
      <c r="L32" s="6" t="s">
        <v>282</v>
      </c>
      <c r="M32" s="14">
        <v>45867</v>
      </c>
      <c r="N32" s="6">
        <v>4801518571</v>
      </c>
      <c r="O32" s="6" t="s">
        <v>92</v>
      </c>
      <c r="P32" s="6" t="s">
        <v>245</v>
      </c>
      <c r="Q32" s="6" t="s">
        <v>246</v>
      </c>
      <c r="R32" s="6" t="s">
        <v>247</v>
      </c>
      <c r="S32" s="6" t="s">
        <v>7</v>
      </c>
      <c r="T32" s="6" t="s">
        <v>248</v>
      </c>
      <c r="U32" s="6" t="s">
        <v>116</v>
      </c>
      <c r="V32" s="6" t="s">
        <v>283</v>
      </c>
      <c r="W32" s="6" t="s">
        <v>284</v>
      </c>
      <c r="X32" s="6" t="s">
        <v>285</v>
      </c>
      <c r="Y32" s="6">
        <v>2243398459</v>
      </c>
      <c r="Z32" s="6" t="s">
        <v>26</v>
      </c>
      <c r="AA32" s="6">
        <v>167526</v>
      </c>
      <c r="AB32" s="6">
        <v>683.05</v>
      </c>
      <c r="AC32" s="6">
        <v>31.44</v>
      </c>
      <c r="AD32" s="6">
        <v>0</v>
      </c>
      <c r="AE32" s="6">
        <v>68.25</v>
      </c>
      <c r="AF32" s="6">
        <v>0</v>
      </c>
      <c r="AG32" s="6">
        <v>0</v>
      </c>
      <c r="AH32" s="6">
        <v>86.1</v>
      </c>
      <c r="AI32" s="6" t="s">
        <v>286</v>
      </c>
      <c r="AJ32" s="6" t="s">
        <v>287</v>
      </c>
      <c r="AK32" s="6" t="s">
        <v>16</v>
      </c>
      <c r="AL32" s="6" t="s">
        <v>57</v>
      </c>
      <c r="AM32" s="6" t="s">
        <v>288</v>
      </c>
      <c r="AN32" s="6" t="s">
        <v>28</v>
      </c>
      <c r="AO32" s="6" t="s">
        <v>253</v>
      </c>
      <c r="AP32" s="6" t="s">
        <v>26</v>
      </c>
      <c r="AQ32" s="6" t="s">
        <v>26</v>
      </c>
    </row>
    <row r="33" spans="1:43" hidden="1" x14ac:dyDescent="0.25">
      <c r="A33" s="6">
        <v>22649882</v>
      </c>
      <c r="B33" s="6">
        <v>23459440</v>
      </c>
      <c r="C33" s="6" t="s">
        <v>330</v>
      </c>
      <c r="D33" s="14">
        <v>45868.408854166657</v>
      </c>
      <c r="E33" s="14">
        <v>45874.854409722233</v>
      </c>
      <c r="F33" s="6" t="s">
        <v>21</v>
      </c>
      <c r="G33" s="6" t="s">
        <v>25</v>
      </c>
      <c r="H33" s="6" t="s">
        <v>280</v>
      </c>
      <c r="I33" s="6" t="s">
        <v>16</v>
      </c>
      <c r="J33" s="6" t="s">
        <v>331</v>
      </c>
      <c r="K33" s="6" t="s">
        <v>282</v>
      </c>
      <c r="L33" s="6" t="s">
        <v>282</v>
      </c>
      <c r="M33" s="14">
        <v>45867</v>
      </c>
      <c r="N33" s="6">
        <v>4801518571</v>
      </c>
      <c r="O33" s="6" t="s">
        <v>92</v>
      </c>
      <c r="P33" s="6" t="s">
        <v>245</v>
      </c>
      <c r="Q33" s="6" t="s">
        <v>246</v>
      </c>
      <c r="R33" s="6" t="s">
        <v>247</v>
      </c>
      <c r="S33" s="6" t="s">
        <v>7</v>
      </c>
      <c r="T33" s="6" t="s">
        <v>248</v>
      </c>
      <c r="U33" s="6" t="s">
        <v>116</v>
      </c>
      <c r="V33" s="6" t="s">
        <v>283</v>
      </c>
      <c r="W33" s="6" t="s">
        <v>284</v>
      </c>
      <c r="X33" s="6" t="s">
        <v>285</v>
      </c>
      <c r="Y33" s="6">
        <v>2243398460</v>
      </c>
      <c r="Z33" s="6" t="s">
        <v>26</v>
      </c>
      <c r="AA33" s="6">
        <v>167526</v>
      </c>
      <c r="AB33" s="6">
        <v>683.05</v>
      </c>
      <c r="AC33" s="6">
        <v>31.44</v>
      </c>
      <c r="AD33" s="6">
        <v>0</v>
      </c>
      <c r="AE33" s="6">
        <v>68.25</v>
      </c>
      <c r="AF33" s="6">
        <v>0</v>
      </c>
      <c r="AG33" s="6">
        <v>0</v>
      </c>
      <c r="AH33" s="6">
        <v>86.1</v>
      </c>
      <c r="AI33" s="6" t="s">
        <v>286</v>
      </c>
      <c r="AJ33" s="6" t="s">
        <v>287</v>
      </c>
      <c r="AK33" s="6" t="s">
        <v>16</v>
      </c>
      <c r="AL33" s="6" t="s">
        <v>57</v>
      </c>
      <c r="AM33" s="6" t="s">
        <v>288</v>
      </c>
      <c r="AN33" s="6" t="s">
        <v>28</v>
      </c>
      <c r="AO33" s="6" t="s">
        <v>253</v>
      </c>
      <c r="AP33" s="6" t="s">
        <v>26</v>
      </c>
      <c r="AQ33" s="6" t="s">
        <v>26</v>
      </c>
    </row>
    <row r="34" spans="1:43" hidden="1" x14ac:dyDescent="0.25">
      <c r="A34" s="6">
        <v>22649882</v>
      </c>
      <c r="B34" s="6">
        <v>23459441</v>
      </c>
      <c r="C34" s="6" t="s">
        <v>332</v>
      </c>
      <c r="D34" s="14">
        <v>45868.408854166657</v>
      </c>
      <c r="E34" s="14">
        <v>45874.854409722233</v>
      </c>
      <c r="F34" s="6" t="s">
        <v>21</v>
      </c>
      <c r="G34" s="6" t="s">
        <v>25</v>
      </c>
      <c r="H34" s="6" t="s">
        <v>280</v>
      </c>
      <c r="I34" s="6" t="s">
        <v>16</v>
      </c>
      <c r="J34" s="6" t="s">
        <v>333</v>
      </c>
      <c r="K34" s="6" t="s">
        <v>282</v>
      </c>
      <c r="L34" s="6" t="s">
        <v>282</v>
      </c>
      <c r="M34" s="14">
        <v>45867</v>
      </c>
      <c r="N34" s="6">
        <v>4801518571</v>
      </c>
      <c r="O34" s="6" t="s">
        <v>92</v>
      </c>
      <c r="P34" s="6" t="s">
        <v>245</v>
      </c>
      <c r="Q34" s="6" t="s">
        <v>246</v>
      </c>
      <c r="R34" s="6" t="s">
        <v>247</v>
      </c>
      <c r="S34" s="6" t="s">
        <v>7</v>
      </c>
      <c r="T34" s="6" t="s">
        <v>248</v>
      </c>
      <c r="U34" s="6" t="s">
        <v>116</v>
      </c>
      <c r="V34" s="6" t="s">
        <v>283</v>
      </c>
      <c r="W34" s="6" t="s">
        <v>284</v>
      </c>
      <c r="X34" s="6" t="s">
        <v>285</v>
      </c>
      <c r="Y34" s="6">
        <v>2243398461</v>
      </c>
      <c r="Z34" s="6" t="s">
        <v>26</v>
      </c>
      <c r="AA34" s="6">
        <v>167526</v>
      </c>
      <c r="AB34" s="6">
        <v>683.05</v>
      </c>
      <c r="AC34" s="6">
        <v>31.44</v>
      </c>
      <c r="AD34" s="6">
        <v>0</v>
      </c>
      <c r="AE34" s="6">
        <v>68.25</v>
      </c>
      <c r="AF34" s="6">
        <v>0</v>
      </c>
      <c r="AG34" s="6">
        <v>0</v>
      </c>
      <c r="AH34" s="6">
        <v>86.1</v>
      </c>
      <c r="AI34" s="6" t="s">
        <v>286</v>
      </c>
      <c r="AJ34" s="6" t="s">
        <v>287</v>
      </c>
      <c r="AK34" s="6" t="s">
        <v>16</v>
      </c>
      <c r="AL34" s="6" t="s">
        <v>57</v>
      </c>
      <c r="AM34" s="6" t="s">
        <v>288</v>
      </c>
      <c r="AN34" s="6" t="s">
        <v>28</v>
      </c>
      <c r="AO34" s="6" t="s">
        <v>253</v>
      </c>
      <c r="AP34" s="6" t="s">
        <v>26</v>
      </c>
      <c r="AQ34" s="6" t="s">
        <v>26</v>
      </c>
    </row>
    <row r="35" spans="1:43" hidden="1" x14ac:dyDescent="0.25">
      <c r="A35" s="6">
        <v>22649882</v>
      </c>
      <c r="B35" s="6">
        <v>23459442</v>
      </c>
      <c r="C35" s="6" t="s">
        <v>334</v>
      </c>
      <c r="D35" s="14">
        <v>45868.408854166657</v>
      </c>
      <c r="E35" s="14">
        <v>45874.854409722233</v>
      </c>
      <c r="F35" s="6" t="s">
        <v>21</v>
      </c>
      <c r="G35" s="6" t="s">
        <v>25</v>
      </c>
      <c r="H35" s="6" t="s">
        <v>280</v>
      </c>
      <c r="I35" s="6" t="s">
        <v>16</v>
      </c>
      <c r="J35" s="6" t="s">
        <v>335</v>
      </c>
      <c r="K35" s="6" t="s">
        <v>282</v>
      </c>
      <c r="L35" s="6" t="s">
        <v>282</v>
      </c>
      <c r="M35" s="14">
        <v>45867</v>
      </c>
      <c r="N35" s="6">
        <v>4801518571</v>
      </c>
      <c r="O35" s="6" t="s">
        <v>92</v>
      </c>
      <c r="P35" s="6" t="s">
        <v>245</v>
      </c>
      <c r="Q35" s="6" t="s">
        <v>246</v>
      </c>
      <c r="R35" s="6" t="s">
        <v>247</v>
      </c>
      <c r="S35" s="6" t="s">
        <v>7</v>
      </c>
      <c r="T35" s="6" t="s">
        <v>248</v>
      </c>
      <c r="U35" s="6" t="s">
        <v>116</v>
      </c>
      <c r="V35" s="6" t="s">
        <v>283</v>
      </c>
      <c r="W35" s="6" t="s">
        <v>284</v>
      </c>
      <c r="X35" s="6" t="s">
        <v>285</v>
      </c>
      <c r="Y35" s="6">
        <v>2243398462</v>
      </c>
      <c r="Z35" s="6" t="s">
        <v>26</v>
      </c>
      <c r="AA35" s="6">
        <v>167526</v>
      </c>
      <c r="AB35" s="6">
        <v>683.05</v>
      </c>
      <c r="AC35" s="6">
        <v>31.44</v>
      </c>
      <c r="AD35" s="6">
        <v>0</v>
      </c>
      <c r="AE35" s="6">
        <v>68.25</v>
      </c>
      <c r="AF35" s="6">
        <v>0</v>
      </c>
      <c r="AG35" s="6">
        <v>0</v>
      </c>
      <c r="AH35" s="6">
        <v>86.1</v>
      </c>
      <c r="AI35" s="6" t="s">
        <v>286</v>
      </c>
      <c r="AJ35" s="6" t="s">
        <v>287</v>
      </c>
      <c r="AK35" s="6" t="s">
        <v>16</v>
      </c>
      <c r="AL35" s="6" t="s">
        <v>57</v>
      </c>
      <c r="AM35" s="6" t="s">
        <v>288</v>
      </c>
      <c r="AN35" s="6" t="s">
        <v>28</v>
      </c>
      <c r="AO35" s="6" t="s">
        <v>253</v>
      </c>
      <c r="AP35" s="6" t="s">
        <v>26</v>
      </c>
      <c r="AQ35" s="6" t="s">
        <v>26</v>
      </c>
    </row>
    <row r="36" spans="1:43" hidden="1" x14ac:dyDescent="0.25">
      <c r="A36" s="6">
        <v>22649882</v>
      </c>
      <c r="B36" s="6">
        <v>23459443</v>
      </c>
      <c r="C36" s="6" t="s">
        <v>336</v>
      </c>
      <c r="D36" s="14">
        <v>45868.408854166657</v>
      </c>
      <c r="E36" s="14">
        <v>45874.854409722233</v>
      </c>
      <c r="F36" s="6" t="s">
        <v>21</v>
      </c>
      <c r="G36" s="6" t="s">
        <v>25</v>
      </c>
      <c r="H36" s="6" t="s">
        <v>280</v>
      </c>
      <c r="I36" s="6" t="s">
        <v>16</v>
      </c>
      <c r="J36" s="6" t="s">
        <v>337</v>
      </c>
      <c r="K36" s="6" t="s">
        <v>282</v>
      </c>
      <c r="L36" s="6" t="s">
        <v>282</v>
      </c>
      <c r="M36" s="14">
        <v>45867</v>
      </c>
      <c r="N36" s="6">
        <v>4801518571</v>
      </c>
      <c r="O36" s="6" t="s">
        <v>92</v>
      </c>
      <c r="P36" s="6" t="s">
        <v>245</v>
      </c>
      <c r="Q36" s="6" t="s">
        <v>246</v>
      </c>
      <c r="R36" s="6" t="s">
        <v>247</v>
      </c>
      <c r="S36" s="6" t="s">
        <v>7</v>
      </c>
      <c r="T36" s="6" t="s">
        <v>248</v>
      </c>
      <c r="U36" s="6" t="s">
        <v>116</v>
      </c>
      <c r="V36" s="6" t="s">
        <v>283</v>
      </c>
      <c r="W36" s="6" t="s">
        <v>284</v>
      </c>
      <c r="X36" s="6" t="s">
        <v>285</v>
      </c>
      <c r="Y36" s="6">
        <v>2243398463</v>
      </c>
      <c r="Z36" s="6" t="s">
        <v>26</v>
      </c>
      <c r="AA36" s="6">
        <v>167526</v>
      </c>
      <c r="AB36" s="6">
        <v>683.05</v>
      </c>
      <c r="AC36" s="6">
        <v>31.44</v>
      </c>
      <c r="AD36" s="6">
        <v>0</v>
      </c>
      <c r="AE36" s="6">
        <v>68.25</v>
      </c>
      <c r="AF36" s="6">
        <v>0</v>
      </c>
      <c r="AG36" s="6">
        <v>0</v>
      </c>
      <c r="AH36" s="6">
        <v>86.1</v>
      </c>
      <c r="AI36" s="6" t="s">
        <v>286</v>
      </c>
      <c r="AJ36" s="6" t="s">
        <v>287</v>
      </c>
      <c r="AK36" s="6" t="s">
        <v>16</v>
      </c>
      <c r="AL36" s="6" t="s">
        <v>57</v>
      </c>
      <c r="AM36" s="6" t="s">
        <v>288</v>
      </c>
      <c r="AN36" s="6" t="s">
        <v>28</v>
      </c>
      <c r="AO36" s="6" t="s">
        <v>253</v>
      </c>
      <c r="AP36" s="6" t="s">
        <v>26</v>
      </c>
      <c r="AQ36" s="6" t="s">
        <v>26</v>
      </c>
    </row>
    <row r="37" spans="1:43" x14ac:dyDescent="0.25">
      <c r="A37" s="6">
        <v>22649882</v>
      </c>
      <c r="B37" s="6">
        <v>23459444</v>
      </c>
      <c r="C37" s="6" t="s">
        <v>338</v>
      </c>
      <c r="D37" s="14">
        <v>45868.408854166657</v>
      </c>
      <c r="E37" s="14">
        <v>45874.854409722233</v>
      </c>
      <c r="F37" s="6" t="s">
        <v>21</v>
      </c>
      <c r="G37" s="6" t="s">
        <v>25</v>
      </c>
      <c r="H37" s="6" t="s">
        <v>280</v>
      </c>
      <c r="I37" s="6" t="s">
        <v>16</v>
      </c>
      <c r="J37" s="6" t="s">
        <v>339</v>
      </c>
      <c r="K37" s="6" t="s">
        <v>282</v>
      </c>
      <c r="L37" s="6" t="s">
        <v>282</v>
      </c>
      <c r="M37" s="14">
        <v>45867</v>
      </c>
      <c r="N37" s="6">
        <v>4801518571</v>
      </c>
      <c r="O37" s="6" t="s">
        <v>92</v>
      </c>
      <c r="P37" s="6" t="s">
        <v>245</v>
      </c>
      <c r="Q37" s="6" t="s">
        <v>246</v>
      </c>
      <c r="R37" s="6" t="s">
        <v>247</v>
      </c>
      <c r="S37" s="6" t="s">
        <v>7</v>
      </c>
      <c r="T37" s="6" t="s">
        <v>248</v>
      </c>
      <c r="U37" s="6" t="s">
        <v>116</v>
      </c>
      <c r="V37" s="6" t="s">
        <v>283</v>
      </c>
      <c r="W37" s="6" t="s">
        <v>284</v>
      </c>
      <c r="X37" s="6" t="s">
        <v>285</v>
      </c>
      <c r="Y37" s="6">
        <v>2243398464</v>
      </c>
      <c r="Z37" s="6" t="s">
        <v>26</v>
      </c>
      <c r="AA37" s="6">
        <v>167526</v>
      </c>
      <c r="AB37" s="6">
        <v>683.05</v>
      </c>
      <c r="AC37" s="6">
        <v>31.44</v>
      </c>
      <c r="AD37" s="6">
        <v>0</v>
      </c>
      <c r="AE37" s="6">
        <v>68.25</v>
      </c>
      <c r="AF37" s="6">
        <v>0</v>
      </c>
      <c r="AG37" s="6">
        <v>0</v>
      </c>
      <c r="AH37" s="6">
        <v>86.1</v>
      </c>
      <c r="AI37" s="6" t="s">
        <v>286</v>
      </c>
      <c r="AJ37" s="6" t="s">
        <v>287</v>
      </c>
      <c r="AK37" s="6" t="s">
        <v>16</v>
      </c>
      <c r="AL37" s="6" t="s">
        <v>57</v>
      </c>
      <c r="AM37" s="6" t="s">
        <v>288</v>
      </c>
      <c r="AN37" s="6" t="s">
        <v>28</v>
      </c>
      <c r="AO37" s="6" t="s">
        <v>253</v>
      </c>
      <c r="AP37" s="6" t="s">
        <v>26</v>
      </c>
      <c r="AQ37" s="6" t="s">
        <v>26</v>
      </c>
    </row>
    <row r="38" spans="1:43" hidden="1" x14ac:dyDescent="0.25">
      <c r="A38" s="6">
        <v>22649882</v>
      </c>
      <c r="B38" s="6">
        <v>23459445</v>
      </c>
      <c r="C38" s="6" t="s">
        <v>340</v>
      </c>
      <c r="D38" s="14">
        <v>45868.408854166657</v>
      </c>
      <c r="E38" s="14">
        <v>45874.854409722233</v>
      </c>
      <c r="F38" s="6" t="s">
        <v>21</v>
      </c>
      <c r="G38" s="6" t="s">
        <v>25</v>
      </c>
      <c r="H38" s="6" t="s">
        <v>280</v>
      </c>
      <c r="I38" s="6" t="s">
        <v>16</v>
      </c>
      <c r="J38" s="6" t="s">
        <v>341</v>
      </c>
      <c r="K38" s="6" t="s">
        <v>282</v>
      </c>
      <c r="L38" s="6" t="s">
        <v>282</v>
      </c>
      <c r="M38" s="14">
        <v>45867</v>
      </c>
      <c r="N38" s="6">
        <v>4801518571</v>
      </c>
      <c r="O38" s="6" t="s">
        <v>92</v>
      </c>
      <c r="P38" s="6" t="s">
        <v>245</v>
      </c>
      <c r="Q38" s="6" t="s">
        <v>246</v>
      </c>
      <c r="R38" s="6" t="s">
        <v>247</v>
      </c>
      <c r="S38" s="6" t="s">
        <v>7</v>
      </c>
      <c r="T38" s="6" t="s">
        <v>248</v>
      </c>
      <c r="U38" s="6" t="s">
        <v>116</v>
      </c>
      <c r="V38" s="6" t="s">
        <v>283</v>
      </c>
      <c r="W38" s="6" t="s">
        <v>284</v>
      </c>
      <c r="X38" s="6" t="s">
        <v>285</v>
      </c>
      <c r="Y38" s="6">
        <v>2243398465</v>
      </c>
      <c r="Z38" s="6" t="s">
        <v>26</v>
      </c>
      <c r="AA38" s="6">
        <v>167526</v>
      </c>
      <c r="AB38" s="6">
        <v>683.05</v>
      </c>
      <c r="AC38" s="6">
        <v>31.44</v>
      </c>
      <c r="AD38" s="6">
        <v>0</v>
      </c>
      <c r="AE38" s="6">
        <v>68.25</v>
      </c>
      <c r="AF38" s="6">
        <v>0</v>
      </c>
      <c r="AG38" s="6">
        <v>0</v>
      </c>
      <c r="AH38" s="6">
        <v>86.1</v>
      </c>
      <c r="AI38" s="6" t="s">
        <v>286</v>
      </c>
      <c r="AJ38" s="6" t="s">
        <v>287</v>
      </c>
      <c r="AK38" s="6" t="s">
        <v>16</v>
      </c>
      <c r="AL38" s="6" t="s">
        <v>57</v>
      </c>
      <c r="AM38" s="6" t="s">
        <v>288</v>
      </c>
      <c r="AN38" s="6" t="s">
        <v>28</v>
      </c>
      <c r="AO38" s="6" t="s">
        <v>253</v>
      </c>
      <c r="AP38" s="6" t="s">
        <v>26</v>
      </c>
      <c r="AQ38" s="6" t="s">
        <v>26</v>
      </c>
    </row>
    <row r="39" spans="1:43" hidden="1" x14ac:dyDescent="0.25">
      <c r="A39" s="6">
        <v>22649882</v>
      </c>
      <c r="B39" s="6">
        <v>23459446</v>
      </c>
      <c r="C39" s="6" t="s">
        <v>342</v>
      </c>
      <c r="D39" s="14">
        <v>45868.408854166657</v>
      </c>
      <c r="E39" s="14">
        <v>45874.854409722233</v>
      </c>
      <c r="F39" s="6" t="s">
        <v>21</v>
      </c>
      <c r="G39" s="6" t="s">
        <v>25</v>
      </c>
      <c r="H39" s="6" t="s">
        <v>280</v>
      </c>
      <c r="I39" s="6" t="s">
        <v>16</v>
      </c>
      <c r="J39" s="6" t="s">
        <v>343</v>
      </c>
      <c r="K39" s="6" t="s">
        <v>282</v>
      </c>
      <c r="L39" s="6" t="s">
        <v>282</v>
      </c>
      <c r="M39" s="14">
        <v>45867</v>
      </c>
      <c r="N39" s="6">
        <v>4801518571</v>
      </c>
      <c r="O39" s="6" t="s">
        <v>92</v>
      </c>
      <c r="P39" s="6" t="s">
        <v>245</v>
      </c>
      <c r="Q39" s="6" t="s">
        <v>246</v>
      </c>
      <c r="R39" s="6" t="s">
        <v>247</v>
      </c>
      <c r="S39" s="6" t="s">
        <v>7</v>
      </c>
      <c r="T39" s="6" t="s">
        <v>248</v>
      </c>
      <c r="U39" s="6" t="s">
        <v>116</v>
      </c>
      <c r="V39" s="6" t="s">
        <v>283</v>
      </c>
      <c r="W39" s="6" t="s">
        <v>284</v>
      </c>
      <c r="X39" s="6" t="s">
        <v>285</v>
      </c>
      <c r="Y39" s="6">
        <v>2243398466</v>
      </c>
      <c r="Z39" s="6" t="s">
        <v>26</v>
      </c>
      <c r="AA39" s="6">
        <v>167526</v>
      </c>
      <c r="AB39" s="6">
        <v>683.05</v>
      </c>
      <c r="AC39" s="6">
        <v>31.44</v>
      </c>
      <c r="AD39" s="6">
        <v>0</v>
      </c>
      <c r="AE39" s="6">
        <v>68.25</v>
      </c>
      <c r="AF39" s="6">
        <v>0</v>
      </c>
      <c r="AG39" s="6">
        <v>0</v>
      </c>
      <c r="AH39" s="6">
        <v>86.1</v>
      </c>
      <c r="AI39" s="6" t="s">
        <v>286</v>
      </c>
      <c r="AJ39" s="6" t="s">
        <v>287</v>
      </c>
      <c r="AK39" s="6" t="s">
        <v>16</v>
      </c>
      <c r="AL39" s="6" t="s">
        <v>57</v>
      </c>
      <c r="AM39" s="6" t="s">
        <v>288</v>
      </c>
      <c r="AN39" s="6" t="s">
        <v>28</v>
      </c>
      <c r="AO39" s="6" t="s">
        <v>253</v>
      </c>
      <c r="AP39" s="6" t="s">
        <v>26</v>
      </c>
      <c r="AQ39" s="6" t="s">
        <v>26</v>
      </c>
    </row>
    <row r="40" spans="1:43" x14ac:dyDescent="0.25">
      <c r="A40" s="6">
        <v>22649882</v>
      </c>
      <c r="B40" s="6">
        <v>23459447</v>
      </c>
      <c r="C40" s="6" t="s">
        <v>344</v>
      </c>
      <c r="D40" s="14">
        <v>45868.408854166657</v>
      </c>
      <c r="E40" s="14">
        <v>45874.854409722233</v>
      </c>
      <c r="F40" s="6" t="s">
        <v>21</v>
      </c>
      <c r="G40" s="6" t="s">
        <v>25</v>
      </c>
      <c r="H40" s="6" t="s">
        <v>280</v>
      </c>
      <c r="I40" s="6" t="s">
        <v>16</v>
      </c>
      <c r="J40" s="6" t="s">
        <v>345</v>
      </c>
      <c r="K40" s="6" t="s">
        <v>282</v>
      </c>
      <c r="L40" s="6" t="s">
        <v>282</v>
      </c>
      <c r="M40" s="14">
        <v>45867</v>
      </c>
      <c r="N40" s="6">
        <v>4801518571</v>
      </c>
      <c r="O40" s="6" t="s">
        <v>92</v>
      </c>
      <c r="P40" s="6" t="s">
        <v>245</v>
      </c>
      <c r="Q40" s="6" t="s">
        <v>246</v>
      </c>
      <c r="R40" s="6" t="s">
        <v>247</v>
      </c>
      <c r="S40" s="6" t="s">
        <v>7</v>
      </c>
      <c r="T40" s="6" t="s">
        <v>248</v>
      </c>
      <c r="U40" s="6" t="s">
        <v>116</v>
      </c>
      <c r="V40" s="6" t="s">
        <v>283</v>
      </c>
      <c r="W40" s="6" t="s">
        <v>284</v>
      </c>
      <c r="X40" s="6" t="s">
        <v>285</v>
      </c>
      <c r="Y40" s="6">
        <v>2243398467</v>
      </c>
      <c r="Z40" s="6" t="s">
        <v>26</v>
      </c>
      <c r="AA40" s="6">
        <v>167526</v>
      </c>
      <c r="AB40" s="6">
        <v>683.05</v>
      </c>
      <c r="AC40" s="6">
        <v>31.44</v>
      </c>
      <c r="AD40" s="6">
        <v>0</v>
      </c>
      <c r="AE40" s="6">
        <v>68.25</v>
      </c>
      <c r="AF40" s="6">
        <v>0</v>
      </c>
      <c r="AG40" s="6">
        <v>0</v>
      </c>
      <c r="AH40" s="6">
        <v>86.1</v>
      </c>
      <c r="AI40" s="6" t="s">
        <v>286</v>
      </c>
      <c r="AJ40" s="6" t="s">
        <v>287</v>
      </c>
      <c r="AK40" s="6" t="s">
        <v>16</v>
      </c>
      <c r="AL40" s="6" t="s">
        <v>57</v>
      </c>
      <c r="AM40" s="6" t="s">
        <v>288</v>
      </c>
      <c r="AN40" s="6" t="s">
        <v>28</v>
      </c>
      <c r="AO40" s="6" t="s">
        <v>253</v>
      </c>
      <c r="AP40" s="6" t="s">
        <v>26</v>
      </c>
      <c r="AQ40" s="6" t="s">
        <v>26</v>
      </c>
    </row>
    <row r="41" spans="1:43" x14ac:dyDescent="0.25">
      <c r="A41" s="6">
        <v>22649882</v>
      </c>
      <c r="B41" s="6">
        <v>23459448</v>
      </c>
      <c r="C41" s="6" t="s">
        <v>346</v>
      </c>
      <c r="D41" s="14">
        <v>45868.408854166657</v>
      </c>
      <c r="E41" s="14">
        <v>45874.854409722233</v>
      </c>
      <c r="F41" s="6" t="s">
        <v>21</v>
      </c>
      <c r="G41" s="6" t="s">
        <v>25</v>
      </c>
      <c r="H41" s="6" t="s">
        <v>280</v>
      </c>
      <c r="I41" s="6" t="s">
        <v>16</v>
      </c>
      <c r="J41" s="6" t="s">
        <v>347</v>
      </c>
      <c r="K41" s="6" t="s">
        <v>282</v>
      </c>
      <c r="L41" s="6" t="s">
        <v>282</v>
      </c>
      <c r="M41" s="14">
        <v>45867</v>
      </c>
      <c r="N41" s="6">
        <v>4801518571</v>
      </c>
      <c r="O41" s="6" t="s">
        <v>92</v>
      </c>
      <c r="P41" s="6" t="s">
        <v>245</v>
      </c>
      <c r="Q41" s="6" t="s">
        <v>246</v>
      </c>
      <c r="R41" s="6" t="s">
        <v>247</v>
      </c>
      <c r="S41" s="6" t="s">
        <v>7</v>
      </c>
      <c r="T41" s="6" t="s">
        <v>248</v>
      </c>
      <c r="U41" s="6" t="s">
        <v>116</v>
      </c>
      <c r="V41" s="6" t="s">
        <v>283</v>
      </c>
      <c r="W41" s="6" t="s">
        <v>284</v>
      </c>
      <c r="X41" s="6" t="s">
        <v>285</v>
      </c>
      <c r="Y41" s="6">
        <v>2243398468</v>
      </c>
      <c r="Z41" s="6" t="s">
        <v>26</v>
      </c>
      <c r="AA41" s="6">
        <v>167526</v>
      </c>
      <c r="AB41" s="6">
        <v>683.05</v>
      </c>
      <c r="AC41" s="6">
        <v>31.44</v>
      </c>
      <c r="AD41" s="6">
        <v>0</v>
      </c>
      <c r="AE41" s="6">
        <v>68.25</v>
      </c>
      <c r="AF41" s="6">
        <v>0</v>
      </c>
      <c r="AG41" s="6">
        <v>0</v>
      </c>
      <c r="AH41" s="6">
        <v>86.1</v>
      </c>
      <c r="AI41" s="6" t="s">
        <v>286</v>
      </c>
      <c r="AJ41" s="6" t="s">
        <v>287</v>
      </c>
      <c r="AK41" s="6" t="s">
        <v>16</v>
      </c>
      <c r="AL41" s="6" t="s">
        <v>57</v>
      </c>
      <c r="AM41" s="6" t="s">
        <v>288</v>
      </c>
      <c r="AN41" s="6" t="s">
        <v>28</v>
      </c>
      <c r="AO41" s="6" t="s">
        <v>253</v>
      </c>
      <c r="AP41" s="6" t="s">
        <v>26</v>
      </c>
      <c r="AQ41" s="6" t="s">
        <v>26</v>
      </c>
    </row>
    <row r="42" spans="1:43" hidden="1" x14ac:dyDescent="0.25">
      <c r="A42" s="6">
        <v>22649882</v>
      </c>
      <c r="B42" s="6">
        <v>23459449</v>
      </c>
      <c r="C42" s="6" t="s">
        <v>348</v>
      </c>
      <c r="D42" s="14">
        <v>45868.408854166657</v>
      </c>
      <c r="E42" s="14">
        <v>45874.854409722233</v>
      </c>
      <c r="F42" s="6" t="s">
        <v>21</v>
      </c>
      <c r="G42" s="6" t="s">
        <v>25</v>
      </c>
      <c r="H42" s="6" t="s">
        <v>280</v>
      </c>
      <c r="I42" s="6" t="s">
        <v>16</v>
      </c>
      <c r="J42" s="6" t="s">
        <v>349</v>
      </c>
      <c r="K42" s="6" t="s">
        <v>282</v>
      </c>
      <c r="L42" s="6" t="s">
        <v>282</v>
      </c>
      <c r="M42" s="14">
        <v>45867</v>
      </c>
      <c r="N42" s="6">
        <v>4801518571</v>
      </c>
      <c r="O42" s="6" t="s">
        <v>92</v>
      </c>
      <c r="P42" s="6" t="s">
        <v>245</v>
      </c>
      <c r="Q42" s="6" t="s">
        <v>246</v>
      </c>
      <c r="R42" s="6" t="s">
        <v>247</v>
      </c>
      <c r="S42" s="6" t="s">
        <v>7</v>
      </c>
      <c r="T42" s="6" t="s">
        <v>248</v>
      </c>
      <c r="U42" s="6" t="s">
        <v>116</v>
      </c>
      <c r="V42" s="6" t="s">
        <v>283</v>
      </c>
      <c r="W42" s="6" t="s">
        <v>284</v>
      </c>
      <c r="X42" s="6" t="s">
        <v>285</v>
      </c>
      <c r="Y42" s="6">
        <v>2243398469</v>
      </c>
      <c r="Z42" s="6" t="s">
        <v>26</v>
      </c>
      <c r="AA42" s="6">
        <v>167526</v>
      </c>
      <c r="AB42" s="6">
        <v>683.05</v>
      </c>
      <c r="AC42" s="6">
        <v>31.44</v>
      </c>
      <c r="AD42" s="6">
        <v>0</v>
      </c>
      <c r="AE42" s="6">
        <v>68.25</v>
      </c>
      <c r="AF42" s="6">
        <v>0</v>
      </c>
      <c r="AG42" s="6">
        <v>0</v>
      </c>
      <c r="AH42" s="6">
        <v>86.1</v>
      </c>
      <c r="AI42" s="6" t="s">
        <v>286</v>
      </c>
      <c r="AJ42" s="6" t="s">
        <v>287</v>
      </c>
      <c r="AK42" s="6" t="s">
        <v>16</v>
      </c>
      <c r="AL42" s="6" t="s">
        <v>57</v>
      </c>
      <c r="AM42" s="6" t="s">
        <v>288</v>
      </c>
      <c r="AN42" s="6" t="s">
        <v>28</v>
      </c>
      <c r="AO42" s="6" t="s">
        <v>253</v>
      </c>
      <c r="AP42" s="6" t="s">
        <v>26</v>
      </c>
      <c r="AQ42" s="6" t="s">
        <v>26</v>
      </c>
    </row>
    <row r="43" spans="1:43" hidden="1" x14ac:dyDescent="0.25">
      <c r="A43" s="6">
        <v>22649882</v>
      </c>
      <c r="B43" s="6">
        <v>23459450</v>
      </c>
      <c r="C43" s="6" t="s">
        <v>350</v>
      </c>
      <c r="D43" s="14">
        <v>45868.408854166657</v>
      </c>
      <c r="E43" s="14">
        <v>45874.854409722233</v>
      </c>
      <c r="F43" s="6" t="s">
        <v>21</v>
      </c>
      <c r="G43" s="6" t="s">
        <v>25</v>
      </c>
      <c r="H43" s="6" t="s">
        <v>280</v>
      </c>
      <c r="I43" s="6" t="s">
        <v>16</v>
      </c>
      <c r="J43" s="6" t="s">
        <v>351</v>
      </c>
      <c r="K43" s="6" t="s">
        <v>282</v>
      </c>
      <c r="L43" s="6" t="s">
        <v>282</v>
      </c>
      <c r="M43" s="14">
        <v>45867</v>
      </c>
      <c r="N43" s="6">
        <v>4801518571</v>
      </c>
      <c r="O43" s="6" t="s">
        <v>92</v>
      </c>
      <c r="P43" s="6" t="s">
        <v>245</v>
      </c>
      <c r="Q43" s="6" t="s">
        <v>246</v>
      </c>
      <c r="R43" s="6" t="s">
        <v>247</v>
      </c>
      <c r="S43" s="6" t="s">
        <v>7</v>
      </c>
      <c r="T43" s="6" t="s">
        <v>248</v>
      </c>
      <c r="U43" s="6" t="s">
        <v>116</v>
      </c>
      <c r="V43" s="6" t="s">
        <v>283</v>
      </c>
      <c r="W43" s="6" t="s">
        <v>284</v>
      </c>
      <c r="X43" s="6" t="s">
        <v>285</v>
      </c>
      <c r="Y43" s="6">
        <v>2243398470</v>
      </c>
      <c r="Z43" s="6" t="s">
        <v>26</v>
      </c>
      <c r="AA43" s="6">
        <v>167526</v>
      </c>
      <c r="AB43" s="6">
        <v>683.05</v>
      </c>
      <c r="AC43" s="6">
        <v>31.44</v>
      </c>
      <c r="AD43" s="6">
        <v>0</v>
      </c>
      <c r="AE43" s="6">
        <v>68.25</v>
      </c>
      <c r="AF43" s="6">
        <v>0</v>
      </c>
      <c r="AG43" s="6">
        <v>0</v>
      </c>
      <c r="AH43" s="6">
        <v>86.1</v>
      </c>
      <c r="AI43" s="6" t="s">
        <v>286</v>
      </c>
      <c r="AJ43" s="6" t="s">
        <v>287</v>
      </c>
      <c r="AK43" s="6" t="s">
        <v>16</v>
      </c>
      <c r="AL43" s="6" t="s">
        <v>57</v>
      </c>
      <c r="AM43" s="6" t="s">
        <v>288</v>
      </c>
      <c r="AN43" s="6" t="s">
        <v>28</v>
      </c>
      <c r="AO43" s="6" t="s">
        <v>253</v>
      </c>
      <c r="AP43" s="6" t="s">
        <v>26</v>
      </c>
      <c r="AQ43" s="6" t="s">
        <v>26</v>
      </c>
    </row>
    <row r="44" spans="1:43" x14ac:dyDescent="0.25">
      <c r="A44" s="6">
        <v>22649882</v>
      </c>
      <c r="B44" s="6">
        <v>23459451</v>
      </c>
      <c r="C44" s="6" t="s">
        <v>352</v>
      </c>
      <c r="D44" s="14">
        <v>45868.408854166657</v>
      </c>
      <c r="E44" s="14">
        <v>45874.854409722233</v>
      </c>
      <c r="F44" s="6" t="s">
        <v>21</v>
      </c>
      <c r="G44" s="6" t="s">
        <v>25</v>
      </c>
      <c r="H44" s="6" t="s">
        <v>280</v>
      </c>
      <c r="I44" s="6" t="s">
        <v>16</v>
      </c>
      <c r="J44" s="6" t="s">
        <v>353</v>
      </c>
      <c r="K44" s="6" t="s">
        <v>282</v>
      </c>
      <c r="L44" s="6" t="s">
        <v>282</v>
      </c>
      <c r="M44" s="14">
        <v>45867</v>
      </c>
      <c r="N44" s="6">
        <v>4801518571</v>
      </c>
      <c r="O44" s="6" t="s">
        <v>92</v>
      </c>
      <c r="P44" s="6" t="s">
        <v>245</v>
      </c>
      <c r="Q44" s="6" t="s">
        <v>246</v>
      </c>
      <c r="R44" s="6" t="s">
        <v>247</v>
      </c>
      <c r="S44" s="6" t="s">
        <v>7</v>
      </c>
      <c r="T44" s="6" t="s">
        <v>248</v>
      </c>
      <c r="U44" s="6" t="s">
        <v>116</v>
      </c>
      <c r="V44" s="6" t="s">
        <v>283</v>
      </c>
      <c r="W44" s="6" t="s">
        <v>284</v>
      </c>
      <c r="X44" s="6" t="s">
        <v>285</v>
      </c>
      <c r="Y44" s="6">
        <v>2243398471</v>
      </c>
      <c r="Z44" s="6" t="s">
        <v>26</v>
      </c>
      <c r="AA44" s="6">
        <v>167526</v>
      </c>
      <c r="AB44" s="6">
        <v>683.05</v>
      </c>
      <c r="AC44" s="6">
        <v>31.44</v>
      </c>
      <c r="AD44" s="6">
        <v>0</v>
      </c>
      <c r="AE44" s="6">
        <v>68.25</v>
      </c>
      <c r="AF44" s="6">
        <v>0</v>
      </c>
      <c r="AG44" s="6">
        <v>0</v>
      </c>
      <c r="AH44" s="6">
        <v>86.1</v>
      </c>
      <c r="AI44" s="6" t="s">
        <v>286</v>
      </c>
      <c r="AJ44" s="6" t="s">
        <v>287</v>
      </c>
      <c r="AK44" s="6" t="s">
        <v>16</v>
      </c>
      <c r="AL44" s="6" t="s">
        <v>57</v>
      </c>
      <c r="AM44" s="6" t="s">
        <v>288</v>
      </c>
      <c r="AN44" s="6" t="s">
        <v>28</v>
      </c>
      <c r="AO44" s="6" t="s">
        <v>253</v>
      </c>
      <c r="AP44" s="6" t="s">
        <v>26</v>
      </c>
      <c r="AQ44" s="6" t="s">
        <v>26</v>
      </c>
    </row>
    <row r="45" spans="1:43" x14ac:dyDescent="0.25">
      <c r="A45" s="6">
        <v>22649882</v>
      </c>
      <c r="B45" s="6">
        <v>23459452</v>
      </c>
      <c r="C45" s="6" t="s">
        <v>354</v>
      </c>
      <c r="D45" s="14">
        <v>45868.408854166657</v>
      </c>
      <c r="E45" s="14">
        <v>45874.854409722233</v>
      </c>
      <c r="F45" s="6" t="s">
        <v>21</v>
      </c>
      <c r="G45" s="6" t="s">
        <v>25</v>
      </c>
      <c r="H45" s="6" t="s">
        <v>280</v>
      </c>
      <c r="I45" s="6" t="s">
        <v>16</v>
      </c>
      <c r="J45" s="6" t="s">
        <v>355</v>
      </c>
      <c r="K45" s="6" t="s">
        <v>282</v>
      </c>
      <c r="L45" s="6" t="s">
        <v>282</v>
      </c>
      <c r="M45" s="14">
        <v>45867</v>
      </c>
      <c r="N45" s="6">
        <v>4801518571</v>
      </c>
      <c r="O45" s="6" t="s">
        <v>92</v>
      </c>
      <c r="P45" s="6" t="s">
        <v>245</v>
      </c>
      <c r="Q45" s="6" t="s">
        <v>246</v>
      </c>
      <c r="R45" s="6" t="s">
        <v>247</v>
      </c>
      <c r="S45" s="6" t="s">
        <v>7</v>
      </c>
      <c r="T45" s="6" t="s">
        <v>248</v>
      </c>
      <c r="U45" s="6" t="s">
        <v>116</v>
      </c>
      <c r="V45" s="6" t="s">
        <v>283</v>
      </c>
      <c r="W45" s="6" t="s">
        <v>284</v>
      </c>
      <c r="X45" s="6" t="s">
        <v>285</v>
      </c>
      <c r="Y45" s="6">
        <v>2243398472</v>
      </c>
      <c r="Z45" s="6" t="s">
        <v>26</v>
      </c>
      <c r="AA45" s="6">
        <v>167526</v>
      </c>
      <c r="AB45" s="6">
        <v>683.05</v>
      </c>
      <c r="AC45" s="6">
        <v>31.44</v>
      </c>
      <c r="AD45" s="6">
        <v>0</v>
      </c>
      <c r="AE45" s="6">
        <v>68.25</v>
      </c>
      <c r="AF45" s="6">
        <v>0</v>
      </c>
      <c r="AG45" s="6">
        <v>0</v>
      </c>
      <c r="AH45" s="6">
        <v>86.1</v>
      </c>
      <c r="AI45" s="6" t="s">
        <v>286</v>
      </c>
      <c r="AJ45" s="6" t="s">
        <v>287</v>
      </c>
      <c r="AK45" s="6" t="s">
        <v>16</v>
      </c>
      <c r="AL45" s="6" t="s">
        <v>57</v>
      </c>
      <c r="AM45" s="6" t="s">
        <v>288</v>
      </c>
      <c r="AN45" s="6" t="s">
        <v>28</v>
      </c>
      <c r="AO45" s="6" t="s">
        <v>253</v>
      </c>
      <c r="AP45" s="6" t="s">
        <v>26</v>
      </c>
      <c r="AQ45" s="6" t="s">
        <v>26</v>
      </c>
    </row>
    <row r="46" spans="1:43" x14ac:dyDescent="0.25">
      <c r="A46" s="6">
        <v>22649882</v>
      </c>
      <c r="B46" s="6">
        <v>23459453</v>
      </c>
      <c r="C46" s="6" t="s">
        <v>356</v>
      </c>
      <c r="D46" s="14">
        <v>45868.408854166657</v>
      </c>
      <c r="E46" s="14">
        <v>45874.854409722233</v>
      </c>
      <c r="F46" s="6" t="s">
        <v>21</v>
      </c>
      <c r="G46" s="6" t="s">
        <v>25</v>
      </c>
      <c r="H46" s="6" t="s">
        <v>280</v>
      </c>
      <c r="I46" s="6" t="s">
        <v>16</v>
      </c>
      <c r="J46" s="6" t="s">
        <v>357</v>
      </c>
      <c r="K46" s="6" t="s">
        <v>282</v>
      </c>
      <c r="L46" s="6" t="s">
        <v>282</v>
      </c>
      <c r="M46" s="14">
        <v>45867</v>
      </c>
      <c r="N46" s="6">
        <v>4801518571</v>
      </c>
      <c r="O46" s="6" t="s">
        <v>92</v>
      </c>
      <c r="P46" s="6" t="s">
        <v>245</v>
      </c>
      <c r="Q46" s="6" t="s">
        <v>246</v>
      </c>
      <c r="R46" s="6" t="s">
        <v>247</v>
      </c>
      <c r="S46" s="6" t="s">
        <v>7</v>
      </c>
      <c r="T46" s="6" t="s">
        <v>248</v>
      </c>
      <c r="U46" s="6" t="s">
        <v>116</v>
      </c>
      <c r="V46" s="6" t="s">
        <v>283</v>
      </c>
      <c r="W46" s="6" t="s">
        <v>284</v>
      </c>
      <c r="X46" s="6" t="s">
        <v>285</v>
      </c>
      <c r="Y46" s="6">
        <v>2243398473</v>
      </c>
      <c r="Z46" s="6" t="s">
        <v>26</v>
      </c>
      <c r="AA46" s="6">
        <v>167526</v>
      </c>
      <c r="AB46" s="6">
        <v>683.05</v>
      </c>
      <c r="AC46" s="6">
        <v>31.44</v>
      </c>
      <c r="AD46" s="6">
        <v>0</v>
      </c>
      <c r="AE46" s="6">
        <v>68.25</v>
      </c>
      <c r="AF46" s="6">
        <v>0</v>
      </c>
      <c r="AG46" s="6">
        <v>0</v>
      </c>
      <c r="AH46" s="6">
        <v>86.1</v>
      </c>
      <c r="AI46" s="6" t="s">
        <v>286</v>
      </c>
      <c r="AJ46" s="6" t="s">
        <v>287</v>
      </c>
      <c r="AK46" s="6" t="s">
        <v>16</v>
      </c>
      <c r="AL46" s="6" t="s">
        <v>57</v>
      </c>
      <c r="AM46" s="6" t="s">
        <v>288</v>
      </c>
      <c r="AN46" s="6" t="s">
        <v>28</v>
      </c>
      <c r="AO46" s="6" t="s">
        <v>253</v>
      </c>
      <c r="AP46" s="6" t="s">
        <v>26</v>
      </c>
      <c r="AQ46" s="6" t="s">
        <v>26</v>
      </c>
    </row>
    <row r="47" spans="1:43" x14ac:dyDescent="0.25">
      <c r="A47" s="6">
        <v>22649882</v>
      </c>
      <c r="B47" s="6">
        <v>23459454</v>
      </c>
      <c r="C47" s="6" t="s">
        <v>358</v>
      </c>
      <c r="D47" s="14">
        <v>45868.408854166657</v>
      </c>
      <c r="E47" s="14">
        <v>45874.854409722233</v>
      </c>
      <c r="F47" s="6" t="s">
        <v>21</v>
      </c>
      <c r="G47" s="6" t="s">
        <v>25</v>
      </c>
      <c r="H47" s="6" t="s">
        <v>280</v>
      </c>
      <c r="I47" s="6" t="s">
        <v>16</v>
      </c>
      <c r="J47" s="6" t="s">
        <v>359</v>
      </c>
      <c r="K47" s="6" t="s">
        <v>282</v>
      </c>
      <c r="L47" s="6" t="s">
        <v>282</v>
      </c>
      <c r="M47" s="14">
        <v>45867</v>
      </c>
      <c r="N47" s="6">
        <v>4801518571</v>
      </c>
      <c r="O47" s="6" t="s">
        <v>92</v>
      </c>
      <c r="P47" s="6" t="s">
        <v>245</v>
      </c>
      <c r="Q47" s="6" t="s">
        <v>246</v>
      </c>
      <c r="R47" s="6" t="s">
        <v>247</v>
      </c>
      <c r="S47" s="6" t="s">
        <v>7</v>
      </c>
      <c r="T47" s="6" t="s">
        <v>248</v>
      </c>
      <c r="U47" s="6" t="s">
        <v>116</v>
      </c>
      <c r="V47" s="6" t="s">
        <v>283</v>
      </c>
      <c r="W47" s="6" t="s">
        <v>284</v>
      </c>
      <c r="X47" s="6" t="s">
        <v>285</v>
      </c>
      <c r="Y47" s="6">
        <v>2243398474</v>
      </c>
      <c r="Z47" s="6" t="s">
        <v>26</v>
      </c>
      <c r="AA47" s="6">
        <v>167526</v>
      </c>
      <c r="AB47" s="6">
        <v>683.05</v>
      </c>
      <c r="AC47" s="6">
        <v>31.44</v>
      </c>
      <c r="AD47" s="6">
        <v>0</v>
      </c>
      <c r="AE47" s="6">
        <v>68.25</v>
      </c>
      <c r="AF47" s="6">
        <v>0</v>
      </c>
      <c r="AG47" s="6">
        <v>0</v>
      </c>
      <c r="AH47" s="6">
        <v>86.1</v>
      </c>
      <c r="AI47" s="6" t="s">
        <v>286</v>
      </c>
      <c r="AJ47" s="6" t="s">
        <v>287</v>
      </c>
      <c r="AK47" s="6" t="s">
        <v>16</v>
      </c>
      <c r="AL47" s="6" t="s">
        <v>57</v>
      </c>
      <c r="AM47" s="6" t="s">
        <v>288</v>
      </c>
      <c r="AN47" s="6" t="s">
        <v>28</v>
      </c>
      <c r="AO47" s="6" t="s">
        <v>253</v>
      </c>
      <c r="AP47" s="6" t="s">
        <v>26</v>
      </c>
      <c r="AQ47" s="6" t="s">
        <v>26</v>
      </c>
    </row>
    <row r="48" spans="1:43" x14ac:dyDescent="0.25">
      <c r="A48" s="6">
        <v>22649882</v>
      </c>
      <c r="B48" s="6">
        <v>23459455</v>
      </c>
      <c r="C48" s="6" t="s">
        <v>360</v>
      </c>
      <c r="D48" s="14">
        <v>45868.408854166657</v>
      </c>
      <c r="E48" s="14">
        <v>45874.854409722233</v>
      </c>
      <c r="F48" s="6" t="s">
        <v>21</v>
      </c>
      <c r="G48" s="6" t="s">
        <v>25</v>
      </c>
      <c r="H48" s="6" t="s">
        <v>280</v>
      </c>
      <c r="I48" s="6" t="s">
        <v>16</v>
      </c>
      <c r="J48" s="6" t="s">
        <v>361</v>
      </c>
      <c r="K48" s="6" t="s">
        <v>282</v>
      </c>
      <c r="L48" s="6" t="s">
        <v>282</v>
      </c>
      <c r="M48" s="14">
        <v>45867</v>
      </c>
      <c r="N48" s="6">
        <v>4801518571</v>
      </c>
      <c r="O48" s="6" t="s">
        <v>92</v>
      </c>
      <c r="P48" s="6" t="s">
        <v>245</v>
      </c>
      <c r="Q48" s="6" t="s">
        <v>246</v>
      </c>
      <c r="R48" s="6" t="s">
        <v>247</v>
      </c>
      <c r="S48" s="6" t="s">
        <v>7</v>
      </c>
      <c r="T48" s="6" t="s">
        <v>248</v>
      </c>
      <c r="U48" s="6" t="s">
        <v>116</v>
      </c>
      <c r="V48" s="6" t="s">
        <v>283</v>
      </c>
      <c r="W48" s="6" t="s">
        <v>284</v>
      </c>
      <c r="X48" s="6" t="s">
        <v>285</v>
      </c>
      <c r="Y48" s="6">
        <v>2243398475</v>
      </c>
      <c r="Z48" s="6" t="s">
        <v>26</v>
      </c>
      <c r="AA48" s="6">
        <v>167526</v>
      </c>
      <c r="AB48" s="6">
        <v>683.05</v>
      </c>
      <c r="AC48" s="6">
        <v>31.44</v>
      </c>
      <c r="AD48" s="6">
        <v>0</v>
      </c>
      <c r="AE48" s="6">
        <v>68.25</v>
      </c>
      <c r="AF48" s="6">
        <v>0</v>
      </c>
      <c r="AG48" s="6">
        <v>0</v>
      </c>
      <c r="AH48" s="6">
        <v>86.1</v>
      </c>
      <c r="AI48" s="6" t="s">
        <v>286</v>
      </c>
      <c r="AJ48" s="6" t="s">
        <v>287</v>
      </c>
      <c r="AK48" s="6" t="s">
        <v>16</v>
      </c>
      <c r="AL48" s="6" t="s">
        <v>57</v>
      </c>
      <c r="AM48" s="6" t="s">
        <v>288</v>
      </c>
      <c r="AN48" s="6" t="s">
        <v>28</v>
      </c>
      <c r="AO48" s="6" t="s">
        <v>253</v>
      </c>
      <c r="AP48" s="6" t="s">
        <v>26</v>
      </c>
      <c r="AQ48" s="6" t="s">
        <v>26</v>
      </c>
    </row>
    <row r="49" spans="1:43" x14ac:dyDescent="0.25">
      <c r="A49" s="6">
        <v>22649882</v>
      </c>
      <c r="B49" s="6">
        <v>23459456</v>
      </c>
      <c r="C49" s="6" t="s">
        <v>362</v>
      </c>
      <c r="D49" s="14">
        <v>45868.408854166657</v>
      </c>
      <c r="E49" s="14">
        <v>45874.854409722233</v>
      </c>
      <c r="F49" s="6" t="s">
        <v>21</v>
      </c>
      <c r="G49" s="6" t="s">
        <v>25</v>
      </c>
      <c r="H49" s="6" t="s">
        <v>280</v>
      </c>
      <c r="I49" s="6" t="s">
        <v>16</v>
      </c>
      <c r="J49" s="6" t="s">
        <v>363</v>
      </c>
      <c r="K49" s="6" t="s">
        <v>282</v>
      </c>
      <c r="L49" s="6" t="s">
        <v>282</v>
      </c>
      <c r="M49" s="14">
        <v>45867</v>
      </c>
      <c r="N49" s="6">
        <v>4801518571</v>
      </c>
      <c r="O49" s="6" t="s">
        <v>92</v>
      </c>
      <c r="P49" s="6" t="s">
        <v>245</v>
      </c>
      <c r="Q49" s="6" t="s">
        <v>246</v>
      </c>
      <c r="R49" s="6" t="s">
        <v>247</v>
      </c>
      <c r="S49" s="6" t="s">
        <v>7</v>
      </c>
      <c r="T49" s="6" t="s">
        <v>248</v>
      </c>
      <c r="U49" s="6" t="s">
        <v>116</v>
      </c>
      <c r="V49" s="6" t="s">
        <v>283</v>
      </c>
      <c r="W49" s="6" t="s">
        <v>284</v>
      </c>
      <c r="X49" s="6" t="s">
        <v>285</v>
      </c>
      <c r="Y49" s="6">
        <v>2243398476</v>
      </c>
      <c r="Z49" s="6" t="s">
        <v>26</v>
      </c>
      <c r="AA49" s="6">
        <v>167526</v>
      </c>
      <c r="AB49" s="6">
        <v>683.05</v>
      </c>
      <c r="AC49" s="6">
        <v>31.44</v>
      </c>
      <c r="AD49" s="6">
        <v>0</v>
      </c>
      <c r="AE49" s="6">
        <v>68.25</v>
      </c>
      <c r="AF49" s="6">
        <v>0</v>
      </c>
      <c r="AG49" s="6">
        <v>0</v>
      </c>
      <c r="AH49" s="6">
        <v>86.1</v>
      </c>
      <c r="AI49" s="6" t="s">
        <v>286</v>
      </c>
      <c r="AJ49" s="6" t="s">
        <v>287</v>
      </c>
      <c r="AK49" s="6" t="s">
        <v>16</v>
      </c>
      <c r="AL49" s="6" t="s">
        <v>57</v>
      </c>
      <c r="AM49" s="6" t="s">
        <v>288</v>
      </c>
      <c r="AN49" s="6" t="s">
        <v>28</v>
      </c>
      <c r="AO49" s="6" t="s">
        <v>253</v>
      </c>
      <c r="AP49" s="6" t="s">
        <v>26</v>
      </c>
      <c r="AQ49" s="6" t="s">
        <v>26</v>
      </c>
    </row>
    <row r="50" spans="1:43" x14ac:dyDescent="0.25">
      <c r="A50" s="6">
        <v>22649882</v>
      </c>
      <c r="B50" s="6">
        <v>23459457</v>
      </c>
      <c r="C50" s="6" t="s">
        <v>364</v>
      </c>
      <c r="D50" s="14">
        <v>45868.408854166657</v>
      </c>
      <c r="E50" s="14">
        <v>45874.854409722233</v>
      </c>
      <c r="F50" s="6" t="s">
        <v>21</v>
      </c>
      <c r="G50" s="6" t="s">
        <v>25</v>
      </c>
      <c r="H50" s="6" t="s">
        <v>280</v>
      </c>
      <c r="I50" s="6" t="s">
        <v>16</v>
      </c>
      <c r="J50" s="6" t="s">
        <v>365</v>
      </c>
      <c r="K50" s="6" t="s">
        <v>282</v>
      </c>
      <c r="L50" s="6" t="s">
        <v>282</v>
      </c>
      <c r="M50" s="14">
        <v>45867</v>
      </c>
      <c r="N50" s="6">
        <v>4801518571</v>
      </c>
      <c r="O50" s="6" t="s">
        <v>92</v>
      </c>
      <c r="P50" s="6" t="s">
        <v>245</v>
      </c>
      <c r="Q50" s="6" t="s">
        <v>246</v>
      </c>
      <c r="R50" s="6" t="s">
        <v>247</v>
      </c>
      <c r="S50" s="6" t="s">
        <v>7</v>
      </c>
      <c r="T50" s="6" t="s">
        <v>248</v>
      </c>
      <c r="U50" s="6" t="s">
        <v>116</v>
      </c>
      <c r="V50" s="6" t="s">
        <v>283</v>
      </c>
      <c r="W50" s="6" t="s">
        <v>284</v>
      </c>
      <c r="X50" s="6" t="s">
        <v>285</v>
      </c>
      <c r="Y50" s="6">
        <v>2243398477</v>
      </c>
      <c r="Z50" s="6" t="s">
        <v>26</v>
      </c>
      <c r="AA50" s="6">
        <v>167526</v>
      </c>
      <c r="AB50" s="6">
        <v>683.05</v>
      </c>
      <c r="AC50" s="6">
        <v>31.44</v>
      </c>
      <c r="AD50" s="6">
        <v>0</v>
      </c>
      <c r="AE50" s="6">
        <v>68.25</v>
      </c>
      <c r="AF50" s="6">
        <v>0</v>
      </c>
      <c r="AG50" s="6">
        <v>0</v>
      </c>
      <c r="AH50" s="6">
        <v>86.1</v>
      </c>
      <c r="AI50" s="6" t="s">
        <v>286</v>
      </c>
      <c r="AJ50" s="6" t="s">
        <v>287</v>
      </c>
      <c r="AK50" s="6" t="s">
        <v>16</v>
      </c>
      <c r="AL50" s="6" t="s">
        <v>57</v>
      </c>
      <c r="AM50" s="6" t="s">
        <v>288</v>
      </c>
      <c r="AN50" s="6" t="s">
        <v>28</v>
      </c>
      <c r="AO50" s="6" t="s">
        <v>253</v>
      </c>
      <c r="AP50" s="6" t="s">
        <v>26</v>
      </c>
      <c r="AQ50" s="6" t="s">
        <v>26</v>
      </c>
    </row>
    <row r="51" spans="1:43" hidden="1" x14ac:dyDescent="0.25">
      <c r="A51" s="6">
        <v>22649882</v>
      </c>
      <c r="B51" s="6">
        <v>23459458</v>
      </c>
      <c r="C51" s="6" t="s">
        <v>366</v>
      </c>
      <c r="D51" s="14">
        <v>45868.408854166657</v>
      </c>
      <c r="E51" s="14">
        <v>45874.854409722233</v>
      </c>
      <c r="F51" s="6" t="s">
        <v>21</v>
      </c>
      <c r="G51" s="6" t="s">
        <v>25</v>
      </c>
      <c r="H51" s="6" t="s">
        <v>280</v>
      </c>
      <c r="I51" s="6" t="s">
        <v>16</v>
      </c>
      <c r="J51" s="6" t="s">
        <v>367</v>
      </c>
      <c r="K51" s="6" t="s">
        <v>282</v>
      </c>
      <c r="L51" s="6" t="s">
        <v>282</v>
      </c>
      <c r="M51" s="14">
        <v>45867</v>
      </c>
      <c r="N51" s="6">
        <v>4801518571</v>
      </c>
      <c r="O51" s="6" t="s">
        <v>92</v>
      </c>
      <c r="P51" s="6" t="s">
        <v>245</v>
      </c>
      <c r="Q51" s="6" t="s">
        <v>246</v>
      </c>
      <c r="R51" s="6" t="s">
        <v>247</v>
      </c>
      <c r="S51" s="6" t="s">
        <v>7</v>
      </c>
      <c r="T51" s="6" t="s">
        <v>248</v>
      </c>
      <c r="U51" s="6" t="s">
        <v>116</v>
      </c>
      <c r="V51" s="6" t="s">
        <v>283</v>
      </c>
      <c r="W51" s="6" t="s">
        <v>284</v>
      </c>
      <c r="X51" s="6" t="s">
        <v>285</v>
      </c>
      <c r="Y51" s="6">
        <v>2243398478</v>
      </c>
      <c r="Z51" s="6" t="s">
        <v>26</v>
      </c>
      <c r="AA51" s="6">
        <v>167526</v>
      </c>
      <c r="AB51" s="6">
        <v>683.05</v>
      </c>
      <c r="AC51" s="6">
        <v>31.44</v>
      </c>
      <c r="AD51" s="6">
        <v>0</v>
      </c>
      <c r="AE51" s="6">
        <v>68.25</v>
      </c>
      <c r="AF51" s="6">
        <v>0</v>
      </c>
      <c r="AG51" s="6">
        <v>0</v>
      </c>
      <c r="AH51" s="6">
        <v>86.1</v>
      </c>
      <c r="AI51" s="6" t="s">
        <v>286</v>
      </c>
      <c r="AJ51" s="6" t="s">
        <v>287</v>
      </c>
      <c r="AK51" s="6" t="s">
        <v>16</v>
      </c>
      <c r="AL51" s="6" t="s">
        <v>57</v>
      </c>
      <c r="AM51" s="6" t="s">
        <v>288</v>
      </c>
      <c r="AN51" s="6" t="s">
        <v>28</v>
      </c>
      <c r="AO51" s="6" t="s">
        <v>253</v>
      </c>
      <c r="AP51" s="6" t="s">
        <v>26</v>
      </c>
      <c r="AQ51" s="6" t="s">
        <v>26</v>
      </c>
    </row>
    <row r="52" spans="1:43" hidden="1" x14ac:dyDescent="0.25">
      <c r="A52" s="6">
        <v>22649882</v>
      </c>
      <c r="B52" s="6">
        <v>23459459</v>
      </c>
      <c r="C52" s="6" t="s">
        <v>368</v>
      </c>
      <c r="D52" s="14">
        <v>45868.408854166657</v>
      </c>
      <c r="E52" s="14">
        <v>45874.854409722233</v>
      </c>
      <c r="F52" s="6" t="s">
        <v>21</v>
      </c>
      <c r="G52" s="6" t="s">
        <v>25</v>
      </c>
      <c r="H52" s="6" t="s">
        <v>280</v>
      </c>
      <c r="I52" s="6" t="s">
        <v>16</v>
      </c>
      <c r="J52" s="6" t="s">
        <v>369</v>
      </c>
      <c r="K52" s="6" t="s">
        <v>282</v>
      </c>
      <c r="L52" s="6" t="s">
        <v>282</v>
      </c>
      <c r="M52" s="14">
        <v>45867</v>
      </c>
      <c r="N52" s="6">
        <v>4801518571</v>
      </c>
      <c r="O52" s="6" t="s">
        <v>92</v>
      </c>
      <c r="P52" s="6" t="s">
        <v>245</v>
      </c>
      <c r="Q52" s="6" t="s">
        <v>246</v>
      </c>
      <c r="R52" s="6" t="s">
        <v>247</v>
      </c>
      <c r="S52" s="6" t="s">
        <v>7</v>
      </c>
      <c r="T52" s="6" t="s">
        <v>248</v>
      </c>
      <c r="U52" s="6" t="s">
        <v>116</v>
      </c>
      <c r="V52" s="6" t="s">
        <v>283</v>
      </c>
      <c r="W52" s="6" t="s">
        <v>284</v>
      </c>
      <c r="X52" s="6" t="s">
        <v>285</v>
      </c>
      <c r="Y52" s="6">
        <v>2243398479</v>
      </c>
      <c r="Z52" s="6" t="s">
        <v>26</v>
      </c>
      <c r="AA52" s="6">
        <v>167526</v>
      </c>
      <c r="AB52" s="6">
        <v>683.05</v>
      </c>
      <c r="AC52" s="6">
        <v>31.44</v>
      </c>
      <c r="AD52" s="6">
        <v>0</v>
      </c>
      <c r="AE52" s="6">
        <v>68.25</v>
      </c>
      <c r="AF52" s="6">
        <v>0</v>
      </c>
      <c r="AG52" s="6">
        <v>0</v>
      </c>
      <c r="AH52" s="6">
        <v>86.1</v>
      </c>
      <c r="AI52" s="6" t="s">
        <v>286</v>
      </c>
      <c r="AJ52" s="6" t="s">
        <v>287</v>
      </c>
      <c r="AK52" s="6" t="s">
        <v>16</v>
      </c>
      <c r="AL52" s="6" t="s">
        <v>57</v>
      </c>
      <c r="AM52" s="6" t="s">
        <v>288</v>
      </c>
      <c r="AN52" s="6" t="s">
        <v>28</v>
      </c>
      <c r="AO52" s="6" t="s">
        <v>253</v>
      </c>
      <c r="AP52" s="6" t="s">
        <v>26</v>
      </c>
      <c r="AQ52" s="6" t="s">
        <v>26</v>
      </c>
    </row>
    <row r="53" spans="1:43" hidden="1" x14ac:dyDescent="0.25">
      <c r="A53" s="6">
        <v>22649882</v>
      </c>
      <c r="B53" s="6">
        <v>23459460</v>
      </c>
      <c r="C53" s="6" t="s">
        <v>370</v>
      </c>
      <c r="D53" s="14">
        <v>45868.408854166657</v>
      </c>
      <c r="E53" s="14">
        <v>45874.854409722233</v>
      </c>
      <c r="F53" s="6" t="s">
        <v>21</v>
      </c>
      <c r="G53" s="6" t="s">
        <v>25</v>
      </c>
      <c r="H53" s="6" t="s">
        <v>280</v>
      </c>
      <c r="I53" s="6" t="s">
        <v>16</v>
      </c>
      <c r="J53" s="6" t="s">
        <v>371</v>
      </c>
      <c r="K53" s="6" t="s">
        <v>282</v>
      </c>
      <c r="L53" s="6" t="s">
        <v>282</v>
      </c>
      <c r="M53" s="14">
        <v>45867</v>
      </c>
      <c r="N53" s="6">
        <v>4801518571</v>
      </c>
      <c r="O53" s="6" t="s">
        <v>92</v>
      </c>
      <c r="P53" s="6" t="s">
        <v>245</v>
      </c>
      <c r="Q53" s="6" t="s">
        <v>246</v>
      </c>
      <c r="R53" s="6" t="s">
        <v>247</v>
      </c>
      <c r="S53" s="6" t="s">
        <v>7</v>
      </c>
      <c r="T53" s="6" t="s">
        <v>248</v>
      </c>
      <c r="U53" s="6" t="s">
        <v>116</v>
      </c>
      <c r="V53" s="6" t="s">
        <v>283</v>
      </c>
      <c r="W53" s="6" t="s">
        <v>284</v>
      </c>
      <c r="X53" s="6" t="s">
        <v>285</v>
      </c>
      <c r="Y53" s="6">
        <v>2243398480</v>
      </c>
      <c r="Z53" s="6" t="s">
        <v>26</v>
      </c>
      <c r="AA53" s="6">
        <v>167526</v>
      </c>
      <c r="AB53" s="6">
        <v>683.05</v>
      </c>
      <c r="AC53" s="6">
        <v>31.44</v>
      </c>
      <c r="AD53" s="6">
        <v>0</v>
      </c>
      <c r="AE53" s="6">
        <v>68.25</v>
      </c>
      <c r="AF53" s="6">
        <v>0</v>
      </c>
      <c r="AG53" s="6">
        <v>0</v>
      </c>
      <c r="AH53" s="6">
        <v>86.1</v>
      </c>
      <c r="AI53" s="6" t="s">
        <v>286</v>
      </c>
      <c r="AJ53" s="6" t="s">
        <v>287</v>
      </c>
      <c r="AK53" s="6" t="s">
        <v>16</v>
      </c>
      <c r="AL53" s="6" t="s">
        <v>57</v>
      </c>
      <c r="AM53" s="6" t="s">
        <v>288</v>
      </c>
      <c r="AN53" s="6" t="s">
        <v>28</v>
      </c>
      <c r="AO53" s="6" t="s">
        <v>253</v>
      </c>
      <c r="AP53" s="6" t="s">
        <v>26</v>
      </c>
      <c r="AQ53" s="6" t="s">
        <v>26</v>
      </c>
    </row>
    <row r="54" spans="1:43" hidden="1" x14ac:dyDescent="0.25">
      <c r="A54" s="6">
        <v>22649882</v>
      </c>
      <c r="B54" s="6">
        <v>23459461</v>
      </c>
      <c r="C54" s="6" t="s">
        <v>372</v>
      </c>
      <c r="D54" s="14">
        <v>45868.408854166657</v>
      </c>
      <c r="E54" s="14">
        <v>45874.854409722233</v>
      </c>
      <c r="F54" s="6" t="s">
        <v>21</v>
      </c>
      <c r="G54" s="6" t="s">
        <v>25</v>
      </c>
      <c r="H54" s="6" t="s">
        <v>280</v>
      </c>
      <c r="I54" s="6" t="s">
        <v>16</v>
      </c>
      <c r="J54" s="6" t="s">
        <v>373</v>
      </c>
      <c r="K54" s="6" t="s">
        <v>282</v>
      </c>
      <c r="L54" s="6" t="s">
        <v>282</v>
      </c>
      <c r="M54" s="14">
        <v>45867</v>
      </c>
      <c r="N54" s="6">
        <v>4801518571</v>
      </c>
      <c r="O54" s="6" t="s">
        <v>92</v>
      </c>
      <c r="P54" s="6" t="s">
        <v>245</v>
      </c>
      <c r="Q54" s="6" t="s">
        <v>246</v>
      </c>
      <c r="R54" s="6" t="s">
        <v>247</v>
      </c>
      <c r="S54" s="6" t="s">
        <v>7</v>
      </c>
      <c r="T54" s="6" t="s">
        <v>248</v>
      </c>
      <c r="U54" s="6" t="s">
        <v>116</v>
      </c>
      <c r="V54" s="6" t="s">
        <v>283</v>
      </c>
      <c r="W54" s="6" t="s">
        <v>284</v>
      </c>
      <c r="X54" s="6" t="s">
        <v>285</v>
      </c>
      <c r="Y54" s="6">
        <v>2243398481</v>
      </c>
      <c r="Z54" s="6" t="s">
        <v>26</v>
      </c>
      <c r="AA54" s="6">
        <v>167526</v>
      </c>
      <c r="AB54" s="6">
        <v>683.05</v>
      </c>
      <c r="AC54" s="6">
        <v>31.44</v>
      </c>
      <c r="AD54" s="6">
        <v>0</v>
      </c>
      <c r="AE54" s="6">
        <v>68.25</v>
      </c>
      <c r="AF54" s="6">
        <v>0</v>
      </c>
      <c r="AG54" s="6">
        <v>0</v>
      </c>
      <c r="AH54" s="6">
        <v>86.1</v>
      </c>
      <c r="AI54" s="6" t="s">
        <v>286</v>
      </c>
      <c r="AJ54" s="6" t="s">
        <v>287</v>
      </c>
      <c r="AK54" s="6" t="s">
        <v>16</v>
      </c>
      <c r="AL54" s="6" t="s">
        <v>57</v>
      </c>
      <c r="AM54" s="6" t="s">
        <v>288</v>
      </c>
      <c r="AN54" s="6" t="s">
        <v>28</v>
      </c>
      <c r="AO54" s="6" t="s">
        <v>253</v>
      </c>
      <c r="AP54" s="6" t="s">
        <v>26</v>
      </c>
      <c r="AQ54" s="6" t="s">
        <v>26</v>
      </c>
    </row>
    <row r="55" spans="1:43" hidden="1" x14ac:dyDescent="0.25">
      <c r="A55" s="6">
        <v>22649882</v>
      </c>
      <c r="B55" s="6">
        <v>23459462</v>
      </c>
      <c r="C55" s="6" t="s">
        <v>374</v>
      </c>
      <c r="D55" s="14">
        <v>45868.408854166657</v>
      </c>
      <c r="E55" s="14">
        <v>45874.854409722233</v>
      </c>
      <c r="F55" s="6" t="s">
        <v>21</v>
      </c>
      <c r="G55" s="6" t="s">
        <v>25</v>
      </c>
      <c r="H55" s="6" t="s">
        <v>280</v>
      </c>
      <c r="I55" s="6" t="s">
        <v>16</v>
      </c>
      <c r="J55" s="6" t="s">
        <v>375</v>
      </c>
      <c r="K55" s="6" t="s">
        <v>282</v>
      </c>
      <c r="L55" s="6" t="s">
        <v>282</v>
      </c>
      <c r="M55" s="14">
        <v>45867</v>
      </c>
      <c r="N55" s="6">
        <v>4801518571</v>
      </c>
      <c r="O55" s="6" t="s">
        <v>92</v>
      </c>
      <c r="P55" s="6" t="s">
        <v>245</v>
      </c>
      <c r="Q55" s="6" t="s">
        <v>246</v>
      </c>
      <c r="R55" s="6" t="s">
        <v>247</v>
      </c>
      <c r="S55" s="6" t="s">
        <v>7</v>
      </c>
      <c r="T55" s="6" t="s">
        <v>248</v>
      </c>
      <c r="U55" s="6" t="s">
        <v>116</v>
      </c>
      <c r="V55" s="6" t="s">
        <v>283</v>
      </c>
      <c r="W55" s="6" t="s">
        <v>284</v>
      </c>
      <c r="X55" s="6" t="s">
        <v>285</v>
      </c>
      <c r="Y55" s="6">
        <v>2243398482</v>
      </c>
      <c r="Z55" s="6" t="s">
        <v>26</v>
      </c>
      <c r="AA55" s="6">
        <v>167526</v>
      </c>
      <c r="AB55" s="6">
        <v>683.05</v>
      </c>
      <c r="AC55" s="6">
        <v>31.44</v>
      </c>
      <c r="AD55" s="6">
        <v>0</v>
      </c>
      <c r="AE55" s="6">
        <v>68.25</v>
      </c>
      <c r="AF55" s="6">
        <v>0</v>
      </c>
      <c r="AG55" s="6">
        <v>0</v>
      </c>
      <c r="AH55" s="6">
        <v>86.1</v>
      </c>
      <c r="AI55" s="6" t="s">
        <v>286</v>
      </c>
      <c r="AJ55" s="6" t="s">
        <v>287</v>
      </c>
      <c r="AK55" s="6" t="s">
        <v>16</v>
      </c>
      <c r="AL55" s="6" t="s">
        <v>57</v>
      </c>
      <c r="AM55" s="6" t="s">
        <v>288</v>
      </c>
      <c r="AN55" s="6" t="s">
        <v>28</v>
      </c>
      <c r="AO55" s="6" t="s">
        <v>253</v>
      </c>
      <c r="AP55" s="6" t="s">
        <v>26</v>
      </c>
      <c r="AQ55" s="6" t="s">
        <v>26</v>
      </c>
    </row>
    <row r="56" spans="1:43" hidden="1" x14ac:dyDescent="0.25">
      <c r="A56" s="6">
        <v>22649882</v>
      </c>
      <c r="B56" s="6">
        <v>23459463</v>
      </c>
      <c r="C56" s="6" t="s">
        <v>376</v>
      </c>
      <c r="D56" s="14">
        <v>45868.408854166657</v>
      </c>
      <c r="E56" s="14">
        <v>45874.854409722233</v>
      </c>
      <c r="F56" s="6" t="s">
        <v>21</v>
      </c>
      <c r="G56" s="6" t="s">
        <v>25</v>
      </c>
      <c r="H56" s="6" t="s">
        <v>280</v>
      </c>
      <c r="I56" s="6" t="s">
        <v>16</v>
      </c>
      <c r="J56" s="6" t="s">
        <v>377</v>
      </c>
      <c r="K56" s="6" t="s">
        <v>282</v>
      </c>
      <c r="L56" s="6" t="s">
        <v>282</v>
      </c>
      <c r="M56" s="14">
        <v>45867</v>
      </c>
      <c r="N56" s="6">
        <v>4801518571</v>
      </c>
      <c r="O56" s="6" t="s">
        <v>92</v>
      </c>
      <c r="P56" s="6" t="s">
        <v>245</v>
      </c>
      <c r="Q56" s="6" t="s">
        <v>246</v>
      </c>
      <c r="R56" s="6" t="s">
        <v>247</v>
      </c>
      <c r="S56" s="6" t="s">
        <v>7</v>
      </c>
      <c r="T56" s="6" t="s">
        <v>248</v>
      </c>
      <c r="U56" s="6" t="s">
        <v>116</v>
      </c>
      <c r="V56" s="6" t="s">
        <v>283</v>
      </c>
      <c r="W56" s="6" t="s">
        <v>284</v>
      </c>
      <c r="X56" s="6" t="s">
        <v>285</v>
      </c>
      <c r="Y56" s="6">
        <v>2243398483</v>
      </c>
      <c r="Z56" s="6" t="s">
        <v>26</v>
      </c>
      <c r="AA56" s="6">
        <v>167526</v>
      </c>
      <c r="AB56" s="6">
        <v>683.05</v>
      </c>
      <c r="AC56" s="6">
        <v>31.44</v>
      </c>
      <c r="AD56" s="6">
        <v>0</v>
      </c>
      <c r="AE56" s="6">
        <v>68.25</v>
      </c>
      <c r="AF56" s="6">
        <v>0</v>
      </c>
      <c r="AG56" s="6">
        <v>0</v>
      </c>
      <c r="AH56" s="6">
        <v>86.1</v>
      </c>
      <c r="AI56" s="6" t="s">
        <v>286</v>
      </c>
      <c r="AJ56" s="6" t="s">
        <v>287</v>
      </c>
      <c r="AK56" s="6" t="s">
        <v>16</v>
      </c>
      <c r="AL56" s="6" t="s">
        <v>57</v>
      </c>
      <c r="AM56" s="6" t="s">
        <v>288</v>
      </c>
      <c r="AN56" s="6" t="s">
        <v>28</v>
      </c>
      <c r="AO56" s="6" t="s">
        <v>253</v>
      </c>
      <c r="AP56" s="6" t="s">
        <v>26</v>
      </c>
      <c r="AQ56" s="6" t="s">
        <v>26</v>
      </c>
    </row>
    <row r="57" spans="1:43" hidden="1" x14ac:dyDescent="0.25">
      <c r="A57" s="6">
        <v>22649882</v>
      </c>
      <c r="B57" s="6">
        <v>23459465</v>
      </c>
      <c r="C57" s="6" t="s">
        <v>378</v>
      </c>
      <c r="D57" s="14">
        <v>45868.408854166657</v>
      </c>
      <c r="E57" s="14">
        <v>45874.854409722233</v>
      </c>
      <c r="F57" s="6" t="s">
        <v>21</v>
      </c>
      <c r="G57" s="6" t="s">
        <v>25</v>
      </c>
      <c r="H57" s="6" t="s">
        <v>280</v>
      </c>
      <c r="I57" s="6" t="s">
        <v>16</v>
      </c>
      <c r="J57" s="6" t="s">
        <v>379</v>
      </c>
      <c r="K57" s="6" t="s">
        <v>282</v>
      </c>
      <c r="L57" s="6" t="s">
        <v>282</v>
      </c>
      <c r="M57" s="14">
        <v>45867</v>
      </c>
      <c r="N57" s="6">
        <v>4801518571</v>
      </c>
      <c r="O57" s="6" t="s">
        <v>92</v>
      </c>
      <c r="P57" s="6" t="s">
        <v>245</v>
      </c>
      <c r="Q57" s="6" t="s">
        <v>246</v>
      </c>
      <c r="R57" s="6" t="s">
        <v>247</v>
      </c>
      <c r="S57" s="6" t="s">
        <v>7</v>
      </c>
      <c r="T57" s="6" t="s">
        <v>248</v>
      </c>
      <c r="U57" s="6" t="s">
        <v>116</v>
      </c>
      <c r="V57" s="6" t="s">
        <v>283</v>
      </c>
      <c r="W57" s="6" t="s">
        <v>284</v>
      </c>
      <c r="X57" s="6" t="s">
        <v>285</v>
      </c>
      <c r="Y57" s="6">
        <v>2243398484</v>
      </c>
      <c r="Z57" s="6" t="s">
        <v>26</v>
      </c>
      <c r="AA57" s="6">
        <v>167526</v>
      </c>
      <c r="AB57" s="6">
        <v>683.05</v>
      </c>
      <c r="AC57" s="6">
        <v>31.44</v>
      </c>
      <c r="AD57" s="6">
        <v>0</v>
      </c>
      <c r="AE57" s="6">
        <v>68.25</v>
      </c>
      <c r="AF57" s="6">
        <v>0</v>
      </c>
      <c r="AG57" s="6">
        <v>0</v>
      </c>
      <c r="AH57" s="6">
        <v>86.1</v>
      </c>
      <c r="AI57" s="6" t="s">
        <v>286</v>
      </c>
      <c r="AJ57" s="6" t="s">
        <v>287</v>
      </c>
      <c r="AK57" s="6" t="s">
        <v>16</v>
      </c>
      <c r="AL57" s="6" t="s">
        <v>57</v>
      </c>
      <c r="AM57" s="6" t="s">
        <v>288</v>
      </c>
      <c r="AN57" s="6" t="s">
        <v>28</v>
      </c>
      <c r="AO57" s="6" t="s">
        <v>253</v>
      </c>
      <c r="AP57" s="6" t="s">
        <v>26</v>
      </c>
      <c r="AQ57" s="6" t="s">
        <v>26</v>
      </c>
    </row>
    <row r="58" spans="1:43" hidden="1" x14ac:dyDescent="0.25">
      <c r="A58" s="6">
        <v>22649882</v>
      </c>
      <c r="B58" s="6">
        <v>23459466</v>
      </c>
      <c r="C58" s="6" t="s">
        <v>380</v>
      </c>
      <c r="D58" s="14">
        <v>45868.408854166657</v>
      </c>
      <c r="E58" s="14">
        <v>45874.854409722233</v>
      </c>
      <c r="F58" s="6" t="s">
        <v>21</v>
      </c>
      <c r="G58" s="6" t="s">
        <v>25</v>
      </c>
      <c r="H58" s="6" t="s">
        <v>280</v>
      </c>
      <c r="I58" s="6" t="s">
        <v>16</v>
      </c>
      <c r="J58" s="6" t="s">
        <v>381</v>
      </c>
      <c r="K58" s="6" t="s">
        <v>282</v>
      </c>
      <c r="L58" s="6" t="s">
        <v>282</v>
      </c>
      <c r="M58" s="14">
        <v>45867</v>
      </c>
      <c r="N58" s="6">
        <v>4801518571</v>
      </c>
      <c r="O58" s="6" t="s">
        <v>92</v>
      </c>
      <c r="P58" s="6" t="s">
        <v>245</v>
      </c>
      <c r="Q58" s="6" t="s">
        <v>246</v>
      </c>
      <c r="R58" s="6" t="s">
        <v>247</v>
      </c>
      <c r="S58" s="6" t="s">
        <v>7</v>
      </c>
      <c r="T58" s="6" t="s">
        <v>248</v>
      </c>
      <c r="U58" s="6" t="s">
        <v>116</v>
      </c>
      <c r="V58" s="6" t="s">
        <v>283</v>
      </c>
      <c r="W58" s="6" t="s">
        <v>284</v>
      </c>
      <c r="X58" s="6" t="s">
        <v>285</v>
      </c>
      <c r="Y58" s="6">
        <v>2243398485</v>
      </c>
      <c r="Z58" s="6" t="s">
        <v>26</v>
      </c>
      <c r="AA58" s="6">
        <v>167526</v>
      </c>
      <c r="AB58" s="6">
        <v>683.05</v>
      </c>
      <c r="AC58" s="6">
        <v>31.44</v>
      </c>
      <c r="AD58" s="6">
        <v>0</v>
      </c>
      <c r="AE58" s="6">
        <v>68.25</v>
      </c>
      <c r="AF58" s="6">
        <v>0</v>
      </c>
      <c r="AG58" s="6">
        <v>0</v>
      </c>
      <c r="AH58" s="6">
        <v>86.1</v>
      </c>
      <c r="AI58" s="6" t="s">
        <v>286</v>
      </c>
      <c r="AJ58" s="6" t="s">
        <v>287</v>
      </c>
      <c r="AK58" s="6" t="s">
        <v>16</v>
      </c>
      <c r="AL58" s="6" t="s">
        <v>57</v>
      </c>
      <c r="AM58" s="6" t="s">
        <v>288</v>
      </c>
      <c r="AN58" s="6" t="s">
        <v>28</v>
      </c>
      <c r="AO58" s="6" t="s">
        <v>253</v>
      </c>
      <c r="AP58" s="6" t="s">
        <v>26</v>
      </c>
      <c r="AQ58" s="6" t="s">
        <v>26</v>
      </c>
    </row>
    <row r="59" spans="1:43" x14ac:dyDescent="0.25">
      <c r="A59" s="6">
        <v>22649882</v>
      </c>
      <c r="B59" s="6">
        <v>23459467</v>
      </c>
      <c r="C59" s="6" t="s">
        <v>382</v>
      </c>
      <c r="D59" s="14">
        <v>45868.408854166657</v>
      </c>
      <c r="E59" s="14">
        <v>45874.854409722233</v>
      </c>
      <c r="F59" s="6" t="s">
        <v>21</v>
      </c>
      <c r="G59" s="6" t="s">
        <v>25</v>
      </c>
      <c r="H59" s="6" t="s">
        <v>280</v>
      </c>
      <c r="I59" s="6" t="s">
        <v>16</v>
      </c>
      <c r="J59" s="6" t="s">
        <v>383</v>
      </c>
      <c r="K59" s="6" t="s">
        <v>282</v>
      </c>
      <c r="L59" s="6" t="s">
        <v>282</v>
      </c>
      <c r="M59" s="14">
        <v>45867</v>
      </c>
      <c r="N59" s="6">
        <v>4801518571</v>
      </c>
      <c r="O59" s="6" t="s">
        <v>92</v>
      </c>
      <c r="P59" s="6" t="s">
        <v>245</v>
      </c>
      <c r="Q59" s="6" t="s">
        <v>246</v>
      </c>
      <c r="R59" s="6" t="s">
        <v>247</v>
      </c>
      <c r="S59" s="6" t="s">
        <v>7</v>
      </c>
      <c r="T59" s="6" t="s">
        <v>248</v>
      </c>
      <c r="U59" s="6" t="s">
        <v>116</v>
      </c>
      <c r="V59" s="6" t="s">
        <v>283</v>
      </c>
      <c r="W59" s="6" t="s">
        <v>284</v>
      </c>
      <c r="X59" s="6" t="s">
        <v>285</v>
      </c>
      <c r="Y59" s="6">
        <v>2243398486</v>
      </c>
      <c r="Z59" s="6" t="s">
        <v>26</v>
      </c>
      <c r="AA59" s="6">
        <v>167526</v>
      </c>
      <c r="AB59" s="6">
        <v>683.05</v>
      </c>
      <c r="AC59" s="6">
        <v>31.44</v>
      </c>
      <c r="AD59" s="6">
        <v>0</v>
      </c>
      <c r="AE59" s="6">
        <v>68.25</v>
      </c>
      <c r="AF59" s="6">
        <v>0</v>
      </c>
      <c r="AG59" s="6">
        <v>0</v>
      </c>
      <c r="AH59" s="6">
        <v>86.1</v>
      </c>
      <c r="AI59" s="6" t="s">
        <v>286</v>
      </c>
      <c r="AJ59" s="6" t="s">
        <v>287</v>
      </c>
      <c r="AK59" s="6" t="s">
        <v>16</v>
      </c>
      <c r="AL59" s="6" t="s">
        <v>57</v>
      </c>
      <c r="AM59" s="6" t="s">
        <v>288</v>
      </c>
      <c r="AN59" s="6" t="s">
        <v>28</v>
      </c>
      <c r="AO59" s="6" t="s">
        <v>253</v>
      </c>
      <c r="AP59" s="6" t="s">
        <v>26</v>
      </c>
      <c r="AQ59" s="6" t="s">
        <v>26</v>
      </c>
    </row>
    <row r="60" spans="1:43" x14ac:dyDescent="0.25">
      <c r="A60" s="6">
        <v>22649882</v>
      </c>
      <c r="B60" s="6">
        <v>23459468</v>
      </c>
      <c r="C60" s="6" t="s">
        <v>384</v>
      </c>
      <c r="D60" s="14">
        <v>45868.408854166657</v>
      </c>
      <c r="E60" s="14">
        <v>45874.854409722233</v>
      </c>
      <c r="F60" s="6" t="s">
        <v>21</v>
      </c>
      <c r="G60" s="6" t="s">
        <v>25</v>
      </c>
      <c r="H60" s="6" t="s">
        <v>280</v>
      </c>
      <c r="I60" s="6" t="s">
        <v>16</v>
      </c>
      <c r="J60" s="6" t="s">
        <v>385</v>
      </c>
      <c r="K60" s="6" t="s">
        <v>282</v>
      </c>
      <c r="L60" s="6" t="s">
        <v>282</v>
      </c>
      <c r="M60" s="14">
        <v>45867</v>
      </c>
      <c r="N60" s="6">
        <v>4801518571</v>
      </c>
      <c r="O60" s="6" t="s">
        <v>92</v>
      </c>
      <c r="P60" s="6" t="s">
        <v>245</v>
      </c>
      <c r="Q60" s="6" t="s">
        <v>246</v>
      </c>
      <c r="R60" s="6" t="s">
        <v>247</v>
      </c>
      <c r="S60" s="6" t="s">
        <v>7</v>
      </c>
      <c r="T60" s="6" t="s">
        <v>248</v>
      </c>
      <c r="U60" s="6" t="s">
        <v>116</v>
      </c>
      <c r="V60" s="6" t="s">
        <v>283</v>
      </c>
      <c r="W60" s="6" t="s">
        <v>284</v>
      </c>
      <c r="X60" s="6" t="s">
        <v>285</v>
      </c>
      <c r="Y60" s="6">
        <v>2243398487</v>
      </c>
      <c r="Z60" s="6" t="s">
        <v>26</v>
      </c>
      <c r="AA60" s="6">
        <v>167526</v>
      </c>
      <c r="AB60" s="6">
        <v>683.05</v>
      </c>
      <c r="AC60" s="6">
        <v>31.44</v>
      </c>
      <c r="AD60" s="6">
        <v>0</v>
      </c>
      <c r="AE60" s="6">
        <v>68.25</v>
      </c>
      <c r="AF60" s="6">
        <v>0</v>
      </c>
      <c r="AG60" s="6">
        <v>0</v>
      </c>
      <c r="AH60" s="6">
        <v>86.1</v>
      </c>
      <c r="AI60" s="6" t="s">
        <v>286</v>
      </c>
      <c r="AJ60" s="6" t="s">
        <v>287</v>
      </c>
      <c r="AK60" s="6" t="s">
        <v>16</v>
      </c>
      <c r="AL60" s="6" t="s">
        <v>57</v>
      </c>
      <c r="AM60" s="6" t="s">
        <v>288</v>
      </c>
      <c r="AN60" s="6" t="s">
        <v>28</v>
      </c>
      <c r="AO60" s="6" t="s">
        <v>253</v>
      </c>
      <c r="AP60" s="6" t="s">
        <v>26</v>
      </c>
      <c r="AQ60" s="6" t="s">
        <v>26</v>
      </c>
    </row>
    <row r="61" spans="1:43" x14ac:dyDescent="0.25">
      <c r="A61" s="6">
        <v>22649882</v>
      </c>
      <c r="B61" s="6">
        <v>23459469</v>
      </c>
      <c r="C61" s="6" t="s">
        <v>386</v>
      </c>
      <c r="D61" s="14">
        <v>45868.408854166657</v>
      </c>
      <c r="E61" s="14">
        <v>45874.854409722233</v>
      </c>
      <c r="F61" s="6" t="s">
        <v>21</v>
      </c>
      <c r="G61" s="6" t="s">
        <v>25</v>
      </c>
      <c r="H61" s="6" t="s">
        <v>280</v>
      </c>
      <c r="I61" s="6" t="s">
        <v>16</v>
      </c>
      <c r="J61" s="6" t="s">
        <v>387</v>
      </c>
      <c r="K61" s="6" t="s">
        <v>282</v>
      </c>
      <c r="L61" s="6" t="s">
        <v>282</v>
      </c>
      <c r="M61" s="14">
        <v>45867</v>
      </c>
      <c r="N61" s="6">
        <v>4801518571</v>
      </c>
      <c r="O61" s="6" t="s">
        <v>92</v>
      </c>
      <c r="P61" s="6" t="s">
        <v>245</v>
      </c>
      <c r="Q61" s="6" t="s">
        <v>246</v>
      </c>
      <c r="R61" s="6" t="s">
        <v>247</v>
      </c>
      <c r="S61" s="6" t="s">
        <v>7</v>
      </c>
      <c r="T61" s="6" t="s">
        <v>248</v>
      </c>
      <c r="U61" s="6" t="s">
        <v>116</v>
      </c>
      <c r="V61" s="6" t="s">
        <v>283</v>
      </c>
      <c r="W61" s="6" t="s">
        <v>284</v>
      </c>
      <c r="X61" s="6" t="s">
        <v>285</v>
      </c>
      <c r="Y61" s="6">
        <v>2243398488</v>
      </c>
      <c r="Z61" s="6" t="s">
        <v>26</v>
      </c>
      <c r="AA61" s="6">
        <v>167526</v>
      </c>
      <c r="AB61" s="6">
        <v>683.05</v>
      </c>
      <c r="AC61" s="6">
        <v>31.44</v>
      </c>
      <c r="AD61" s="6">
        <v>0</v>
      </c>
      <c r="AE61" s="6">
        <v>68.25</v>
      </c>
      <c r="AF61" s="6">
        <v>0</v>
      </c>
      <c r="AG61" s="6">
        <v>0</v>
      </c>
      <c r="AH61" s="6">
        <v>86.1</v>
      </c>
      <c r="AI61" s="6" t="s">
        <v>286</v>
      </c>
      <c r="AJ61" s="6" t="s">
        <v>287</v>
      </c>
      <c r="AK61" s="6" t="s">
        <v>16</v>
      </c>
      <c r="AL61" s="6" t="s">
        <v>57</v>
      </c>
      <c r="AM61" s="6" t="s">
        <v>288</v>
      </c>
      <c r="AN61" s="6" t="s">
        <v>28</v>
      </c>
      <c r="AO61" s="6" t="s">
        <v>253</v>
      </c>
      <c r="AP61" s="6" t="s">
        <v>26</v>
      </c>
      <c r="AQ61" s="6" t="s">
        <v>26</v>
      </c>
    </row>
    <row r="62" spans="1:43" hidden="1" x14ac:dyDescent="0.25">
      <c r="A62" s="6">
        <v>22649882</v>
      </c>
      <c r="B62" s="6">
        <v>23459470</v>
      </c>
      <c r="C62" s="6" t="s">
        <v>388</v>
      </c>
      <c r="D62" s="14">
        <v>45868.408854166657</v>
      </c>
      <c r="E62" s="14">
        <v>45874.854409722233</v>
      </c>
      <c r="F62" s="6" t="s">
        <v>21</v>
      </c>
      <c r="G62" s="6" t="s">
        <v>25</v>
      </c>
      <c r="H62" s="6" t="s">
        <v>280</v>
      </c>
      <c r="I62" s="6" t="s">
        <v>16</v>
      </c>
      <c r="J62" s="6" t="s">
        <v>389</v>
      </c>
      <c r="K62" s="6" t="s">
        <v>282</v>
      </c>
      <c r="L62" s="6" t="s">
        <v>282</v>
      </c>
      <c r="M62" s="14">
        <v>45867</v>
      </c>
      <c r="N62" s="6">
        <v>4801518571</v>
      </c>
      <c r="O62" s="6" t="s">
        <v>92</v>
      </c>
      <c r="P62" s="6" t="s">
        <v>245</v>
      </c>
      <c r="Q62" s="6" t="s">
        <v>246</v>
      </c>
      <c r="R62" s="6" t="s">
        <v>247</v>
      </c>
      <c r="S62" s="6" t="s">
        <v>7</v>
      </c>
      <c r="T62" s="6" t="s">
        <v>248</v>
      </c>
      <c r="U62" s="6" t="s">
        <v>116</v>
      </c>
      <c r="V62" s="6" t="s">
        <v>283</v>
      </c>
      <c r="W62" s="6" t="s">
        <v>284</v>
      </c>
      <c r="X62" s="6" t="s">
        <v>285</v>
      </c>
      <c r="Y62" s="6">
        <v>2243398489</v>
      </c>
      <c r="Z62" s="6" t="s">
        <v>26</v>
      </c>
      <c r="AA62" s="6">
        <v>167526</v>
      </c>
      <c r="AB62" s="6">
        <v>683.05</v>
      </c>
      <c r="AC62" s="6">
        <v>31.44</v>
      </c>
      <c r="AD62" s="6">
        <v>0</v>
      </c>
      <c r="AE62" s="6">
        <v>68.25</v>
      </c>
      <c r="AF62" s="6">
        <v>0</v>
      </c>
      <c r="AG62" s="6">
        <v>0</v>
      </c>
      <c r="AH62" s="6">
        <v>86.1</v>
      </c>
      <c r="AI62" s="6" t="s">
        <v>286</v>
      </c>
      <c r="AJ62" s="6" t="s">
        <v>287</v>
      </c>
      <c r="AK62" s="6" t="s">
        <v>16</v>
      </c>
      <c r="AL62" s="6" t="s">
        <v>57</v>
      </c>
      <c r="AM62" s="6" t="s">
        <v>288</v>
      </c>
      <c r="AN62" s="6" t="s">
        <v>28</v>
      </c>
      <c r="AO62" s="6" t="s">
        <v>253</v>
      </c>
      <c r="AP62" s="6" t="s">
        <v>26</v>
      </c>
      <c r="AQ62" s="6" t="s">
        <v>26</v>
      </c>
    </row>
    <row r="63" spans="1:43" x14ac:dyDescent="0.25">
      <c r="A63" s="6">
        <v>22649882</v>
      </c>
      <c r="B63" s="6">
        <v>23459471</v>
      </c>
      <c r="C63" s="6" t="s">
        <v>390</v>
      </c>
      <c r="D63" s="14">
        <v>45868.408854166657</v>
      </c>
      <c r="E63" s="14">
        <v>45874.854409722233</v>
      </c>
      <c r="F63" s="6" t="s">
        <v>21</v>
      </c>
      <c r="G63" s="6" t="s">
        <v>25</v>
      </c>
      <c r="H63" s="6" t="s">
        <v>280</v>
      </c>
      <c r="I63" s="6" t="s">
        <v>16</v>
      </c>
      <c r="J63" s="6" t="s">
        <v>391</v>
      </c>
      <c r="K63" s="6" t="s">
        <v>282</v>
      </c>
      <c r="L63" s="6" t="s">
        <v>282</v>
      </c>
      <c r="M63" s="14">
        <v>45867</v>
      </c>
      <c r="N63" s="6">
        <v>4801518571</v>
      </c>
      <c r="O63" s="6" t="s">
        <v>92</v>
      </c>
      <c r="P63" s="6" t="s">
        <v>245</v>
      </c>
      <c r="Q63" s="6" t="s">
        <v>246</v>
      </c>
      <c r="R63" s="6" t="s">
        <v>247</v>
      </c>
      <c r="S63" s="6" t="s">
        <v>7</v>
      </c>
      <c r="T63" s="6" t="s">
        <v>248</v>
      </c>
      <c r="U63" s="6" t="s">
        <v>116</v>
      </c>
      <c r="V63" s="6" t="s">
        <v>283</v>
      </c>
      <c r="W63" s="6" t="s">
        <v>284</v>
      </c>
      <c r="X63" s="6" t="s">
        <v>285</v>
      </c>
      <c r="Y63" s="6">
        <v>2243398490</v>
      </c>
      <c r="Z63" s="6" t="s">
        <v>26</v>
      </c>
      <c r="AA63" s="6">
        <v>167526</v>
      </c>
      <c r="AB63" s="6">
        <v>683.05</v>
      </c>
      <c r="AC63" s="6">
        <v>31.44</v>
      </c>
      <c r="AD63" s="6">
        <v>0</v>
      </c>
      <c r="AE63" s="6">
        <v>68.25</v>
      </c>
      <c r="AF63" s="6">
        <v>0</v>
      </c>
      <c r="AG63" s="6">
        <v>0</v>
      </c>
      <c r="AH63" s="6">
        <v>86.1</v>
      </c>
      <c r="AI63" s="6" t="s">
        <v>286</v>
      </c>
      <c r="AJ63" s="6" t="s">
        <v>287</v>
      </c>
      <c r="AK63" s="6" t="s">
        <v>16</v>
      </c>
      <c r="AL63" s="6" t="s">
        <v>57</v>
      </c>
      <c r="AM63" s="6" t="s">
        <v>288</v>
      </c>
      <c r="AN63" s="6" t="s">
        <v>28</v>
      </c>
      <c r="AO63" s="6" t="s">
        <v>253</v>
      </c>
      <c r="AP63" s="6" t="s">
        <v>26</v>
      </c>
      <c r="AQ63" s="6" t="s">
        <v>26</v>
      </c>
    </row>
    <row r="64" spans="1:43" x14ac:dyDescent="0.25">
      <c r="A64" s="6">
        <v>22649882</v>
      </c>
      <c r="B64" s="6">
        <v>23459472</v>
      </c>
      <c r="C64" s="6" t="s">
        <v>392</v>
      </c>
      <c r="D64" s="14">
        <v>45868.408854166657</v>
      </c>
      <c r="E64" s="14">
        <v>45874.854409722233</v>
      </c>
      <c r="F64" s="6" t="s">
        <v>21</v>
      </c>
      <c r="G64" s="6" t="s">
        <v>25</v>
      </c>
      <c r="H64" s="6" t="s">
        <v>280</v>
      </c>
      <c r="I64" s="6" t="s">
        <v>16</v>
      </c>
      <c r="J64" s="6" t="s">
        <v>393</v>
      </c>
      <c r="K64" s="6" t="s">
        <v>282</v>
      </c>
      <c r="L64" s="6" t="s">
        <v>282</v>
      </c>
      <c r="M64" s="14">
        <v>45867</v>
      </c>
      <c r="N64" s="6">
        <v>4801518571</v>
      </c>
      <c r="O64" s="6" t="s">
        <v>92</v>
      </c>
      <c r="P64" s="6" t="s">
        <v>245</v>
      </c>
      <c r="Q64" s="6" t="s">
        <v>246</v>
      </c>
      <c r="R64" s="6" t="s">
        <v>247</v>
      </c>
      <c r="S64" s="6" t="s">
        <v>7</v>
      </c>
      <c r="T64" s="6" t="s">
        <v>248</v>
      </c>
      <c r="U64" s="6" t="s">
        <v>116</v>
      </c>
      <c r="V64" s="6" t="s">
        <v>283</v>
      </c>
      <c r="W64" s="6" t="s">
        <v>284</v>
      </c>
      <c r="X64" s="6" t="s">
        <v>285</v>
      </c>
      <c r="Y64" s="6">
        <v>2243398491</v>
      </c>
      <c r="Z64" s="6" t="s">
        <v>26</v>
      </c>
      <c r="AA64" s="6">
        <v>167526</v>
      </c>
      <c r="AB64" s="6">
        <v>683.05</v>
      </c>
      <c r="AC64" s="6">
        <v>31.44</v>
      </c>
      <c r="AD64" s="6">
        <v>0</v>
      </c>
      <c r="AE64" s="6">
        <v>68.25</v>
      </c>
      <c r="AF64" s="6">
        <v>0</v>
      </c>
      <c r="AG64" s="6">
        <v>0</v>
      </c>
      <c r="AH64" s="6">
        <v>86.1</v>
      </c>
      <c r="AI64" s="6" t="s">
        <v>286</v>
      </c>
      <c r="AJ64" s="6" t="s">
        <v>287</v>
      </c>
      <c r="AK64" s="6" t="s">
        <v>16</v>
      </c>
      <c r="AL64" s="6" t="s">
        <v>57</v>
      </c>
      <c r="AM64" s="6" t="s">
        <v>288</v>
      </c>
      <c r="AN64" s="6" t="s">
        <v>28</v>
      </c>
      <c r="AO64" s="6" t="s">
        <v>253</v>
      </c>
      <c r="AP64" s="6" t="s">
        <v>26</v>
      </c>
      <c r="AQ64" s="6" t="s">
        <v>26</v>
      </c>
    </row>
    <row r="65" spans="1:43" x14ac:dyDescent="0.25">
      <c r="A65" s="6">
        <v>22649882</v>
      </c>
      <c r="B65" s="6">
        <v>23459473</v>
      </c>
      <c r="C65" s="6" t="s">
        <v>394</v>
      </c>
      <c r="D65" s="14">
        <v>45868.408854166657</v>
      </c>
      <c r="E65" s="14">
        <v>45874.854409722233</v>
      </c>
      <c r="F65" s="6" t="s">
        <v>21</v>
      </c>
      <c r="G65" s="6" t="s">
        <v>25</v>
      </c>
      <c r="H65" s="6" t="s">
        <v>280</v>
      </c>
      <c r="I65" s="6" t="s">
        <v>16</v>
      </c>
      <c r="J65" s="6" t="s">
        <v>395</v>
      </c>
      <c r="K65" s="6" t="s">
        <v>282</v>
      </c>
      <c r="L65" s="6" t="s">
        <v>282</v>
      </c>
      <c r="M65" s="14">
        <v>45867</v>
      </c>
      <c r="N65" s="6">
        <v>4801518571</v>
      </c>
      <c r="O65" s="6" t="s">
        <v>92</v>
      </c>
      <c r="P65" s="6" t="s">
        <v>245</v>
      </c>
      <c r="Q65" s="6" t="s">
        <v>246</v>
      </c>
      <c r="R65" s="6" t="s">
        <v>247</v>
      </c>
      <c r="S65" s="6" t="s">
        <v>7</v>
      </c>
      <c r="T65" s="6" t="s">
        <v>248</v>
      </c>
      <c r="U65" s="6" t="s">
        <v>116</v>
      </c>
      <c r="V65" s="6" t="s">
        <v>283</v>
      </c>
      <c r="W65" s="6" t="s">
        <v>284</v>
      </c>
      <c r="X65" s="6" t="s">
        <v>285</v>
      </c>
      <c r="Y65" s="6">
        <v>2243398492</v>
      </c>
      <c r="Z65" s="6" t="s">
        <v>26</v>
      </c>
      <c r="AA65" s="6">
        <v>167526</v>
      </c>
      <c r="AB65" s="6">
        <v>683.05</v>
      </c>
      <c r="AC65" s="6">
        <v>31.44</v>
      </c>
      <c r="AD65" s="6">
        <v>0</v>
      </c>
      <c r="AE65" s="6">
        <v>68.25</v>
      </c>
      <c r="AF65" s="6">
        <v>0</v>
      </c>
      <c r="AG65" s="6">
        <v>0</v>
      </c>
      <c r="AH65" s="6">
        <v>86.1</v>
      </c>
      <c r="AI65" s="6" t="s">
        <v>286</v>
      </c>
      <c r="AJ65" s="6" t="s">
        <v>287</v>
      </c>
      <c r="AK65" s="6" t="s">
        <v>16</v>
      </c>
      <c r="AL65" s="6" t="s">
        <v>57</v>
      </c>
      <c r="AM65" s="6" t="s">
        <v>288</v>
      </c>
      <c r="AN65" s="6" t="s">
        <v>28</v>
      </c>
      <c r="AO65" s="6" t="s">
        <v>253</v>
      </c>
      <c r="AP65" s="6" t="s">
        <v>26</v>
      </c>
      <c r="AQ65" s="6" t="s">
        <v>26</v>
      </c>
    </row>
    <row r="66" spans="1:43" hidden="1" x14ac:dyDescent="0.25">
      <c r="A66" s="6">
        <v>22649882</v>
      </c>
      <c r="B66" s="6">
        <v>23459474</v>
      </c>
      <c r="C66" s="6" t="s">
        <v>396</v>
      </c>
      <c r="D66" s="14">
        <v>45868.408854166657</v>
      </c>
      <c r="E66" s="14">
        <v>45874.854409722233</v>
      </c>
      <c r="F66" s="6" t="s">
        <v>21</v>
      </c>
      <c r="G66" s="6" t="s">
        <v>25</v>
      </c>
      <c r="H66" s="6" t="s">
        <v>280</v>
      </c>
      <c r="I66" s="6" t="s">
        <v>16</v>
      </c>
      <c r="J66" s="6" t="s">
        <v>397</v>
      </c>
      <c r="K66" s="6" t="s">
        <v>282</v>
      </c>
      <c r="L66" s="6" t="s">
        <v>282</v>
      </c>
      <c r="M66" s="14">
        <v>45867</v>
      </c>
      <c r="N66" s="6">
        <v>4801518571</v>
      </c>
      <c r="O66" s="6" t="s">
        <v>92</v>
      </c>
      <c r="P66" s="6" t="s">
        <v>245</v>
      </c>
      <c r="Q66" s="6" t="s">
        <v>246</v>
      </c>
      <c r="R66" s="6" t="s">
        <v>247</v>
      </c>
      <c r="S66" s="6" t="s">
        <v>7</v>
      </c>
      <c r="T66" s="6" t="s">
        <v>248</v>
      </c>
      <c r="U66" s="6" t="s">
        <v>116</v>
      </c>
      <c r="V66" s="6" t="s">
        <v>283</v>
      </c>
      <c r="W66" s="6" t="s">
        <v>284</v>
      </c>
      <c r="X66" s="6" t="s">
        <v>285</v>
      </c>
      <c r="Y66" s="6">
        <v>2243398493</v>
      </c>
      <c r="Z66" s="6" t="s">
        <v>26</v>
      </c>
      <c r="AA66" s="6">
        <v>167526</v>
      </c>
      <c r="AB66" s="6">
        <v>683.05</v>
      </c>
      <c r="AC66" s="6">
        <v>31.44</v>
      </c>
      <c r="AD66" s="6">
        <v>0</v>
      </c>
      <c r="AE66" s="6">
        <v>68.25</v>
      </c>
      <c r="AF66" s="6">
        <v>0</v>
      </c>
      <c r="AG66" s="6">
        <v>0</v>
      </c>
      <c r="AH66" s="6">
        <v>86.1</v>
      </c>
      <c r="AI66" s="6" t="s">
        <v>286</v>
      </c>
      <c r="AJ66" s="6" t="s">
        <v>287</v>
      </c>
      <c r="AK66" s="6" t="s">
        <v>16</v>
      </c>
      <c r="AL66" s="6" t="s">
        <v>57</v>
      </c>
      <c r="AM66" s="6" t="s">
        <v>288</v>
      </c>
      <c r="AN66" s="6" t="s">
        <v>28</v>
      </c>
      <c r="AO66" s="6" t="s">
        <v>253</v>
      </c>
      <c r="AP66" s="6" t="s">
        <v>26</v>
      </c>
      <c r="AQ66" s="6" t="s">
        <v>26</v>
      </c>
    </row>
    <row r="67" spans="1:43" x14ac:dyDescent="0.25">
      <c r="A67" s="6">
        <v>22649882</v>
      </c>
      <c r="B67" s="6">
        <v>23459475</v>
      </c>
      <c r="C67" s="6" t="s">
        <v>398</v>
      </c>
      <c r="D67" s="14">
        <v>45868.408854166657</v>
      </c>
      <c r="E67" s="14">
        <v>45874.854409722233</v>
      </c>
      <c r="F67" s="6" t="s">
        <v>21</v>
      </c>
      <c r="G67" s="6" t="s">
        <v>25</v>
      </c>
      <c r="H67" s="6" t="s">
        <v>280</v>
      </c>
      <c r="I67" s="6" t="s">
        <v>16</v>
      </c>
      <c r="J67" s="6" t="s">
        <v>399</v>
      </c>
      <c r="K67" s="6" t="s">
        <v>282</v>
      </c>
      <c r="L67" s="6" t="s">
        <v>282</v>
      </c>
      <c r="M67" s="14">
        <v>45867</v>
      </c>
      <c r="N67" s="6">
        <v>4801518571</v>
      </c>
      <c r="O67" s="6" t="s">
        <v>92</v>
      </c>
      <c r="P67" s="6" t="s">
        <v>245</v>
      </c>
      <c r="Q67" s="6" t="s">
        <v>246</v>
      </c>
      <c r="R67" s="6" t="s">
        <v>247</v>
      </c>
      <c r="S67" s="6" t="s">
        <v>7</v>
      </c>
      <c r="T67" s="6" t="s">
        <v>248</v>
      </c>
      <c r="U67" s="6" t="s">
        <v>116</v>
      </c>
      <c r="V67" s="6" t="s">
        <v>283</v>
      </c>
      <c r="W67" s="6" t="s">
        <v>284</v>
      </c>
      <c r="X67" s="6" t="s">
        <v>285</v>
      </c>
      <c r="Y67" s="6">
        <v>2243398494</v>
      </c>
      <c r="Z67" s="6" t="s">
        <v>26</v>
      </c>
      <c r="AA67" s="6">
        <v>167526</v>
      </c>
      <c r="AB67" s="6">
        <v>683.05</v>
      </c>
      <c r="AC67" s="6">
        <v>31.44</v>
      </c>
      <c r="AD67" s="6">
        <v>0</v>
      </c>
      <c r="AE67" s="6">
        <v>68.25</v>
      </c>
      <c r="AF67" s="6">
        <v>0</v>
      </c>
      <c r="AG67" s="6">
        <v>0</v>
      </c>
      <c r="AH67" s="6">
        <v>86.1</v>
      </c>
      <c r="AI67" s="6" t="s">
        <v>286</v>
      </c>
      <c r="AJ67" s="6" t="s">
        <v>287</v>
      </c>
      <c r="AK67" s="6" t="s">
        <v>16</v>
      </c>
      <c r="AL67" s="6" t="s">
        <v>57</v>
      </c>
      <c r="AM67" s="6" t="s">
        <v>288</v>
      </c>
      <c r="AN67" s="6" t="s">
        <v>28</v>
      </c>
      <c r="AO67" s="6" t="s">
        <v>253</v>
      </c>
      <c r="AP67" s="6" t="s">
        <v>26</v>
      </c>
      <c r="AQ67" s="6" t="s">
        <v>26</v>
      </c>
    </row>
    <row r="68" spans="1:43" x14ac:dyDescent="0.25">
      <c r="A68" s="6">
        <v>22649882</v>
      </c>
      <c r="B68" s="6">
        <v>23459476</v>
      </c>
      <c r="C68" s="6" t="s">
        <v>400</v>
      </c>
      <c r="D68" s="14">
        <v>45868.408854166657</v>
      </c>
      <c r="E68" s="14">
        <v>45874.854409722233</v>
      </c>
      <c r="F68" s="6" t="s">
        <v>21</v>
      </c>
      <c r="G68" s="6" t="s">
        <v>25</v>
      </c>
      <c r="H68" s="6" t="s">
        <v>280</v>
      </c>
      <c r="I68" s="6" t="s">
        <v>16</v>
      </c>
      <c r="J68" s="6" t="s">
        <v>401</v>
      </c>
      <c r="K68" s="6" t="s">
        <v>282</v>
      </c>
      <c r="L68" s="6" t="s">
        <v>282</v>
      </c>
      <c r="M68" s="14">
        <v>45867</v>
      </c>
      <c r="N68" s="6">
        <v>4801518571</v>
      </c>
      <c r="O68" s="6" t="s">
        <v>92</v>
      </c>
      <c r="P68" s="6" t="s">
        <v>245</v>
      </c>
      <c r="Q68" s="6" t="s">
        <v>246</v>
      </c>
      <c r="R68" s="6" t="s">
        <v>247</v>
      </c>
      <c r="S68" s="6" t="s">
        <v>7</v>
      </c>
      <c r="T68" s="6" t="s">
        <v>248</v>
      </c>
      <c r="U68" s="6" t="s">
        <v>116</v>
      </c>
      <c r="V68" s="6" t="s">
        <v>283</v>
      </c>
      <c r="W68" s="6" t="s">
        <v>284</v>
      </c>
      <c r="X68" s="6" t="s">
        <v>285</v>
      </c>
      <c r="Y68" s="6">
        <v>2243398495</v>
      </c>
      <c r="Z68" s="6" t="s">
        <v>26</v>
      </c>
      <c r="AA68" s="6">
        <v>167526</v>
      </c>
      <c r="AB68" s="6">
        <v>683.05</v>
      </c>
      <c r="AC68" s="6">
        <v>31.44</v>
      </c>
      <c r="AD68" s="6">
        <v>0</v>
      </c>
      <c r="AE68" s="6">
        <v>68.25</v>
      </c>
      <c r="AF68" s="6">
        <v>0</v>
      </c>
      <c r="AG68" s="6">
        <v>0</v>
      </c>
      <c r="AH68" s="6">
        <v>86.1</v>
      </c>
      <c r="AI68" s="6" t="s">
        <v>286</v>
      </c>
      <c r="AJ68" s="6" t="s">
        <v>287</v>
      </c>
      <c r="AK68" s="6" t="s">
        <v>16</v>
      </c>
      <c r="AL68" s="6" t="s">
        <v>57</v>
      </c>
      <c r="AM68" s="6" t="s">
        <v>288</v>
      </c>
      <c r="AN68" s="6" t="s">
        <v>28</v>
      </c>
      <c r="AO68" s="6" t="s">
        <v>253</v>
      </c>
      <c r="AP68" s="6" t="s">
        <v>26</v>
      </c>
      <c r="AQ68" s="6" t="s">
        <v>26</v>
      </c>
    </row>
    <row r="69" spans="1:43" x14ac:dyDescent="0.25">
      <c r="A69" s="6">
        <v>22649882</v>
      </c>
      <c r="B69" s="6">
        <v>23459477</v>
      </c>
      <c r="C69" s="6" t="s">
        <v>402</v>
      </c>
      <c r="D69" s="14">
        <v>45868.408854166657</v>
      </c>
      <c r="E69" s="14">
        <v>45874.854409722233</v>
      </c>
      <c r="F69" s="6" t="s">
        <v>21</v>
      </c>
      <c r="G69" s="6" t="s">
        <v>25</v>
      </c>
      <c r="H69" s="6" t="s">
        <v>280</v>
      </c>
      <c r="I69" s="6" t="s">
        <v>16</v>
      </c>
      <c r="J69" s="6" t="s">
        <v>403</v>
      </c>
      <c r="K69" s="6" t="s">
        <v>282</v>
      </c>
      <c r="L69" s="6" t="s">
        <v>282</v>
      </c>
      <c r="M69" s="14">
        <v>45867</v>
      </c>
      <c r="N69" s="6">
        <v>4801518571</v>
      </c>
      <c r="O69" s="6" t="s">
        <v>92</v>
      </c>
      <c r="P69" s="6" t="s">
        <v>245</v>
      </c>
      <c r="Q69" s="6" t="s">
        <v>246</v>
      </c>
      <c r="R69" s="6" t="s">
        <v>247</v>
      </c>
      <c r="S69" s="6" t="s">
        <v>7</v>
      </c>
      <c r="T69" s="6" t="s">
        <v>248</v>
      </c>
      <c r="U69" s="6" t="s">
        <v>116</v>
      </c>
      <c r="V69" s="6" t="s">
        <v>283</v>
      </c>
      <c r="W69" s="6" t="s">
        <v>284</v>
      </c>
      <c r="X69" s="6" t="s">
        <v>285</v>
      </c>
      <c r="Y69" s="6">
        <v>2243398496</v>
      </c>
      <c r="Z69" s="6" t="s">
        <v>26</v>
      </c>
      <c r="AA69" s="6">
        <v>167526</v>
      </c>
      <c r="AB69" s="6">
        <v>683.05</v>
      </c>
      <c r="AC69" s="6">
        <v>31.44</v>
      </c>
      <c r="AD69" s="6">
        <v>0</v>
      </c>
      <c r="AE69" s="6">
        <v>68.25</v>
      </c>
      <c r="AF69" s="6">
        <v>0</v>
      </c>
      <c r="AG69" s="6">
        <v>0</v>
      </c>
      <c r="AH69" s="6">
        <v>86.1</v>
      </c>
      <c r="AI69" s="6" t="s">
        <v>286</v>
      </c>
      <c r="AJ69" s="6" t="s">
        <v>287</v>
      </c>
      <c r="AK69" s="6" t="s">
        <v>16</v>
      </c>
      <c r="AL69" s="6" t="s">
        <v>57</v>
      </c>
      <c r="AM69" s="6" t="s">
        <v>288</v>
      </c>
      <c r="AN69" s="6" t="s">
        <v>28</v>
      </c>
      <c r="AO69" s="6" t="s">
        <v>253</v>
      </c>
      <c r="AP69" s="6" t="s">
        <v>26</v>
      </c>
      <c r="AQ69" s="6" t="s">
        <v>26</v>
      </c>
    </row>
    <row r="70" spans="1:43" x14ac:dyDescent="0.25">
      <c r="A70" s="6">
        <v>22649882</v>
      </c>
      <c r="B70" s="6">
        <v>23459478</v>
      </c>
      <c r="C70" s="6" t="s">
        <v>404</v>
      </c>
      <c r="D70" s="14">
        <v>45868.408854166657</v>
      </c>
      <c r="E70" s="14">
        <v>45874.854409722233</v>
      </c>
      <c r="F70" s="6" t="s">
        <v>21</v>
      </c>
      <c r="G70" s="6" t="s">
        <v>25</v>
      </c>
      <c r="H70" s="6" t="s">
        <v>280</v>
      </c>
      <c r="I70" s="6" t="s">
        <v>16</v>
      </c>
      <c r="J70" s="6" t="s">
        <v>405</v>
      </c>
      <c r="K70" s="6" t="s">
        <v>282</v>
      </c>
      <c r="L70" s="6" t="s">
        <v>282</v>
      </c>
      <c r="M70" s="14">
        <v>45867</v>
      </c>
      <c r="N70" s="6">
        <v>4801518571</v>
      </c>
      <c r="O70" s="6" t="s">
        <v>92</v>
      </c>
      <c r="P70" s="6" t="s">
        <v>245</v>
      </c>
      <c r="Q70" s="6" t="s">
        <v>246</v>
      </c>
      <c r="R70" s="6" t="s">
        <v>247</v>
      </c>
      <c r="S70" s="6" t="s">
        <v>7</v>
      </c>
      <c r="T70" s="6" t="s">
        <v>248</v>
      </c>
      <c r="U70" s="6" t="s">
        <v>116</v>
      </c>
      <c r="V70" s="6" t="s">
        <v>283</v>
      </c>
      <c r="W70" s="6" t="s">
        <v>284</v>
      </c>
      <c r="X70" s="6" t="s">
        <v>285</v>
      </c>
      <c r="Y70" s="6">
        <v>2243398497</v>
      </c>
      <c r="Z70" s="6" t="s">
        <v>26</v>
      </c>
      <c r="AA70" s="6">
        <v>167526</v>
      </c>
      <c r="AB70" s="6">
        <v>683.05</v>
      </c>
      <c r="AC70" s="6">
        <v>31.44</v>
      </c>
      <c r="AD70" s="6">
        <v>0</v>
      </c>
      <c r="AE70" s="6">
        <v>68.25</v>
      </c>
      <c r="AF70" s="6">
        <v>0</v>
      </c>
      <c r="AG70" s="6">
        <v>0</v>
      </c>
      <c r="AH70" s="6">
        <v>86.1</v>
      </c>
      <c r="AI70" s="6" t="s">
        <v>286</v>
      </c>
      <c r="AJ70" s="6" t="s">
        <v>287</v>
      </c>
      <c r="AK70" s="6" t="s">
        <v>16</v>
      </c>
      <c r="AL70" s="6" t="s">
        <v>57</v>
      </c>
      <c r="AM70" s="6" t="s">
        <v>288</v>
      </c>
      <c r="AN70" s="6" t="s">
        <v>28</v>
      </c>
      <c r="AO70" s="6" t="s">
        <v>253</v>
      </c>
      <c r="AP70" s="6" t="s">
        <v>26</v>
      </c>
      <c r="AQ70" s="6" t="s">
        <v>26</v>
      </c>
    </row>
    <row r="71" spans="1:43" x14ac:dyDescent="0.25">
      <c r="A71" s="6">
        <v>22679559</v>
      </c>
      <c r="B71" s="6">
        <v>23484064</v>
      </c>
      <c r="C71" s="6" t="s">
        <v>241</v>
      </c>
      <c r="D71" s="14">
        <v>45873.659004629633</v>
      </c>
      <c r="E71" s="14">
        <v>45874.641712962963</v>
      </c>
      <c r="F71" s="6" t="s">
        <v>21</v>
      </c>
      <c r="G71" s="6" t="s">
        <v>21</v>
      </c>
      <c r="H71" s="6" t="s">
        <v>406</v>
      </c>
      <c r="I71" s="6" t="s">
        <v>16</v>
      </c>
      <c r="J71" s="6" t="s">
        <v>407</v>
      </c>
      <c r="K71" s="6" t="s">
        <v>408</v>
      </c>
      <c r="L71" s="6" t="s">
        <v>408</v>
      </c>
      <c r="M71" s="14">
        <v>45873.658333333333</v>
      </c>
      <c r="N71" s="6" t="s">
        <v>92</v>
      </c>
      <c r="O71" s="6" t="s">
        <v>92</v>
      </c>
      <c r="P71" s="6" t="s">
        <v>245</v>
      </c>
      <c r="Q71" s="6" t="s">
        <v>246</v>
      </c>
      <c r="R71" s="6" t="s">
        <v>247</v>
      </c>
      <c r="S71" s="6" t="s">
        <v>7</v>
      </c>
      <c r="T71" s="6" t="s">
        <v>248</v>
      </c>
      <c r="U71" s="6" t="s">
        <v>171</v>
      </c>
      <c r="V71" s="6" t="s">
        <v>409</v>
      </c>
      <c r="W71" s="6" t="s">
        <v>92</v>
      </c>
      <c r="X71" s="6" t="s">
        <v>410</v>
      </c>
      <c r="Y71" s="6">
        <v>2971556787</v>
      </c>
      <c r="Z71" s="6" t="s">
        <v>26</v>
      </c>
      <c r="AA71" s="6" t="s">
        <v>411</v>
      </c>
      <c r="AB71" s="6">
        <v>6420.23</v>
      </c>
      <c r="AC71" s="6">
        <v>464.43</v>
      </c>
      <c r="AD71" s="6">
        <v>0</v>
      </c>
      <c r="AE71" s="6">
        <v>0</v>
      </c>
      <c r="AF71" s="6">
        <v>0</v>
      </c>
      <c r="AG71" s="6">
        <v>0</v>
      </c>
      <c r="AH71" s="6">
        <v>655.21</v>
      </c>
      <c r="AI71" s="6" t="s">
        <v>92</v>
      </c>
      <c r="AJ71" s="6" t="s">
        <v>412</v>
      </c>
      <c r="AK71" s="6" t="s">
        <v>16</v>
      </c>
      <c r="AL71" s="6" t="s">
        <v>57</v>
      </c>
      <c r="AM71" s="6" t="s">
        <v>288</v>
      </c>
      <c r="AN71" s="6" t="s">
        <v>28</v>
      </c>
      <c r="AO71" s="6" t="s">
        <v>253</v>
      </c>
      <c r="AP71" s="6" t="s">
        <v>26</v>
      </c>
      <c r="AQ71" s="6" t="s">
        <v>26</v>
      </c>
    </row>
    <row r="72" spans="1:43" x14ac:dyDescent="0.25">
      <c r="A72" s="6">
        <v>22679559</v>
      </c>
      <c r="B72" s="6">
        <v>23484078</v>
      </c>
      <c r="C72" s="6" t="s">
        <v>255</v>
      </c>
      <c r="D72" s="14">
        <v>45873.659004629633</v>
      </c>
      <c r="E72" s="14">
        <v>45874.641712962963</v>
      </c>
      <c r="F72" s="6" t="s">
        <v>21</v>
      </c>
      <c r="G72" s="6" t="s">
        <v>21</v>
      </c>
      <c r="H72" s="6" t="s">
        <v>406</v>
      </c>
      <c r="I72" s="6" t="s">
        <v>16</v>
      </c>
      <c r="J72" s="6" t="s">
        <v>413</v>
      </c>
      <c r="K72" s="6" t="s">
        <v>408</v>
      </c>
      <c r="L72" s="6" t="s">
        <v>408</v>
      </c>
      <c r="M72" s="14">
        <v>45873.658333333333</v>
      </c>
      <c r="N72" s="6" t="s">
        <v>92</v>
      </c>
      <c r="O72" s="6" t="s">
        <v>92</v>
      </c>
      <c r="P72" s="6" t="s">
        <v>245</v>
      </c>
      <c r="Q72" s="6" t="s">
        <v>246</v>
      </c>
      <c r="R72" s="6" t="s">
        <v>247</v>
      </c>
      <c r="S72" s="6" t="s">
        <v>7</v>
      </c>
      <c r="T72" s="6" t="s">
        <v>248</v>
      </c>
      <c r="U72" s="6" t="s">
        <v>171</v>
      </c>
      <c r="V72" s="6" t="s">
        <v>409</v>
      </c>
      <c r="W72" s="6" t="s">
        <v>92</v>
      </c>
      <c r="X72" s="6" t="s">
        <v>410</v>
      </c>
      <c r="Y72" s="6">
        <v>2971556785</v>
      </c>
      <c r="Z72" s="6" t="s">
        <v>26</v>
      </c>
      <c r="AA72" s="6" t="s">
        <v>411</v>
      </c>
      <c r="AB72" s="6">
        <v>6420.23</v>
      </c>
      <c r="AC72" s="6">
        <v>464.43</v>
      </c>
      <c r="AD72" s="6">
        <v>0</v>
      </c>
      <c r="AE72" s="6">
        <v>0</v>
      </c>
      <c r="AF72" s="6">
        <v>0</v>
      </c>
      <c r="AG72" s="6">
        <v>0</v>
      </c>
      <c r="AH72" s="6">
        <v>655.21</v>
      </c>
      <c r="AI72" s="6" t="s">
        <v>92</v>
      </c>
      <c r="AJ72" s="6" t="s">
        <v>412</v>
      </c>
      <c r="AK72" s="6" t="s">
        <v>16</v>
      </c>
      <c r="AL72" s="6" t="s">
        <v>57</v>
      </c>
      <c r="AM72" s="6" t="s">
        <v>288</v>
      </c>
      <c r="AN72" s="6" t="s">
        <v>28</v>
      </c>
      <c r="AO72" s="6" t="s">
        <v>253</v>
      </c>
      <c r="AP72" s="6" t="s">
        <v>26</v>
      </c>
      <c r="AQ72" s="6" t="s">
        <v>26</v>
      </c>
    </row>
    <row r="73" spans="1:43" x14ac:dyDescent="0.25">
      <c r="A73" s="6">
        <v>22701701</v>
      </c>
      <c r="B73" s="6">
        <v>23503867</v>
      </c>
      <c r="C73" s="6" t="s">
        <v>414</v>
      </c>
      <c r="D73" s="14">
        <v>45876.65152777778</v>
      </c>
      <c r="E73" s="14">
        <v>45876.656828703701</v>
      </c>
      <c r="F73" s="6" t="s">
        <v>19</v>
      </c>
      <c r="G73" s="6" t="s">
        <v>19</v>
      </c>
      <c r="H73" s="6" t="s">
        <v>415</v>
      </c>
      <c r="I73" s="6" t="s">
        <v>16</v>
      </c>
      <c r="J73" s="6" t="s">
        <v>416</v>
      </c>
      <c r="K73" s="6" t="s">
        <v>417</v>
      </c>
      <c r="L73" s="6" t="s">
        <v>417</v>
      </c>
      <c r="M73" s="14">
        <v>45875.651388888888</v>
      </c>
      <c r="N73" s="6" t="s">
        <v>92</v>
      </c>
      <c r="O73" s="6" t="s">
        <v>92</v>
      </c>
      <c r="P73" s="6" t="s">
        <v>245</v>
      </c>
      <c r="Q73" s="6" t="s">
        <v>246</v>
      </c>
      <c r="R73" s="6" t="s">
        <v>418</v>
      </c>
      <c r="S73" s="6" t="s">
        <v>7</v>
      </c>
      <c r="T73" s="6" t="s">
        <v>248</v>
      </c>
      <c r="U73" s="6" t="s">
        <v>152</v>
      </c>
      <c r="V73" s="6" t="s">
        <v>419</v>
      </c>
      <c r="W73" s="6" t="s">
        <v>92</v>
      </c>
      <c r="X73" s="6" t="s">
        <v>420</v>
      </c>
      <c r="Y73" s="6">
        <v>3023503866</v>
      </c>
      <c r="Z73" s="6" t="s">
        <v>18</v>
      </c>
      <c r="AA73" s="6" t="s">
        <v>92</v>
      </c>
      <c r="AB73" s="6">
        <v>708.9</v>
      </c>
      <c r="AC73" s="6">
        <v>46.36</v>
      </c>
      <c r="AD73" s="6">
        <v>0</v>
      </c>
      <c r="AE73" s="6">
        <v>0</v>
      </c>
      <c r="AF73" s="6">
        <v>0</v>
      </c>
      <c r="AG73" s="6">
        <v>0</v>
      </c>
      <c r="AH73" s="6">
        <v>56.71</v>
      </c>
      <c r="AI73" s="6" t="s">
        <v>92</v>
      </c>
      <c r="AJ73" s="6" t="s">
        <v>421</v>
      </c>
      <c r="AK73" s="6" t="s">
        <v>18</v>
      </c>
      <c r="AL73" s="6" t="s">
        <v>67</v>
      </c>
      <c r="AM73" s="6" t="s">
        <v>422</v>
      </c>
      <c r="AN73" s="6" t="s">
        <v>35</v>
      </c>
      <c r="AO73" s="6" t="s">
        <v>253</v>
      </c>
      <c r="AP73" s="6" t="s">
        <v>423</v>
      </c>
      <c r="AQ73" s="6" t="s">
        <v>49</v>
      </c>
    </row>
    <row r="74" spans="1:43" hidden="1" x14ac:dyDescent="0.25">
      <c r="A74" s="6">
        <v>22701543</v>
      </c>
      <c r="B74" s="6">
        <v>23503696</v>
      </c>
      <c r="C74" s="6" t="s">
        <v>241</v>
      </c>
      <c r="D74" s="14">
        <v>45876.629317129627</v>
      </c>
      <c r="E74" s="14">
        <v>45876.646412037036</v>
      </c>
      <c r="F74" s="6" t="s">
        <v>19</v>
      </c>
      <c r="G74" s="6" t="s">
        <v>19</v>
      </c>
      <c r="H74" s="6" t="s">
        <v>424</v>
      </c>
      <c r="I74" s="6" t="s">
        <v>425</v>
      </c>
      <c r="J74" s="6" t="s">
        <v>426</v>
      </c>
      <c r="K74" s="6" t="s">
        <v>427</v>
      </c>
      <c r="L74" s="6" t="s">
        <v>427</v>
      </c>
      <c r="M74" s="14">
        <v>45876.628472222219</v>
      </c>
      <c r="N74" s="6">
        <v>6800303</v>
      </c>
      <c r="O74" s="6" t="s">
        <v>92</v>
      </c>
      <c r="P74" s="6" t="s">
        <v>245</v>
      </c>
      <c r="Q74" s="6" t="s">
        <v>428</v>
      </c>
      <c r="R74" s="6" t="s">
        <v>428</v>
      </c>
      <c r="S74" s="6" t="s">
        <v>7</v>
      </c>
      <c r="T74" s="6" t="s">
        <v>248</v>
      </c>
      <c r="U74" s="6" t="s">
        <v>152</v>
      </c>
      <c r="V74" s="6" t="s">
        <v>429</v>
      </c>
      <c r="W74" s="6" t="s">
        <v>92</v>
      </c>
      <c r="X74" s="6" t="s">
        <v>420</v>
      </c>
      <c r="Y74" s="6">
        <v>6359382136</v>
      </c>
      <c r="Z74" s="6" t="s">
        <v>18</v>
      </c>
      <c r="AA74" s="6" t="s">
        <v>92</v>
      </c>
      <c r="AB74" s="6">
        <v>1249.3699999999999</v>
      </c>
      <c r="AC74" s="6">
        <v>106.98</v>
      </c>
      <c r="AD74" s="6">
        <v>0</v>
      </c>
      <c r="AE74" s="6">
        <v>0</v>
      </c>
      <c r="AF74" s="6">
        <v>0</v>
      </c>
      <c r="AG74" s="6">
        <v>0</v>
      </c>
      <c r="AH74" s="6">
        <v>224.88</v>
      </c>
      <c r="AI74" s="6" t="s">
        <v>92</v>
      </c>
      <c r="AJ74" s="6" t="s">
        <v>430</v>
      </c>
      <c r="AK74" s="6" t="s">
        <v>18</v>
      </c>
      <c r="AL74" s="6" t="s">
        <v>58</v>
      </c>
      <c r="AM74" s="6" t="s">
        <v>431</v>
      </c>
      <c r="AN74" s="6" t="s">
        <v>33</v>
      </c>
      <c r="AO74" s="6" t="s">
        <v>253</v>
      </c>
      <c r="AP74" s="6" t="s">
        <v>423</v>
      </c>
      <c r="AQ74" s="6" t="s">
        <v>49</v>
      </c>
    </row>
    <row r="75" spans="1:43" hidden="1" x14ac:dyDescent="0.25">
      <c r="A75" s="6">
        <v>22701543</v>
      </c>
      <c r="B75" s="6">
        <v>23503698</v>
      </c>
      <c r="C75" s="6" t="s">
        <v>255</v>
      </c>
      <c r="D75" s="14">
        <v>45876.629317129627</v>
      </c>
      <c r="E75" s="14">
        <v>45876.646412037036</v>
      </c>
      <c r="F75" s="6" t="s">
        <v>19</v>
      </c>
      <c r="G75" s="6" t="s">
        <v>19</v>
      </c>
      <c r="H75" s="6" t="s">
        <v>424</v>
      </c>
      <c r="I75" s="6" t="s">
        <v>425</v>
      </c>
      <c r="J75" s="6" t="s">
        <v>432</v>
      </c>
      <c r="K75" s="6" t="s">
        <v>427</v>
      </c>
      <c r="L75" s="6" t="s">
        <v>427</v>
      </c>
      <c r="M75" s="14">
        <v>45876.628472222219</v>
      </c>
      <c r="N75" s="6">
        <v>6800303</v>
      </c>
      <c r="O75" s="6" t="s">
        <v>92</v>
      </c>
      <c r="P75" s="6" t="s">
        <v>245</v>
      </c>
      <c r="Q75" s="6" t="s">
        <v>428</v>
      </c>
      <c r="R75" s="6" t="s">
        <v>428</v>
      </c>
      <c r="S75" s="6" t="s">
        <v>7</v>
      </c>
      <c r="T75" s="6" t="s">
        <v>248</v>
      </c>
      <c r="U75" s="6" t="s">
        <v>152</v>
      </c>
      <c r="V75" s="6" t="s">
        <v>429</v>
      </c>
      <c r="W75" s="6" t="s">
        <v>92</v>
      </c>
      <c r="X75" s="6" t="s">
        <v>420</v>
      </c>
      <c r="Y75" s="6">
        <v>5083348355</v>
      </c>
      <c r="Z75" s="6" t="s">
        <v>18</v>
      </c>
      <c r="AA75" s="6" t="s">
        <v>92</v>
      </c>
      <c r="AB75" s="6">
        <v>1249.3699999999999</v>
      </c>
      <c r="AC75" s="6">
        <v>106.98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92</v>
      </c>
      <c r="AJ75" s="6" t="s">
        <v>430</v>
      </c>
      <c r="AK75" s="6" t="s">
        <v>18</v>
      </c>
      <c r="AL75" s="6" t="s">
        <v>58</v>
      </c>
      <c r="AM75" s="6" t="s">
        <v>431</v>
      </c>
      <c r="AN75" s="6" t="s">
        <v>33</v>
      </c>
      <c r="AO75" s="6" t="s">
        <v>253</v>
      </c>
      <c r="AP75" s="6" t="s">
        <v>423</v>
      </c>
      <c r="AQ75" s="6" t="s">
        <v>49</v>
      </c>
    </row>
    <row r="76" spans="1:43" hidden="1" x14ac:dyDescent="0.25">
      <c r="A76" s="6">
        <v>22705296</v>
      </c>
      <c r="B76" s="6">
        <v>23507214</v>
      </c>
      <c r="C76" s="6" t="s">
        <v>241</v>
      </c>
      <c r="D76" s="14">
        <v>45877.042557870373</v>
      </c>
      <c r="E76" s="14">
        <v>45877.045370370368</v>
      </c>
      <c r="F76" s="6" t="s">
        <v>19</v>
      </c>
      <c r="G76" s="6" t="s">
        <v>19</v>
      </c>
      <c r="H76" s="6" t="s">
        <v>433</v>
      </c>
      <c r="I76" s="6" t="s">
        <v>425</v>
      </c>
      <c r="J76" s="6" t="s">
        <v>434</v>
      </c>
      <c r="K76" s="6" t="s">
        <v>427</v>
      </c>
      <c r="L76" s="6" t="s">
        <v>427</v>
      </c>
      <c r="M76" s="14">
        <v>45877.040972222218</v>
      </c>
      <c r="N76" s="6">
        <v>6802172</v>
      </c>
      <c r="O76" s="6" t="s">
        <v>92</v>
      </c>
      <c r="P76" s="6" t="s">
        <v>245</v>
      </c>
      <c r="Q76" s="6" t="s">
        <v>428</v>
      </c>
      <c r="R76" s="6" t="s">
        <v>428</v>
      </c>
      <c r="S76" s="6" t="s">
        <v>7</v>
      </c>
      <c r="T76" s="6" t="s">
        <v>248</v>
      </c>
      <c r="U76" s="6" t="s">
        <v>152</v>
      </c>
      <c r="V76" s="6" t="s">
        <v>435</v>
      </c>
      <c r="W76" s="6" t="s">
        <v>92</v>
      </c>
      <c r="X76" s="6" t="s">
        <v>420</v>
      </c>
      <c r="Y76" s="6">
        <v>8282448174</v>
      </c>
      <c r="Z76" s="6" t="s">
        <v>18</v>
      </c>
      <c r="AA76" s="6" t="s">
        <v>92</v>
      </c>
      <c r="AB76" s="6">
        <v>361.68</v>
      </c>
      <c r="AC76" s="6">
        <v>54.45</v>
      </c>
      <c r="AD76" s="6">
        <v>0</v>
      </c>
      <c r="AE76" s="6">
        <v>0</v>
      </c>
      <c r="AF76" s="6">
        <v>0</v>
      </c>
      <c r="AG76" s="6">
        <v>0</v>
      </c>
      <c r="AH76" s="6">
        <v>32.549999999999997</v>
      </c>
      <c r="AI76" s="6" t="s">
        <v>92</v>
      </c>
      <c r="AJ76" s="6" t="s">
        <v>436</v>
      </c>
      <c r="AK76" s="6" t="s">
        <v>18</v>
      </c>
      <c r="AL76" s="6" t="s">
        <v>60</v>
      </c>
      <c r="AM76" s="6" t="s">
        <v>437</v>
      </c>
      <c r="AN76" s="6" t="s">
        <v>28</v>
      </c>
      <c r="AO76" s="6" t="s">
        <v>253</v>
      </c>
      <c r="AP76" s="6" t="s">
        <v>423</v>
      </c>
      <c r="AQ76" s="6" t="s">
        <v>49</v>
      </c>
    </row>
    <row r="77" spans="1:43" x14ac:dyDescent="0.25">
      <c r="A77" s="6">
        <v>22462516</v>
      </c>
      <c r="B77" s="6">
        <v>23302108</v>
      </c>
      <c r="C77" s="6" t="s">
        <v>241</v>
      </c>
      <c r="D77" s="14">
        <v>45834.851944444446</v>
      </c>
      <c r="E77" s="14">
        <v>45868.482534722221</v>
      </c>
      <c r="F77" s="6" t="s">
        <v>25</v>
      </c>
      <c r="G77" s="6" t="s">
        <v>30</v>
      </c>
      <c r="H77" s="6" t="s">
        <v>438</v>
      </c>
      <c r="I77" s="6" t="s">
        <v>16</v>
      </c>
      <c r="J77" s="6" t="s">
        <v>439</v>
      </c>
      <c r="K77" s="6" t="s">
        <v>440</v>
      </c>
      <c r="L77" s="6" t="s">
        <v>440</v>
      </c>
      <c r="M77" s="14">
        <v>45834.851388888892</v>
      </c>
      <c r="N77" s="6" t="s">
        <v>441</v>
      </c>
      <c r="O77" s="6" t="s">
        <v>92</v>
      </c>
      <c r="P77" s="6" t="s">
        <v>245</v>
      </c>
      <c r="Q77" s="6" t="s">
        <v>428</v>
      </c>
      <c r="R77" s="6" t="s">
        <v>428</v>
      </c>
      <c r="S77" s="6" t="s">
        <v>9</v>
      </c>
      <c r="T77" s="6" t="s">
        <v>248</v>
      </c>
      <c r="U77" s="6" t="s">
        <v>130</v>
      </c>
      <c r="V77" s="6" t="s">
        <v>442</v>
      </c>
      <c r="W77" s="6" t="s">
        <v>92</v>
      </c>
      <c r="X77" s="6" t="s">
        <v>443</v>
      </c>
      <c r="Y77" s="6" t="s">
        <v>92</v>
      </c>
      <c r="Z77" s="6" t="s">
        <v>117</v>
      </c>
      <c r="AA77" s="6" t="s">
        <v>92</v>
      </c>
      <c r="AB77" s="6">
        <v>250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>
        <v>0</v>
      </c>
      <c r="AI77" s="6" t="s">
        <v>444</v>
      </c>
      <c r="AJ77" s="6" t="s">
        <v>251</v>
      </c>
      <c r="AK77" s="6" t="s">
        <v>16</v>
      </c>
      <c r="AL77" s="6" t="s">
        <v>59</v>
      </c>
      <c r="AM77" s="6" t="s">
        <v>252</v>
      </c>
      <c r="AN77" s="6" t="s">
        <v>22</v>
      </c>
      <c r="AO77" s="6" t="s">
        <v>253</v>
      </c>
      <c r="AP77" s="6" t="s">
        <v>254</v>
      </c>
      <c r="AQ77" s="6" t="s">
        <v>45</v>
      </c>
    </row>
    <row r="78" spans="1:43" x14ac:dyDescent="0.25">
      <c r="A78" s="6">
        <v>22689919</v>
      </c>
      <c r="B78" s="6">
        <v>23493494</v>
      </c>
      <c r="C78" s="6" t="s">
        <v>241</v>
      </c>
      <c r="D78" s="14">
        <v>45874.943449074082</v>
      </c>
      <c r="E78" s="14">
        <v>45874.951585648138</v>
      </c>
      <c r="F78" s="6" t="s">
        <v>21</v>
      </c>
      <c r="G78" s="6" t="s">
        <v>21</v>
      </c>
      <c r="H78" s="6" t="s">
        <v>445</v>
      </c>
      <c r="I78" s="6" t="s">
        <v>16</v>
      </c>
      <c r="J78" s="6" t="s">
        <v>446</v>
      </c>
      <c r="K78" s="6" t="s">
        <v>447</v>
      </c>
      <c r="L78" s="6" t="s">
        <v>447</v>
      </c>
      <c r="M78" s="14">
        <v>45874.943055555559</v>
      </c>
      <c r="N78" s="6" t="s">
        <v>92</v>
      </c>
      <c r="O78" s="6" t="s">
        <v>92</v>
      </c>
      <c r="P78" s="6" t="s">
        <v>245</v>
      </c>
      <c r="Q78" s="6" t="s">
        <v>428</v>
      </c>
      <c r="R78" s="6" t="s">
        <v>428</v>
      </c>
      <c r="S78" s="6" t="s">
        <v>9</v>
      </c>
      <c r="T78" s="6" t="s">
        <v>248</v>
      </c>
      <c r="U78" s="6" t="s">
        <v>130</v>
      </c>
      <c r="V78" s="6" t="s">
        <v>442</v>
      </c>
      <c r="W78" s="6" t="s">
        <v>92</v>
      </c>
      <c r="X78" s="6" t="s">
        <v>448</v>
      </c>
      <c r="Y78" s="6" t="s">
        <v>92</v>
      </c>
      <c r="Z78" s="6" t="s">
        <v>117</v>
      </c>
      <c r="AA78" s="6" t="s">
        <v>92</v>
      </c>
      <c r="AB78" s="6">
        <v>445.2</v>
      </c>
      <c r="AC78" s="6">
        <v>445.2</v>
      </c>
      <c r="AD78" s="6">
        <v>0</v>
      </c>
      <c r="AE78" s="6">
        <v>0</v>
      </c>
      <c r="AF78" s="6">
        <v>0</v>
      </c>
      <c r="AG78" s="6">
        <v>0</v>
      </c>
      <c r="AH78" s="6">
        <v>0</v>
      </c>
      <c r="AI78" s="6" t="s">
        <v>92</v>
      </c>
      <c r="AJ78" s="6" t="s">
        <v>251</v>
      </c>
      <c r="AK78" s="6" t="s">
        <v>16</v>
      </c>
      <c r="AL78" s="6" t="s">
        <v>59</v>
      </c>
      <c r="AM78" s="6" t="s">
        <v>252</v>
      </c>
      <c r="AN78" s="6" t="s">
        <v>22</v>
      </c>
      <c r="AO78" s="6" t="s">
        <v>253</v>
      </c>
      <c r="AP78" s="6" t="s">
        <v>254</v>
      </c>
      <c r="AQ78" s="6" t="s">
        <v>45</v>
      </c>
    </row>
    <row r="79" spans="1:43" x14ac:dyDescent="0.25">
      <c r="A79" s="6">
        <v>22684720</v>
      </c>
      <c r="B79" s="6">
        <v>23488563</v>
      </c>
      <c r="C79" s="6" t="s">
        <v>241</v>
      </c>
      <c r="D79" s="14">
        <v>45874.418043981481</v>
      </c>
      <c r="E79" s="14">
        <v>45874.431701388887</v>
      </c>
      <c r="F79" s="6" t="s">
        <v>21</v>
      </c>
      <c r="G79" s="6" t="s">
        <v>21</v>
      </c>
      <c r="H79" s="6" t="s">
        <v>449</v>
      </c>
      <c r="I79" s="6" t="s">
        <v>17</v>
      </c>
      <c r="J79" s="6" t="s">
        <v>450</v>
      </c>
      <c r="K79" s="6" t="s">
        <v>451</v>
      </c>
      <c r="L79" s="6" t="s">
        <v>451</v>
      </c>
      <c r="M79" s="14">
        <v>45873.550694444442</v>
      </c>
      <c r="N79" s="6" t="s">
        <v>452</v>
      </c>
      <c r="O79" s="6" t="s">
        <v>92</v>
      </c>
      <c r="P79" s="6" t="s">
        <v>453</v>
      </c>
      <c r="Q79" s="6" t="s">
        <v>428</v>
      </c>
      <c r="R79" s="6" t="s">
        <v>428</v>
      </c>
      <c r="S79" s="6" t="s">
        <v>7</v>
      </c>
      <c r="T79" s="6" t="s">
        <v>248</v>
      </c>
      <c r="U79" s="6" t="s">
        <v>173</v>
      </c>
      <c r="V79" s="6" t="s">
        <v>454</v>
      </c>
      <c r="W79" s="6" t="s">
        <v>92</v>
      </c>
      <c r="X79" s="6" t="s">
        <v>455</v>
      </c>
      <c r="Y79" s="6">
        <v>2142678674</v>
      </c>
      <c r="Z79" s="6" t="s">
        <v>83</v>
      </c>
      <c r="AA79" s="6" t="s">
        <v>92</v>
      </c>
      <c r="AB79" s="6">
        <v>1302.01</v>
      </c>
      <c r="AC79" s="6">
        <v>85.3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 t="s">
        <v>456</v>
      </c>
      <c r="AJ79" s="6" t="s">
        <v>457</v>
      </c>
      <c r="AK79" s="6" t="s">
        <v>17</v>
      </c>
      <c r="AL79" s="6" t="s">
        <v>61</v>
      </c>
      <c r="AM79" s="6" t="s">
        <v>67</v>
      </c>
      <c r="AN79" s="6" t="s">
        <v>22</v>
      </c>
      <c r="AO79" s="6" t="s">
        <v>253</v>
      </c>
      <c r="AP79" s="6" t="s">
        <v>254</v>
      </c>
      <c r="AQ79" s="6" t="s">
        <v>20</v>
      </c>
    </row>
    <row r="80" spans="1:43" x14ac:dyDescent="0.25">
      <c r="A80" s="6">
        <v>22667864</v>
      </c>
      <c r="B80" s="6">
        <v>23475643</v>
      </c>
      <c r="C80" s="6" t="s">
        <v>241</v>
      </c>
      <c r="D80" s="14">
        <v>45870.823807870373</v>
      </c>
      <c r="E80" s="14">
        <v>45874.316886574074</v>
      </c>
      <c r="F80" s="6" t="s">
        <v>21</v>
      </c>
      <c r="G80" s="6" t="s">
        <v>23</v>
      </c>
      <c r="H80" s="6" t="s">
        <v>458</v>
      </c>
      <c r="I80" s="6" t="s">
        <v>17</v>
      </c>
      <c r="J80" s="6" t="s">
        <v>459</v>
      </c>
      <c r="K80" s="6" t="s">
        <v>451</v>
      </c>
      <c r="L80" s="6" t="s">
        <v>451</v>
      </c>
      <c r="M80" s="14">
        <v>45870.558333333327</v>
      </c>
      <c r="N80" s="6" t="s">
        <v>460</v>
      </c>
      <c r="O80" s="6" t="s">
        <v>92</v>
      </c>
      <c r="P80" s="6" t="s">
        <v>453</v>
      </c>
      <c r="Q80" s="6" t="s">
        <v>428</v>
      </c>
      <c r="R80" s="6" t="s">
        <v>428</v>
      </c>
      <c r="S80" s="6" t="s">
        <v>9</v>
      </c>
      <c r="T80" s="6" t="s">
        <v>248</v>
      </c>
      <c r="U80" s="6" t="s">
        <v>173</v>
      </c>
      <c r="V80" s="6" t="s">
        <v>454</v>
      </c>
      <c r="W80" s="6" t="s">
        <v>92</v>
      </c>
      <c r="X80" s="6" t="s">
        <v>461</v>
      </c>
      <c r="Y80" s="6" t="s">
        <v>92</v>
      </c>
      <c r="Z80" s="6" t="s">
        <v>83</v>
      </c>
      <c r="AA80" s="6" t="s">
        <v>92</v>
      </c>
      <c r="AB80" s="6">
        <v>540.54999999999995</v>
      </c>
      <c r="AC80" s="6">
        <v>27.03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456</v>
      </c>
      <c r="AJ80" s="6" t="s">
        <v>462</v>
      </c>
      <c r="AK80" s="6" t="s">
        <v>17</v>
      </c>
      <c r="AL80" s="6" t="s">
        <v>69</v>
      </c>
      <c r="AM80" s="6" t="s">
        <v>67</v>
      </c>
      <c r="AN80" s="6" t="s">
        <v>22</v>
      </c>
      <c r="AO80" s="6" t="s">
        <v>253</v>
      </c>
      <c r="AP80" s="6" t="s">
        <v>254</v>
      </c>
      <c r="AQ80" s="6" t="s">
        <v>20</v>
      </c>
    </row>
    <row r="81" spans="1:43" x14ac:dyDescent="0.25">
      <c r="A81" s="6">
        <v>22692217</v>
      </c>
      <c r="B81" s="6">
        <v>23495214</v>
      </c>
      <c r="C81" s="6" t="s">
        <v>241</v>
      </c>
      <c r="D81" s="14">
        <v>45875.428240740737</v>
      </c>
      <c r="E81" s="14">
        <v>45875.429965277777</v>
      </c>
      <c r="F81" s="6" t="s">
        <v>19</v>
      </c>
      <c r="G81" s="6" t="s">
        <v>19</v>
      </c>
      <c r="H81" s="6" t="s">
        <v>463</v>
      </c>
      <c r="I81" s="6" t="s">
        <v>17</v>
      </c>
      <c r="J81" s="6" t="s">
        <v>464</v>
      </c>
      <c r="K81" s="6" t="s">
        <v>451</v>
      </c>
      <c r="L81" s="6" t="s">
        <v>451</v>
      </c>
      <c r="M81" s="14">
        <v>45874.852777777778</v>
      </c>
      <c r="N81" s="6" t="s">
        <v>465</v>
      </c>
      <c r="O81" s="6" t="s">
        <v>92</v>
      </c>
      <c r="P81" s="6" t="s">
        <v>453</v>
      </c>
      <c r="Q81" s="6" t="s">
        <v>428</v>
      </c>
      <c r="R81" s="6" t="s">
        <v>428</v>
      </c>
      <c r="S81" s="6" t="s">
        <v>7</v>
      </c>
      <c r="T81" s="6" t="s">
        <v>248</v>
      </c>
      <c r="U81" s="6" t="s">
        <v>175</v>
      </c>
      <c r="V81" s="6" t="s">
        <v>466</v>
      </c>
      <c r="W81" s="6" t="s">
        <v>92</v>
      </c>
      <c r="X81" s="6" t="s">
        <v>455</v>
      </c>
      <c r="Y81" s="6">
        <v>2142779681</v>
      </c>
      <c r="Z81" s="6" t="s">
        <v>83</v>
      </c>
      <c r="AA81" s="6" t="s">
        <v>92</v>
      </c>
      <c r="AB81" s="6">
        <v>126.14</v>
      </c>
      <c r="AC81" s="6">
        <v>60.62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456</v>
      </c>
      <c r="AJ81" s="6" t="s">
        <v>467</v>
      </c>
      <c r="AK81" s="6" t="s">
        <v>17</v>
      </c>
      <c r="AL81" s="6" t="s">
        <v>70</v>
      </c>
      <c r="AM81" s="6" t="s">
        <v>67</v>
      </c>
      <c r="AN81" s="6" t="s">
        <v>22</v>
      </c>
      <c r="AO81" s="6" t="s">
        <v>253</v>
      </c>
      <c r="AP81" s="6" t="s">
        <v>254</v>
      </c>
      <c r="AQ81" s="6" t="s">
        <v>20</v>
      </c>
    </row>
    <row r="82" spans="1:43" x14ac:dyDescent="0.25">
      <c r="A82" s="6">
        <v>22699175</v>
      </c>
      <c r="B82" s="6">
        <v>23501462</v>
      </c>
      <c r="C82" s="6" t="s">
        <v>241</v>
      </c>
      <c r="D82" s="14">
        <v>45876.376273148147</v>
      </c>
      <c r="E82" s="14">
        <v>45876.381388888891</v>
      </c>
      <c r="F82" s="6" t="s">
        <v>19</v>
      </c>
      <c r="G82" s="6" t="s">
        <v>19</v>
      </c>
      <c r="H82" s="6" t="s">
        <v>468</v>
      </c>
      <c r="I82" s="6" t="s">
        <v>17</v>
      </c>
      <c r="J82" s="6" t="s">
        <v>469</v>
      </c>
      <c r="K82" s="6" t="s">
        <v>451</v>
      </c>
      <c r="L82" s="6" t="s">
        <v>451</v>
      </c>
      <c r="M82" s="14">
        <v>45876.263194444437</v>
      </c>
      <c r="N82" s="6" t="s">
        <v>470</v>
      </c>
      <c r="O82" s="6" t="s">
        <v>471</v>
      </c>
      <c r="P82" s="6" t="s">
        <v>453</v>
      </c>
      <c r="Q82" s="6" t="s">
        <v>246</v>
      </c>
      <c r="R82" s="6" t="s">
        <v>247</v>
      </c>
      <c r="S82" s="6" t="s">
        <v>8</v>
      </c>
      <c r="T82" s="6" t="s">
        <v>248</v>
      </c>
      <c r="U82" s="6" t="s">
        <v>183</v>
      </c>
      <c r="V82" s="6" t="s">
        <v>472</v>
      </c>
      <c r="W82" s="6" t="s">
        <v>92</v>
      </c>
      <c r="X82" s="6" t="s">
        <v>92</v>
      </c>
      <c r="Y82" s="6" t="s">
        <v>92</v>
      </c>
      <c r="Z82" s="6" t="s">
        <v>83</v>
      </c>
      <c r="AA82" s="6" t="s">
        <v>92</v>
      </c>
      <c r="AB82" s="6">
        <v>2891.49</v>
      </c>
      <c r="AC82" s="6">
        <v>1726.4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456</v>
      </c>
      <c r="AJ82" s="6" t="s">
        <v>473</v>
      </c>
      <c r="AK82" s="6" t="s">
        <v>17</v>
      </c>
      <c r="AL82" s="6" t="s">
        <v>61</v>
      </c>
      <c r="AM82" s="6" t="s">
        <v>67</v>
      </c>
      <c r="AN82" s="6" t="s">
        <v>22</v>
      </c>
      <c r="AO82" s="6" t="s">
        <v>253</v>
      </c>
      <c r="AP82" s="6" t="s">
        <v>254</v>
      </c>
      <c r="AQ82" s="6" t="s">
        <v>20</v>
      </c>
    </row>
    <row r="83" spans="1:43" x14ac:dyDescent="0.25">
      <c r="A83" s="6">
        <v>22693671</v>
      </c>
      <c r="B83" s="6">
        <v>23496581</v>
      </c>
      <c r="C83" s="6" t="s">
        <v>241</v>
      </c>
      <c r="D83" s="14">
        <v>45875.554942129631</v>
      </c>
      <c r="E83" s="14">
        <v>45875.56827546296</v>
      </c>
      <c r="F83" s="6" t="s">
        <v>19</v>
      </c>
      <c r="G83" s="6" t="s">
        <v>19</v>
      </c>
      <c r="H83" s="6" t="s">
        <v>474</v>
      </c>
      <c r="I83" s="6" t="s">
        <v>17</v>
      </c>
      <c r="J83" s="6" t="s">
        <v>475</v>
      </c>
      <c r="K83" s="6" t="s">
        <v>476</v>
      </c>
      <c r="L83" s="6" t="s">
        <v>451</v>
      </c>
      <c r="M83" s="14">
        <v>45869.65347222222</v>
      </c>
      <c r="N83" s="6" t="s">
        <v>474</v>
      </c>
      <c r="O83" s="6" t="s">
        <v>92</v>
      </c>
      <c r="P83" s="6" t="s">
        <v>453</v>
      </c>
      <c r="Q83" s="6" t="s">
        <v>428</v>
      </c>
      <c r="R83" s="6" t="s">
        <v>477</v>
      </c>
      <c r="S83" s="6" t="s">
        <v>7</v>
      </c>
      <c r="T83" s="6" t="s">
        <v>248</v>
      </c>
      <c r="U83" s="6" t="s">
        <v>144</v>
      </c>
      <c r="V83" s="6" t="s">
        <v>478</v>
      </c>
      <c r="W83" s="6" t="s">
        <v>92</v>
      </c>
      <c r="X83" s="6" t="s">
        <v>285</v>
      </c>
      <c r="Y83" s="6">
        <v>2971270833</v>
      </c>
      <c r="Z83" s="6" t="s">
        <v>83</v>
      </c>
      <c r="AA83" s="6" t="s">
        <v>92</v>
      </c>
      <c r="AB83" s="6">
        <v>2454.2800000000002</v>
      </c>
      <c r="AC83" s="6">
        <v>55.65</v>
      </c>
      <c r="AD83" s="6">
        <v>256.97000000000003</v>
      </c>
      <c r="AE83" s="6">
        <v>0</v>
      </c>
      <c r="AF83" s="6">
        <v>55.65</v>
      </c>
      <c r="AG83" s="6">
        <v>0</v>
      </c>
      <c r="AH83" s="6">
        <v>0</v>
      </c>
      <c r="AI83" s="6" t="s">
        <v>456</v>
      </c>
      <c r="AJ83" s="6" t="s">
        <v>479</v>
      </c>
      <c r="AK83" s="6" t="s">
        <v>17</v>
      </c>
      <c r="AL83" s="6" t="s">
        <v>57</v>
      </c>
      <c r="AM83" s="6" t="s">
        <v>288</v>
      </c>
      <c r="AN83" s="6" t="s">
        <v>28</v>
      </c>
      <c r="AO83" s="6" t="s">
        <v>253</v>
      </c>
      <c r="AP83" s="6" t="s">
        <v>480</v>
      </c>
      <c r="AQ83" s="6" t="s">
        <v>43</v>
      </c>
    </row>
    <row r="84" spans="1:43" x14ac:dyDescent="0.25">
      <c r="A84" s="6">
        <v>22693671</v>
      </c>
      <c r="B84" s="6">
        <v>23496582</v>
      </c>
      <c r="C84" s="6" t="s">
        <v>255</v>
      </c>
      <c r="D84" s="14">
        <v>45875.554942129631</v>
      </c>
      <c r="E84" s="14">
        <v>45875.56827546296</v>
      </c>
      <c r="F84" s="6" t="s">
        <v>19</v>
      </c>
      <c r="G84" s="6" t="s">
        <v>19</v>
      </c>
      <c r="H84" s="6" t="s">
        <v>474</v>
      </c>
      <c r="I84" s="6" t="s">
        <v>17</v>
      </c>
      <c r="J84" s="6" t="s">
        <v>475</v>
      </c>
      <c r="K84" s="6" t="s">
        <v>476</v>
      </c>
      <c r="L84" s="6" t="s">
        <v>451</v>
      </c>
      <c r="M84" s="14">
        <v>45869.65347222222</v>
      </c>
      <c r="N84" s="6" t="s">
        <v>474</v>
      </c>
      <c r="O84" s="6" t="s">
        <v>92</v>
      </c>
      <c r="P84" s="6" t="s">
        <v>453</v>
      </c>
      <c r="Q84" s="6" t="s">
        <v>428</v>
      </c>
      <c r="R84" s="6" t="s">
        <v>477</v>
      </c>
      <c r="S84" s="6" t="s">
        <v>7</v>
      </c>
      <c r="T84" s="6" t="s">
        <v>248</v>
      </c>
      <c r="U84" s="6" t="s">
        <v>144</v>
      </c>
      <c r="V84" s="6" t="s">
        <v>478</v>
      </c>
      <c r="W84" s="6" t="s">
        <v>92</v>
      </c>
      <c r="X84" s="6" t="s">
        <v>285</v>
      </c>
      <c r="Y84" s="6">
        <v>1918239181</v>
      </c>
      <c r="Z84" s="6" t="s">
        <v>83</v>
      </c>
      <c r="AA84" s="6" t="s">
        <v>92</v>
      </c>
      <c r="AB84" s="6">
        <v>220.45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456</v>
      </c>
      <c r="AJ84" s="6" t="s">
        <v>479</v>
      </c>
      <c r="AK84" s="6" t="s">
        <v>17</v>
      </c>
      <c r="AL84" s="6" t="s">
        <v>57</v>
      </c>
      <c r="AM84" s="6" t="s">
        <v>288</v>
      </c>
      <c r="AN84" s="6" t="s">
        <v>28</v>
      </c>
      <c r="AO84" s="6" t="s">
        <v>253</v>
      </c>
      <c r="AP84" s="6" t="s">
        <v>480</v>
      </c>
      <c r="AQ84" s="6" t="s">
        <v>43</v>
      </c>
    </row>
    <row r="85" spans="1:43" x14ac:dyDescent="0.25">
      <c r="A85" s="6">
        <v>22693671</v>
      </c>
      <c r="B85" s="6">
        <v>23496583</v>
      </c>
      <c r="C85" s="6" t="s">
        <v>290</v>
      </c>
      <c r="D85" s="14">
        <v>45875.554942129631</v>
      </c>
      <c r="E85" s="14">
        <v>45875.56827546296</v>
      </c>
      <c r="F85" s="6" t="s">
        <v>19</v>
      </c>
      <c r="G85" s="6" t="s">
        <v>19</v>
      </c>
      <c r="H85" s="6" t="s">
        <v>474</v>
      </c>
      <c r="I85" s="6" t="s">
        <v>17</v>
      </c>
      <c r="J85" s="6" t="s">
        <v>475</v>
      </c>
      <c r="K85" s="6" t="s">
        <v>476</v>
      </c>
      <c r="L85" s="6" t="s">
        <v>451</v>
      </c>
      <c r="M85" s="14">
        <v>45869.65347222222</v>
      </c>
      <c r="N85" s="6" t="s">
        <v>474</v>
      </c>
      <c r="O85" s="6" t="s">
        <v>92</v>
      </c>
      <c r="P85" s="6" t="s">
        <v>453</v>
      </c>
      <c r="Q85" s="6" t="s">
        <v>428</v>
      </c>
      <c r="R85" s="6" t="s">
        <v>477</v>
      </c>
      <c r="S85" s="6" t="s">
        <v>7</v>
      </c>
      <c r="T85" s="6" t="s">
        <v>248</v>
      </c>
      <c r="U85" s="6" t="s">
        <v>144</v>
      </c>
      <c r="V85" s="6" t="s">
        <v>478</v>
      </c>
      <c r="W85" s="6" t="s">
        <v>92</v>
      </c>
      <c r="X85" s="6" t="s">
        <v>285</v>
      </c>
      <c r="Y85" s="6">
        <v>1918239182</v>
      </c>
      <c r="Z85" s="6" t="s">
        <v>83</v>
      </c>
      <c r="AA85" s="6" t="s">
        <v>92</v>
      </c>
      <c r="AB85" s="6">
        <v>220.45</v>
      </c>
      <c r="AC85" s="6">
        <v>0</v>
      </c>
      <c r="AD85" s="6">
        <v>39.68</v>
      </c>
      <c r="AE85" s="6">
        <v>0</v>
      </c>
      <c r="AF85" s="6">
        <v>0</v>
      </c>
      <c r="AG85" s="6">
        <v>0</v>
      </c>
      <c r="AH85" s="6">
        <v>0</v>
      </c>
      <c r="AI85" s="6" t="s">
        <v>456</v>
      </c>
      <c r="AJ85" s="6" t="s">
        <v>479</v>
      </c>
      <c r="AK85" s="6" t="s">
        <v>17</v>
      </c>
      <c r="AL85" s="6" t="s">
        <v>57</v>
      </c>
      <c r="AM85" s="6" t="s">
        <v>288</v>
      </c>
      <c r="AN85" s="6" t="s">
        <v>28</v>
      </c>
      <c r="AO85" s="6" t="s">
        <v>253</v>
      </c>
      <c r="AP85" s="6" t="s">
        <v>480</v>
      </c>
      <c r="AQ85" s="6" t="s">
        <v>43</v>
      </c>
    </row>
    <row r="86" spans="1:43" x14ac:dyDescent="0.25">
      <c r="A86" s="6">
        <v>22701489</v>
      </c>
      <c r="B86" s="6">
        <v>23503652</v>
      </c>
      <c r="C86" s="6" t="s">
        <v>241</v>
      </c>
      <c r="D86" s="14">
        <v>45876.619745370372</v>
      </c>
      <c r="E86" s="14">
        <v>45876.622523148151</v>
      </c>
      <c r="F86" s="6" t="s">
        <v>19</v>
      </c>
      <c r="G86" s="6" t="s">
        <v>19</v>
      </c>
      <c r="H86" s="6" t="s">
        <v>481</v>
      </c>
      <c r="I86" s="6" t="s">
        <v>425</v>
      </c>
      <c r="J86" s="6" t="s">
        <v>482</v>
      </c>
      <c r="K86" s="6" t="s">
        <v>483</v>
      </c>
      <c r="L86" s="6" t="s">
        <v>483</v>
      </c>
      <c r="M86" s="14">
        <v>45876.540277777778</v>
      </c>
      <c r="N86" s="6" t="s">
        <v>92</v>
      </c>
      <c r="O86" s="6" t="s">
        <v>92</v>
      </c>
      <c r="P86" s="6" t="s">
        <v>245</v>
      </c>
      <c r="Q86" s="6" t="s">
        <v>428</v>
      </c>
      <c r="R86" s="6" t="s">
        <v>428</v>
      </c>
      <c r="S86" s="6" t="s">
        <v>7</v>
      </c>
      <c r="T86" s="6" t="s">
        <v>248</v>
      </c>
      <c r="U86" s="6" t="s">
        <v>164</v>
      </c>
      <c r="V86" s="6" t="s">
        <v>484</v>
      </c>
      <c r="W86" s="6" t="s">
        <v>92</v>
      </c>
      <c r="X86" s="6" t="s">
        <v>285</v>
      </c>
      <c r="Y86" s="6">
        <v>2244704214</v>
      </c>
      <c r="Z86" s="6" t="s">
        <v>14</v>
      </c>
      <c r="AA86" s="6" t="s">
        <v>92</v>
      </c>
      <c r="AB86" s="6">
        <v>399.8</v>
      </c>
      <c r="AC86" s="6">
        <v>67.75</v>
      </c>
      <c r="AD86" s="6">
        <v>0</v>
      </c>
      <c r="AE86" s="6">
        <v>40</v>
      </c>
      <c r="AF86" s="6">
        <v>0</v>
      </c>
      <c r="AG86" s="6">
        <v>0</v>
      </c>
      <c r="AH86" s="6">
        <v>26.39</v>
      </c>
      <c r="AI86" s="6" t="s">
        <v>485</v>
      </c>
      <c r="AJ86" s="6" t="s">
        <v>430</v>
      </c>
      <c r="AK86" s="6" t="s">
        <v>14</v>
      </c>
      <c r="AL86" s="6" t="s">
        <v>58</v>
      </c>
      <c r="AM86" s="6" t="s">
        <v>431</v>
      </c>
      <c r="AN86" s="6" t="s">
        <v>33</v>
      </c>
      <c r="AO86" s="6" t="s">
        <v>253</v>
      </c>
      <c r="AP86" s="6" t="s">
        <v>486</v>
      </c>
      <c r="AQ86" s="6" t="s">
        <v>32</v>
      </c>
    </row>
    <row r="87" spans="1:43" x14ac:dyDescent="0.25">
      <c r="A87" s="6">
        <v>22701526</v>
      </c>
      <c r="B87" s="6">
        <v>23503679</v>
      </c>
      <c r="C87" s="6" t="s">
        <v>241</v>
      </c>
      <c r="D87" s="14">
        <v>45876.623553240737</v>
      </c>
      <c r="E87" s="14">
        <v>45876.626400462963</v>
      </c>
      <c r="F87" s="6" t="s">
        <v>19</v>
      </c>
      <c r="G87" s="6" t="s">
        <v>19</v>
      </c>
      <c r="H87" s="6" t="s">
        <v>487</v>
      </c>
      <c r="I87" s="6" t="s">
        <v>425</v>
      </c>
      <c r="J87" s="6" t="s">
        <v>488</v>
      </c>
      <c r="K87" s="6" t="s">
        <v>483</v>
      </c>
      <c r="L87" s="6" t="s">
        <v>483</v>
      </c>
      <c r="M87" s="14">
        <v>45876.52847222222</v>
      </c>
      <c r="N87" s="6" t="s">
        <v>92</v>
      </c>
      <c r="O87" s="6" t="s">
        <v>92</v>
      </c>
      <c r="P87" s="6" t="s">
        <v>245</v>
      </c>
      <c r="Q87" s="6" t="s">
        <v>428</v>
      </c>
      <c r="R87" s="6" t="s">
        <v>428</v>
      </c>
      <c r="S87" s="6" t="s">
        <v>7</v>
      </c>
      <c r="T87" s="6" t="s">
        <v>248</v>
      </c>
      <c r="U87" s="6" t="s">
        <v>118</v>
      </c>
      <c r="V87" s="6" t="s">
        <v>489</v>
      </c>
      <c r="W87" s="6" t="s">
        <v>92</v>
      </c>
      <c r="X87" s="6" t="s">
        <v>420</v>
      </c>
      <c r="Y87" s="6">
        <v>721127445</v>
      </c>
      <c r="Z87" s="6" t="s">
        <v>14</v>
      </c>
      <c r="AA87" s="6" t="s">
        <v>92</v>
      </c>
      <c r="AB87" s="6">
        <v>2030.81</v>
      </c>
      <c r="AC87" s="6">
        <v>116.64</v>
      </c>
      <c r="AD87" s="6">
        <v>0</v>
      </c>
      <c r="AE87" s="6">
        <v>0</v>
      </c>
      <c r="AF87" s="6">
        <v>0</v>
      </c>
      <c r="AG87" s="6">
        <v>0</v>
      </c>
      <c r="AH87" s="6">
        <v>203.08</v>
      </c>
      <c r="AI87" s="6" t="s">
        <v>485</v>
      </c>
      <c r="AJ87" s="6" t="s">
        <v>430</v>
      </c>
      <c r="AK87" s="6" t="s">
        <v>14</v>
      </c>
      <c r="AL87" s="6" t="s">
        <v>58</v>
      </c>
      <c r="AM87" s="6" t="s">
        <v>431</v>
      </c>
      <c r="AN87" s="6" t="s">
        <v>33</v>
      </c>
      <c r="AO87" s="6" t="s">
        <v>253</v>
      </c>
      <c r="AP87" s="6" t="s">
        <v>486</v>
      </c>
      <c r="AQ87" s="6" t="s">
        <v>32</v>
      </c>
    </row>
    <row r="88" spans="1:43" x14ac:dyDescent="0.25">
      <c r="A88" s="6">
        <v>22704257</v>
      </c>
      <c r="B88" s="6">
        <v>23506291</v>
      </c>
      <c r="C88" s="6" t="s">
        <v>241</v>
      </c>
      <c r="D88" s="14">
        <v>45876.852685185193</v>
      </c>
      <c r="E88" s="14">
        <v>45876.85496527778</v>
      </c>
      <c r="F88" s="6" t="s">
        <v>19</v>
      </c>
      <c r="G88" s="6" t="s">
        <v>19</v>
      </c>
      <c r="H88" s="6" t="s">
        <v>490</v>
      </c>
      <c r="I88" s="6" t="s">
        <v>425</v>
      </c>
      <c r="J88" s="6" t="s">
        <v>491</v>
      </c>
      <c r="K88" s="6" t="s">
        <v>483</v>
      </c>
      <c r="L88" s="6" t="s">
        <v>483</v>
      </c>
      <c r="M88" s="14">
        <v>45876.226388888892</v>
      </c>
      <c r="N88" s="6" t="s">
        <v>92</v>
      </c>
      <c r="O88" s="6" t="s">
        <v>92</v>
      </c>
      <c r="P88" s="6" t="s">
        <v>245</v>
      </c>
      <c r="Q88" s="6" t="s">
        <v>428</v>
      </c>
      <c r="R88" s="6" t="s">
        <v>428</v>
      </c>
      <c r="S88" s="6" t="s">
        <v>7</v>
      </c>
      <c r="T88" s="6" t="s">
        <v>248</v>
      </c>
      <c r="U88" s="6" t="s">
        <v>118</v>
      </c>
      <c r="V88" s="6" t="s">
        <v>492</v>
      </c>
      <c r="W88" s="6" t="s">
        <v>92</v>
      </c>
      <c r="X88" s="6" t="s">
        <v>420</v>
      </c>
      <c r="Y88" s="6">
        <v>259866459</v>
      </c>
      <c r="Z88" s="6" t="s">
        <v>14</v>
      </c>
      <c r="AA88" s="6" t="s">
        <v>92</v>
      </c>
      <c r="AB88" s="6">
        <v>2272.06</v>
      </c>
      <c r="AC88" s="6">
        <v>101.17</v>
      </c>
      <c r="AD88" s="6">
        <v>0</v>
      </c>
      <c r="AE88" s="6">
        <v>0</v>
      </c>
      <c r="AF88" s="6">
        <v>0</v>
      </c>
      <c r="AG88" s="6">
        <v>0</v>
      </c>
      <c r="AH88" s="6">
        <v>113.6</v>
      </c>
      <c r="AI88" s="6" t="s">
        <v>485</v>
      </c>
      <c r="AJ88" s="6" t="s">
        <v>430</v>
      </c>
      <c r="AK88" s="6" t="s">
        <v>14</v>
      </c>
      <c r="AL88" s="6" t="s">
        <v>58</v>
      </c>
      <c r="AM88" s="6" t="s">
        <v>431</v>
      </c>
      <c r="AN88" s="6" t="s">
        <v>33</v>
      </c>
      <c r="AO88" s="6" t="s">
        <v>253</v>
      </c>
      <c r="AP88" s="6" t="s">
        <v>486</v>
      </c>
      <c r="AQ88" s="6" t="s">
        <v>32</v>
      </c>
    </row>
    <row r="89" spans="1:43" x14ac:dyDescent="0.25">
      <c r="A89" s="6">
        <v>22704264</v>
      </c>
      <c r="B89" s="6">
        <v>23506303</v>
      </c>
      <c r="C89" s="6" t="s">
        <v>241</v>
      </c>
      <c r="D89" s="14">
        <v>45876.854421296302</v>
      </c>
      <c r="E89" s="14">
        <v>45876.856712962966</v>
      </c>
      <c r="F89" s="6" t="s">
        <v>19</v>
      </c>
      <c r="G89" s="6" t="s">
        <v>19</v>
      </c>
      <c r="H89" s="6" t="s">
        <v>493</v>
      </c>
      <c r="I89" s="6" t="s">
        <v>425</v>
      </c>
      <c r="J89" s="6" t="s">
        <v>494</v>
      </c>
      <c r="K89" s="6" t="s">
        <v>483</v>
      </c>
      <c r="L89" s="6" t="s">
        <v>483</v>
      </c>
      <c r="M89" s="14">
        <v>45876.239583333343</v>
      </c>
      <c r="N89" s="6" t="s">
        <v>92</v>
      </c>
      <c r="O89" s="6" t="s">
        <v>92</v>
      </c>
      <c r="P89" s="6" t="s">
        <v>245</v>
      </c>
      <c r="Q89" s="6" t="s">
        <v>428</v>
      </c>
      <c r="R89" s="6" t="s">
        <v>428</v>
      </c>
      <c r="S89" s="6" t="s">
        <v>7</v>
      </c>
      <c r="T89" s="6" t="s">
        <v>248</v>
      </c>
      <c r="U89" s="6" t="s">
        <v>118</v>
      </c>
      <c r="V89" s="6" t="s">
        <v>492</v>
      </c>
      <c r="W89" s="6" t="s">
        <v>92</v>
      </c>
      <c r="X89" s="6" t="s">
        <v>420</v>
      </c>
      <c r="Y89" s="6">
        <v>384657625</v>
      </c>
      <c r="Z89" s="6" t="s">
        <v>14</v>
      </c>
      <c r="AA89" s="6" t="s">
        <v>92</v>
      </c>
      <c r="AB89" s="6">
        <v>2272.06</v>
      </c>
      <c r="AC89" s="6">
        <v>101.17</v>
      </c>
      <c r="AD89" s="6">
        <v>0</v>
      </c>
      <c r="AE89" s="6">
        <v>0</v>
      </c>
      <c r="AF89" s="6">
        <v>0</v>
      </c>
      <c r="AG89" s="6">
        <v>0</v>
      </c>
      <c r="AH89" s="6">
        <v>113.6</v>
      </c>
      <c r="AI89" s="6" t="s">
        <v>485</v>
      </c>
      <c r="AJ89" s="6" t="s">
        <v>430</v>
      </c>
      <c r="AK89" s="6" t="s">
        <v>14</v>
      </c>
      <c r="AL89" s="6" t="s">
        <v>58</v>
      </c>
      <c r="AM89" s="6" t="s">
        <v>431</v>
      </c>
      <c r="AN89" s="6" t="s">
        <v>33</v>
      </c>
      <c r="AO89" s="6" t="s">
        <v>253</v>
      </c>
      <c r="AP89" s="6" t="s">
        <v>486</v>
      </c>
      <c r="AQ89" s="6" t="s">
        <v>32</v>
      </c>
    </row>
    <row r="90" spans="1:43" hidden="1" x14ac:dyDescent="0.25">
      <c r="A90" s="6">
        <v>22704266</v>
      </c>
      <c r="B90" s="6">
        <v>23506306</v>
      </c>
      <c r="C90" s="6" t="s">
        <v>241</v>
      </c>
      <c r="D90" s="14">
        <v>45876.855451388888</v>
      </c>
      <c r="E90" s="14">
        <v>45876.856759259259</v>
      </c>
      <c r="F90" s="6" t="s">
        <v>19</v>
      </c>
      <c r="G90" s="6" t="s">
        <v>19</v>
      </c>
      <c r="H90" s="6" t="s">
        <v>495</v>
      </c>
      <c r="I90" s="6" t="s">
        <v>425</v>
      </c>
      <c r="J90" s="6" t="s">
        <v>496</v>
      </c>
      <c r="K90" s="6" t="s">
        <v>483</v>
      </c>
      <c r="L90" s="6" t="s">
        <v>483</v>
      </c>
      <c r="M90" s="14">
        <v>45876.245833333327</v>
      </c>
      <c r="N90" s="6" t="s">
        <v>92</v>
      </c>
      <c r="O90" s="6" t="s">
        <v>92</v>
      </c>
      <c r="P90" s="6" t="s">
        <v>245</v>
      </c>
      <c r="Q90" s="6" t="s">
        <v>428</v>
      </c>
      <c r="R90" s="6" t="s">
        <v>428</v>
      </c>
      <c r="S90" s="6" t="s">
        <v>7</v>
      </c>
      <c r="T90" s="6" t="s">
        <v>248</v>
      </c>
      <c r="U90" s="6" t="s">
        <v>118</v>
      </c>
      <c r="V90" s="6" t="s">
        <v>492</v>
      </c>
      <c r="W90" s="6" t="s">
        <v>92</v>
      </c>
      <c r="X90" s="6" t="s">
        <v>420</v>
      </c>
      <c r="Y90" s="6">
        <v>968746609</v>
      </c>
      <c r="Z90" s="6" t="s">
        <v>14</v>
      </c>
      <c r="AA90" s="6" t="s">
        <v>92</v>
      </c>
      <c r="AB90" s="6">
        <v>2272.06</v>
      </c>
      <c r="AC90" s="6">
        <v>101.17</v>
      </c>
      <c r="AD90" s="6">
        <v>0</v>
      </c>
      <c r="AE90" s="6">
        <v>0</v>
      </c>
      <c r="AF90" s="6">
        <v>0</v>
      </c>
      <c r="AG90" s="6">
        <v>0</v>
      </c>
      <c r="AH90" s="6">
        <v>113.6</v>
      </c>
      <c r="AI90" s="6" t="s">
        <v>485</v>
      </c>
      <c r="AJ90" s="6" t="s">
        <v>430</v>
      </c>
      <c r="AK90" s="6" t="s">
        <v>14</v>
      </c>
      <c r="AL90" s="6" t="s">
        <v>58</v>
      </c>
      <c r="AM90" s="6" t="s">
        <v>431</v>
      </c>
      <c r="AN90" s="6" t="s">
        <v>33</v>
      </c>
      <c r="AO90" s="6" t="s">
        <v>253</v>
      </c>
      <c r="AP90" s="6" t="s">
        <v>486</v>
      </c>
      <c r="AQ90" s="6" t="s">
        <v>32</v>
      </c>
    </row>
    <row r="91" spans="1:43" hidden="1" x14ac:dyDescent="0.25">
      <c r="A91" s="6">
        <v>22704366</v>
      </c>
      <c r="B91" s="6">
        <v>23506390</v>
      </c>
      <c r="C91" s="6" t="s">
        <v>241</v>
      </c>
      <c r="D91" s="14">
        <v>45876.874918981477</v>
      </c>
      <c r="E91" s="14">
        <v>45876.87604166667</v>
      </c>
      <c r="F91" s="6" t="s">
        <v>19</v>
      </c>
      <c r="G91" s="6" t="s">
        <v>19</v>
      </c>
      <c r="H91" s="6" t="s">
        <v>497</v>
      </c>
      <c r="I91" s="6" t="s">
        <v>425</v>
      </c>
      <c r="J91" s="6" t="s">
        <v>498</v>
      </c>
      <c r="K91" s="6" t="s">
        <v>483</v>
      </c>
      <c r="L91" s="6" t="s">
        <v>483</v>
      </c>
      <c r="M91" s="14">
        <v>45876.372916666667</v>
      </c>
      <c r="N91" s="6" t="s">
        <v>92</v>
      </c>
      <c r="O91" s="6" t="s">
        <v>92</v>
      </c>
      <c r="P91" s="6" t="s">
        <v>245</v>
      </c>
      <c r="Q91" s="6" t="s">
        <v>246</v>
      </c>
      <c r="R91" s="6" t="s">
        <v>418</v>
      </c>
      <c r="S91" s="6" t="s">
        <v>7</v>
      </c>
      <c r="T91" s="6" t="s">
        <v>248</v>
      </c>
      <c r="U91" s="6" t="s">
        <v>118</v>
      </c>
      <c r="V91" s="6" t="s">
        <v>499</v>
      </c>
      <c r="W91" s="6" t="s">
        <v>92</v>
      </c>
      <c r="X91" s="6" t="s">
        <v>420</v>
      </c>
      <c r="Y91" s="6">
        <v>553122361</v>
      </c>
      <c r="Z91" s="6" t="s">
        <v>14</v>
      </c>
      <c r="AA91" s="6" t="s">
        <v>92</v>
      </c>
      <c r="AB91" s="6">
        <v>824.25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>
        <v>40</v>
      </c>
      <c r="AI91" s="6" t="s">
        <v>485</v>
      </c>
      <c r="AJ91" s="6" t="s">
        <v>436</v>
      </c>
      <c r="AK91" s="6" t="s">
        <v>14</v>
      </c>
      <c r="AL91" s="6" t="s">
        <v>60</v>
      </c>
      <c r="AM91" s="6" t="s">
        <v>437</v>
      </c>
      <c r="AN91" s="6" t="s">
        <v>28</v>
      </c>
      <c r="AO91" s="6" t="s">
        <v>253</v>
      </c>
      <c r="AP91" s="6" t="s">
        <v>486</v>
      </c>
      <c r="AQ91" s="6" t="s">
        <v>32</v>
      </c>
    </row>
    <row r="92" spans="1:43" hidden="1" x14ac:dyDescent="0.25">
      <c r="A92" s="6">
        <v>22703064</v>
      </c>
      <c r="B92" s="6">
        <v>23505173</v>
      </c>
      <c r="C92" s="6" t="s">
        <v>241</v>
      </c>
      <c r="D92" s="14">
        <v>45876.768055555563</v>
      </c>
      <c r="E92" s="14">
        <v>45876.769490740742</v>
      </c>
      <c r="F92" s="6" t="s">
        <v>19</v>
      </c>
      <c r="G92" s="6" t="s">
        <v>19</v>
      </c>
      <c r="H92" s="6" t="s">
        <v>500</v>
      </c>
      <c r="I92" s="6" t="s">
        <v>425</v>
      </c>
      <c r="J92" s="6" t="s">
        <v>501</v>
      </c>
      <c r="K92" s="6" t="s">
        <v>483</v>
      </c>
      <c r="L92" s="6" t="s">
        <v>483</v>
      </c>
      <c r="M92" s="14">
        <v>45876.267361111109</v>
      </c>
      <c r="N92" s="6" t="s">
        <v>92</v>
      </c>
      <c r="O92" s="6" t="s">
        <v>92</v>
      </c>
      <c r="P92" s="6" t="s">
        <v>245</v>
      </c>
      <c r="Q92" s="6" t="s">
        <v>428</v>
      </c>
      <c r="R92" s="6" t="s">
        <v>428</v>
      </c>
      <c r="S92" s="6" t="s">
        <v>7</v>
      </c>
      <c r="T92" s="6" t="s">
        <v>248</v>
      </c>
      <c r="U92" s="6" t="s">
        <v>118</v>
      </c>
      <c r="V92" s="6" t="s">
        <v>502</v>
      </c>
      <c r="W92" s="6" t="s">
        <v>92</v>
      </c>
      <c r="X92" s="6" t="s">
        <v>420</v>
      </c>
      <c r="Y92" s="6">
        <v>530146970</v>
      </c>
      <c r="Z92" s="6" t="s">
        <v>14</v>
      </c>
      <c r="AA92" s="6" t="s">
        <v>92</v>
      </c>
      <c r="AB92" s="6">
        <v>1435.99</v>
      </c>
      <c r="AC92" s="6">
        <v>450</v>
      </c>
      <c r="AD92" s="6">
        <v>0</v>
      </c>
      <c r="AE92" s="6">
        <v>0</v>
      </c>
      <c r="AF92" s="6">
        <v>0</v>
      </c>
      <c r="AG92" s="6">
        <v>0</v>
      </c>
      <c r="AH92" s="6">
        <v>40</v>
      </c>
      <c r="AI92" s="6" t="s">
        <v>485</v>
      </c>
      <c r="AJ92" s="6" t="s">
        <v>436</v>
      </c>
      <c r="AK92" s="6" t="s">
        <v>14</v>
      </c>
      <c r="AL92" s="6" t="s">
        <v>60</v>
      </c>
      <c r="AM92" s="6" t="s">
        <v>437</v>
      </c>
      <c r="AN92" s="6" t="s">
        <v>28</v>
      </c>
      <c r="AO92" s="6" t="s">
        <v>253</v>
      </c>
      <c r="AP92" s="6" t="s">
        <v>486</v>
      </c>
      <c r="AQ92" s="6" t="s">
        <v>32</v>
      </c>
    </row>
    <row r="93" spans="1:43" hidden="1" x14ac:dyDescent="0.25">
      <c r="A93" s="6">
        <v>22703095</v>
      </c>
      <c r="B93" s="6">
        <v>23505205</v>
      </c>
      <c r="C93" s="6" t="s">
        <v>241</v>
      </c>
      <c r="D93" s="14">
        <v>45876.769444444442</v>
      </c>
      <c r="E93" s="14">
        <v>45876.772152777783</v>
      </c>
      <c r="F93" s="6" t="s">
        <v>19</v>
      </c>
      <c r="G93" s="6" t="s">
        <v>19</v>
      </c>
      <c r="H93" s="6" t="s">
        <v>503</v>
      </c>
      <c r="I93" s="6" t="s">
        <v>425</v>
      </c>
      <c r="J93" s="6" t="s">
        <v>504</v>
      </c>
      <c r="K93" s="6" t="s">
        <v>483</v>
      </c>
      <c r="L93" s="6" t="s">
        <v>483</v>
      </c>
      <c r="M93" s="14">
        <v>45876.240972222222</v>
      </c>
      <c r="N93" s="6" t="s">
        <v>92</v>
      </c>
      <c r="O93" s="6" t="s">
        <v>92</v>
      </c>
      <c r="P93" s="6" t="s">
        <v>245</v>
      </c>
      <c r="Q93" s="6" t="s">
        <v>428</v>
      </c>
      <c r="R93" s="6" t="s">
        <v>428</v>
      </c>
      <c r="S93" s="6" t="s">
        <v>7</v>
      </c>
      <c r="T93" s="6" t="s">
        <v>248</v>
      </c>
      <c r="U93" s="6" t="s">
        <v>118</v>
      </c>
      <c r="V93" s="6" t="s">
        <v>505</v>
      </c>
      <c r="W93" s="6" t="s">
        <v>92</v>
      </c>
      <c r="X93" s="6" t="s">
        <v>455</v>
      </c>
      <c r="Y93" s="6">
        <v>2142916171</v>
      </c>
      <c r="Z93" s="6" t="s">
        <v>14</v>
      </c>
      <c r="AA93" s="6" t="s">
        <v>92</v>
      </c>
      <c r="AB93" s="6">
        <v>1450.44</v>
      </c>
      <c r="AC93" s="6">
        <v>36.67</v>
      </c>
      <c r="AD93" s="6">
        <v>0</v>
      </c>
      <c r="AE93" s="6">
        <v>145.04</v>
      </c>
      <c r="AF93" s="6">
        <v>0</v>
      </c>
      <c r="AG93" s="6">
        <v>0</v>
      </c>
      <c r="AH93" s="6">
        <v>111.68</v>
      </c>
      <c r="AI93" s="6" t="s">
        <v>485</v>
      </c>
      <c r="AJ93" s="6" t="s">
        <v>430</v>
      </c>
      <c r="AK93" s="6" t="s">
        <v>14</v>
      </c>
      <c r="AL93" s="6" t="s">
        <v>58</v>
      </c>
      <c r="AM93" s="6" t="s">
        <v>431</v>
      </c>
      <c r="AN93" s="6" t="s">
        <v>33</v>
      </c>
      <c r="AO93" s="6" t="s">
        <v>253</v>
      </c>
      <c r="AP93" s="6" t="s">
        <v>486</v>
      </c>
      <c r="AQ93" s="6" t="s">
        <v>32</v>
      </c>
    </row>
    <row r="94" spans="1:43" hidden="1" x14ac:dyDescent="0.25">
      <c r="A94" s="6">
        <v>22703175</v>
      </c>
      <c r="B94" s="6">
        <v>23505287</v>
      </c>
      <c r="C94" s="6" t="s">
        <v>241</v>
      </c>
      <c r="D94" s="14">
        <v>45876.774988425917</v>
      </c>
      <c r="E94" s="14">
        <v>45876.777268518519</v>
      </c>
      <c r="F94" s="6" t="s">
        <v>19</v>
      </c>
      <c r="G94" s="6" t="s">
        <v>19</v>
      </c>
      <c r="H94" s="6" t="s">
        <v>506</v>
      </c>
      <c r="I94" s="6" t="s">
        <v>425</v>
      </c>
      <c r="J94" s="6" t="s">
        <v>504</v>
      </c>
      <c r="K94" s="6" t="s">
        <v>483</v>
      </c>
      <c r="L94" s="6" t="s">
        <v>483</v>
      </c>
      <c r="M94" s="14">
        <v>45876.238194444442</v>
      </c>
      <c r="N94" s="6" t="s">
        <v>92</v>
      </c>
      <c r="O94" s="6" t="s">
        <v>92</v>
      </c>
      <c r="P94" s="6" t="s">
        <v>245</v>
      </c>
      <c r="Q94" s="6" t="s">
        <v>428</v>
      </c>
      <c r="R94" s="6" t="s">
        <v>428</v>
      </c>
      <c r="S94" s="6" t="s">
        <v>7</v>
      </c>
      <c r="T94" s="6" t="s">
        <v>248</v>
      </c>
      <c r="U94" s="6" t="s">
        <v>118</v>
      </c>
      <c r="V94" s="6" t="s">
        <v>505</v>
      </c>
      <c r="W94" s="6" t="s">
        <v>92</v>
      </c>
      <c r="X94" s="6" t="s">
        <v>455</v>
      </c>
      <c r="Y94" s="6">
        <v>2142916962</v>
      </c>
      <c r="Z94" s="6" t="s">
        <v>14</v>
      </c>
      <c r="AA94" s="6" t="s">
        <v>92</v>
      </c>
      <c r="AB94" s="6">
        <v>1698.87</v>
      </c>
      <c r="AC94" s="6">
        <v>51.07</v>
      </c>
      <c r="AD94" s="6">
        <v>0</v>
      </c>
      <c r="AE94" s="6">
        <v>169.88</v>
      </c>
      <c r="AF94" s="6">
        <v>0</v>
      </c>
      <c r="AG94" s="6">
        <v>0</v>
      </c>
      <c r="AH94" s="6">
        <v>130.81</v>
      </c>
      <c r="AI94" s="6" t="s">
        <v>485</v>
      </c>
      <c r="AJ94" s="6" t="s">
        <v>430</v>
      </c>
      <c r="AK94" s="6" t="s">
        <v>14</v>
      </c>
      <c r="AL94" s="6" t="s">
        <v>58</v>
      </c>
      <c r="AM94" s="6" t="s">
        <v>431</v>
      </c>
      <c r="AN94" s="6" t="s">
        <v>33</v>
      </c>
      <c r="AO94" s="6" t="s">
        <v>253</v>
      </c>
      <c r="AP94" s="6" t="s">
        <v>486</v>
      </c>
      <c r="AQ94" s="6" t="s">
        <v>32</v>
      </c>
    </row>
    <row r="95" spans="1:43" x14ac:dyDescent="0.25">
      <c r="A95" s="6">
        <v>22686963</v>
      </c>
      <c r="B95" s="6">
        <v>23490647</v>
      </c>
      <c r="C95" s="6" t="s">
        <v>241</v>
      </c>
      <c r="D95" s="14">
        <v>45874.654282407413</v>
      </c>
      <c r="E95" s="14">
        <v>45875.769467592603</v>
      </c>
      <c r="F95" s="6" t="s">
        <v>19</v>
      </c>
      <c r="G95" s="6" t="s">
        <v>21</v>
      </c>
      <c r="H95" s="6" t="s">
        <v>507</v>
      </c>
      <c r="I95" s="6" t="s">
        <v>425</v>
      </c>
      <c r="J95" s="6" t="s">
        <v>508</v>
      </c>
      <c r="K95" s="6" t="s">
        <v>483</v>
      </c>
      <c r="L95" s="6" t="s">
        <v>483</v>
      </c>
      <c r="M95" s="14">
        <v>45874.152083333327</v>
      </c>
      <c r="N95" s="6" t="s">
        <v>92</v>
      </c>
      <c r="O95" s="6" t="s">
        <v>92</v>
      </c>
      <c r="P95" s="6" t="s">
        <v>245</v>
      </c>
      <c r="Q95" s="6" t="s">
        <v>246</v>
      </c>
      <c r="R95" s="6" t="s">
        <v>418</v>
      </c>
      <c r="S95" s="6" t="s">
        <v>7</v>
      </c>
      <c r="T95" s="6" t="s">
        <v>509</v>
      </c>
      <c r="U95" s="6" t="s">
        <v>118</v>
      </c>
      <c r="V95" s="6" t="s">
        <v>510</v>
      </c>
      <c r="W95" s="6" t="s">
        <v>92</v>
      </c>
      <c r="X95" s="6" t="s">
        <v>420</v>
      </c>
      <c r="Y95" s="6">
        <v>3023498529</v>
      </c>
      <c r="Z95" s="6" t="s">
        <v>14</v>
      </c>
      <c r="AA95" s="6" t="s">
        <v>92</v>
      </c>
      <c r="AB95" s="6">
        <v>0.01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485</v>
      </c>
      <c r="AJ95" s="6" t="s">
        <v>511</v>
      </c>
      <c r="AK95" s="6" t="s">
        <v>14</v>
      </c>
      <c r="AL95" s="6" t="s">
        <v>58</v>
      </c>
      <c r="AM95" s="6" t="s">
        <v>431</v>
      </c>
      <c r="AN95" s="6" t="s">
        <v>33</v>
      </c>
      <c r="AO95" s="6" t="s">
        <v>253</v>
      </c>
      <c r="AP95" s="6" t="s">
        <v>486</v>
      </c>
      <c r="AQ95" s="6" t="s">
        <v>32</v>
      </c>
    </row>
    <row r="96" spans="1:43" x14ac:dyDescent="0.25">
      <c r="A96" s="6">
        <v>22693553</v>
      </c>
      <c r="B96" s="6">
        <v>23496484</v>
      </c>
      <c r="C96" s="6" t="s">
        <v>241</v>
      </c>
      <c r="D96" s="14">
        <v>45875.53638888889</v>
      </c>
      <c r="E96" s="14">
        <v>45875.538460648153</v>
      </c>
      <c r="F96" s="6" t="s">
        <v>19</v>
      </c>
      <c r="G96" s="6" t="s">
        <v>19</v>
      </c>
      <c r="H96" s="6" t="s">
        <v>512</v>
      </c>
      <c r="I96" s="6" t="s">
        <v>425</v>
      </c>
      <c r="J96" s="6" t="s">
        <v>513</v>
      </c>
      <c r="K96" s="6" t="s">
        <v>483</v>
      </c>
      <c r="L96" s="6" t="s">
        <v>483</v>
      </c>
      <c r="M96" s="14">
        <v>45875.535416666673</v>
      </c>
      <c r="N96" s="6" t="s">
        <v>92</v>
      </c>
      <c r="O96" s="6" t="s">
        <v>92</v>
      </c>
      <c r="P96" s="6" t="s">
        <v>245</v>
      </c>
      <c r="Q96" s="6" t="s">
        <v>428</v>
      </c>
      <c r="R96" s="6" t="s">
        <v>428</v>
      </c>
      <c r="S96" s="6" t="s">
        <v>7</v>
      </c>
      <c r="T96" s="6" t="s">
        <v>248</v>
      </c>
      <c r="U96" s="6" t="s">
        <v>118</v>
      </c>
      <c r="V96" s="6" t="s">
        <v>514</v>
      </c>
      <c r="W96" s="6" t="s">
        <v>92</v>
      </c>
      <c r="X96" s="6" t="s">
        <v>420</v>
      </c>
      <c r="Y96" s="6">
        <v>442777606</v>
      </c>
      <c r="Z96" s="6" t="s">
        <v>14</v>
      </c>
      <c r="AA96" s="6" t="s">
        <v>92</v>
      </c>
      <c r="AB96" s="6">
        <v>71.8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40</v>
      </c>
      <c r="AI96" s="6" t="s">
        <v>485</v>
      </c>
      <c r="AJ96" s="6" t="s">
        <v>436</v>
      </c>
      <c r="AK96" s="6" t="s">
        <v>14</v>
      </c>
      <c r="AL96" s="6" t="s">
        <v>60</v>
      </c>
      <c r="AM96" s="6" t="s">
        <v>437</v>
      </c>
      <c r="AN96" s="6" t="s">
        <v>28</v>
      </c>
      <c r="AO96" s="6" t="s">
        <v>253</v>
      </c>
      <c r="AP96" s="6" t="s">
        <v>486</v>
      </c>
      <c r="AQ96" s="6" t="s">
        <v>32</v>
      </c>
    </row>
    <row r="97" spans="1:43" hidden="1" x14ac:dyDescent="0.25">
      <c r="A97" s="6">
        <v>22692401</v>
      </c>
      <c r="B97" s="6">
        <v>23495383</v>
      </c>
      <c r="C97" s="6" t="s">
        <v>241</v>
      </c>
      <c r="D97" s="14">
        <v>45875.45380787037</v>
      </c>
      <c r="E97" s="14">
        <v>45875.455543981479</v>
      </c>
      <c r="F97" s="6" t="s">
        <v>19</v>
      </c>
      <c r="G97" s="6" t="s">
        <v>19</v>
      </c>
      <c r="H97" s="6" t="s">
        <v>515</v>
      </c>
      <c r="I97" s="6" t="s">
        <v>16</v>
      </c>
      <c r="J97" s="6" t="s">
        <v>516</v>
      </c>
      <c r="K97" s="6" t="s">
        <v>483</v>
      </c>
      <c r="L97" s="6" t="s">
        <v>483</v>
      </c>
      <c r="M97" s="14">
        <v>45869.048611111109</v>
      </c>
      <c r="N97" s="6" t="s">
        <v>92</v>
      </c>
      <c r="O97" s="6" t="s">
        <v>92</v>
      </c>
      <c r="P97" s="6" t="s">
        <v>245</v>
      </c>
      <c r="Q97" s="6" t="s">
        <v>428</v>
      </c>
      <c r="R97" s="6" t="s">
        <v>428</v>
      </c>
      <c r="S97" s="6" t="s">
        <v>7</v>
      </c>
      <c r="T97" s="6" t="s">
        <v>509</v>
      </c>
      <c r="U97" s="6" t="s">
        <v>118</v>
      </c>
      <c r="V97" s="6" t="s">
        <v>517</v>
      </c>
      <c r="W97" s="6" t="s">
        <v>92</v>
      </c>
      <c r="X97" s="6" t="s">
        <v>285</v>
      </c>
      <c r="Y97" s="6">
        <v>2243683469</v>
      </c>
      <c r="Z97" s="6" t="s">
        <v>14</v>
      </c>
      <c r="AA97" s="6" t="s">
        <v>92</v>
      </c>
      <c r="AB97" s="6">
        <v>590.32000000000005</v>
      </c>
      <c r="AC97" s="6">
        <v>30.95</v>
      </c>
      <c r="AD97" s="6">
        <v>0</v>
      </c>
      <c r="AE97" s="6">
        <v>59.03</v>
      </c>
      <c r="AF97" s="6">
        <v>0</v>
      </c>
      <c r="AG97" s="6">
        <v>0</v>
      </c>
      <c r="AH97" s="6">
        <v>0</v>
      </c>
      <c r="AI97" s="6" t="s">
        <v>518</v>
      </c>
      <c r="AJ97" s="6" t="s">
        <v>519</v>
      </c>
      <c r="AK97" s="6" t="s">
        <v>14</v>
      </c>
      <c r="AL97" s="6" t="s">
        <v>57</v>
      </c>
      <c r="AM97" s="6" t="s">
        <v>288</v>
      </c>
      <c r="AN97" s="6" t="s">
        <v>28</v>
      </c>
      <c r="AO97" s="6" t="s">
        <v>253</v>
      </c>
      <c r="AP97" s="6" t="s">
        <v>486</v>
      </c>
      <c r="AQ97" s="6" t="s">
        <v>32</v>
      </c>
    </row>
    <row r="98" spans="1:43" x14ac:dyDescent="0.25">
      <c r="A98" s="6">
        <v>22700765</v>
      </c>
      <c r="B98" s="6">
        <v>23502981</v>
      </c>
      <c r="C98" s="6" t="s">
        <v>241</v>
      </c>
      <c r="D98" s="14">
        <v>45876.529108796298</v>
      </c>
      <c r="E98" s="14">
        <v>45876.530266203707</v>
      </c>
      <c r="F98" s="6" t="s">
        <v>19</v>
      </c>
      <c r="G98" s="6" t="s">
        <v>19</v>
      </c>
      <c r="H98" s="6" t="s">
        <v>520</v>
      </c>
      <c r="I98" s="6" t="s">
        <v>425</v>
      </c>
      <c r="J98" s="6" t="s">
        <v>521</v>
      </c>
      <c r="K98" s="6" t="s">
        <v>483</v>
      </c>
      <c r="L98" s="6" t="s">
        <v>483</v>
      </c>
      <c r="M98" s="14">
        <v>45876.527777777781</v>
      </c>
      <c r="N98" s="6" t="s">
        <v>92</v>
      </c>
      <c r="O98" s="6" t="s">
        <v>92</v>
      </c>
      <c r="P98" s="6" t="s">
        <v>245</v>
      </c>
      <c r="Q98" s="6" t="s">
        <v>428</v>
      </c>
      <c r="R98" s="6" t="s">
        <v>428</v>
      </c>
      <c r="S98" s="6" t="s">
        <v>7</v>
      </c>
      <c r="T98" s="6" t="s">
        <v>248</v>
      </c>
      <c r="U98" s="6" t="s">
        <v>118</v>
      </c>
      <c r="V98" s="6" t="s">
        <v>517</v>
      </c>
      <c r="W98" s="6" t="s">
        <v>92</v>
      </c>
      <c r="X98" s="6" t="s">
        <v>420</v>
      </c>
      <c r="Y98" s="6">
        <v>781870213</v>
      </c>
      <c r="Z98" s="6" t="s">
        <v>14</v>
      </c>
      <c r="AA98" s="6" t="s">
        <v>92</v>
      </c>
      <c r="AB98" s="6">
        <v>1893.59</v>
      </c>
      <c r="AC98" s="6">
        <v>119.51</v>
      </c>
      <c r="AD98" s="6">
        <v>0</v>
      </c>
      <c r="AE98" s="6">
        <v>201.31</v>
      </c>
      <c r="AF98" s="6">
        <v>0</v>
      </c>
      <c r="AG98" s="6">
        <v>0</v>
      </c>
      <c r="AH98" s="6">
        <v>66.430000000000007</v>
      </c>
      <c r="AI98" s="6" t="s">
        <v>485</v>
      </c>
      <c r="AJ98" s="6" t="s">
        <v>436</v>
      </c>
      <c r="AK98" s="6" t="s">
        <v>14</v>
      </c>
      <c r="AL98" s="6" t="s">
        <v>60</v>
      </c>
      <c r="AM98" s="6" t="s">
        <v>437</v>
      </c>
      <c r="AN98" s="6" t="s">
        <v>28</v>
      </c>
      <c r="AO98" s="6" t="s">
        <v>253</v>
      </c>
      <c r="AP98" s="6" t="s">
        <v>486</v>
      </c>
      <c r="AQ98" s="6" t="s">
        <v>32</v>
      </c>
    </row>
    <row r="99" spans="1:43" hidden="1" x14ac:dyDescent="0.25">
      <c r="A99" s="6">
        <v>22700473</v>
      </c>
      <c r="B99" s="6">
        <v>23502703</v>
      </c>
      <c r="C99" s="6" t="s">
        <v>241</v>
      </c>
      <c r="D99" s="14">
        <v>45876.51666666667</v>
      </c>
      <c r="E99" s="14">
        <v>45876.51966435185</v>
      </c>
      <c r="F99" s="6" t="s">
        <v>19</v>
      </c>
      <c r="G99" s="6" t="s">
        <v>19</v>
      </c>
      <c r="H99" s="6" t="s">
        <v>522</v>
      </c>
      <c r="I99" s="6" t="s">
        <v>425</v>
      </c>
      <c r="J99" s="6" t="s">
        <v>523</v>
      </c>
      <c r="K99" s="6" t="s">
        <v>483</v>
      </c>
      <c r="L99" s="6" t="s">
        <v>483</v>
      </c>
      <c r="M99" s="14">
        <v>45876.515972222223</v>
      </c>
      <c r="N99" s="6" t="s">
        <v>92</v>
      </c>
      <c r="O99" s="6" t="s">
        <v>92</v>
      </c>
      <c r="P99" s="6" t="s">
        <v>245</v>
      </c>
      <c r="Q99" s="6" t="s">
        <v>428</v>
      </c>
      <c r="R99" s="6" t="s">
        <v>428</v>
      </c>
      <c r="S99" s="6" t="s">
        <v>7</v>
      </c>
      <c r="T99" s="6" t="s">
        <v>248</v>
      </c>
      <c r="U99" s="6" t="s">
        <v>118</v>
      </c>
      <c r="V99" s="6" t="s">
        <v>524</v>
      </c>
      <c r="W99" s="6" t="s">
        <v>92</v>
      </c>
      <c r="X99" s="6" t="s">
        <v>285</v>
      </c>
      <c r="Y99" s="6">
        <v>2244411354</v>
      </c>
      <c r="Z99" s="6" t="s">
        <v>14</v>
      </c>
      <c r="AA99" s="6" t="s">
        <v>92</v>
      </c>
      <c r="AB99" s="6">
        <v>1260</v>
      </c>
      <c r="AC99" s="6">
        <v>80.69</v>
      </c>
      <c r="AD99" s="6">
        <v>0</v>
      </c>
      <c r="AE99" s="6">
        <v>0</v>
      </c>
      <c r="AF99" s="6">
        <v>0</v>
      </c>
      <c r="AG99" s="6">
        <v>0</v>
      </c>
      <c r="AH99" s="6">
        <v>88.19</v>
      </c>
      <c r="AI99" s="6" t="s">
        <v>485</v>
      </c>
      <c r="AJ99" s="6" t="s">
        <v>436</v>
      </c>
      <c r="AK99" s="6" t="s">
        <v>14</v>
      </c>
      <c r="AL99" s="6" t="s">
        <v>60</v>
      </c>
      <c r="AM99" s="6" t="s">
        <v>437</v>
      </c>
      <c r="AN99" s="6" t="s">
        <v>28</v>
      </c>
      <c r="AO99" s="6" t="s">
        <v>253</v>
      </c>
      <c r="AP99" s="6" t="s">
        <v>486</v>
      </c>
      <c r="AQ99" s="6" t="s">
        <v>32</v>
      </c>
    </row>
    <row r="100" spans="1:43" hidden="1" x14ac:dyDescent="0.25">
      <c r="A100" s="6">
        <v>22700624</v>
      </c>
      <c r="B100" s="6">
        <v>23502845</v>
      </c>
      <c r="C100" s="6" t="s">
        <v>241</v>
      </c>
      <c r="D100" s="14">
        <v>45876.523888888893</v>
      </c>
      <c r="E100" s="14">
        <v>45876.525706018518</v>
      </c>
      <c r="F100" s="6" t="s">
        <v>19</v>
      </c>
      <c r="G100" s="6" t="s">
        <v>19</v>
      </c>
      <c r="H100" s="6" t="s">
        <v>525</v>
      </c>
      <c r="I100" s="6" t="s">
        <v>425</v>
      </c>
      <c r="J100" s="6" t="s">
        <v>526</v>
      </c>
      <c r="K100" s="6" t="s">
        <v>483</v>
      </c>
      <c r="L100" s="6" t="s">
        <v>483</v>
      </c>
      <c r="M100" s="14">
        <v>45876.521527777782</v>
      </c>
      <c r="N100" s="6" t="s">
        <v>92</v>
      </c>
      <c r="O100" s="6" t="s">
        <v>92</v>
      </c>
      <c r="P100" s="6" t="s">
        <v>245</v>
      </c>
      <c r="Q100" s="6" t="s">
        <v>428</v>
      </c>
      <c r="R100" s="6" t="s">
        <v>428</v>
      </c>
      <c r="S100" s="6" t="s">
        <v>7</v>
      </c>
      <c r="T100" s="6" t="s">
        <v>248</v>
      </c>
      <c r="U100" s="6" t="s">
        <v>118</v>
      </c>
      <c r="V100" s="6" t="s">
        <v>527</v>
      </c>
      <c r="W100" s="6" t="s">
        <v>92</v>
      </c>
      <c r="X100" s="6" t="s">
        <v>285</v>
      </c>
      <c r="Y100" s="6">
        <v>2244375759</v>
      </c>
      <c r="Z100" s="6" t="s">
        <v>14</v>
      </c>
      <c r="AA100" s="6" t="s">
        <v>92</v>
      </c>
      <c r="AB100" s="6">
        <v>128.79</v>
      </c>
      <c r="AC100" s="6">
        <v>450</v>
      </c>
      <c r="AD100" s="6">
        <v>0</v>
      </c>
      <c r="AE100" s="6">
        <v>0</v>
      </c>
      <c r="AF100" s="6">
        <v>0</v>
      </c>
      <c r="AG100" s="6">
        <v>0</v>
      </c>
      <c r="AH100" s="6">
        <v>40</v>
      </c>
      <c r="AI100" s="6" t="s">
        <v>485</v>
      </c>
      <c r="AJ100" s="6" t="s">
        <v>528</v>
      </c>
      <c r="AK100" s="6" t="s">
        <v>14</v>
      </c>
      <c r="AL100" s="6" t="s">
        <v>57</v>
      </c>
      <c r="AM100" s="6" t="s">
        <v>288</v>
      </c>
      <c r="AN100" s="6" t="s">
        <v>28</v>
      </c>
      <c r="AO100" s="6" t="s">
        <v>253</v>
      </c>
      <c r="AP100" s="6" t="s">
        <v>486</v>
      </c>
      <c r="AQ100" s="6" t="s">
        <v>32</v>
      </c>
    </row>
    <row r="101" spans="1:43" hidden="1" x14ac:dyDescent="0.25">
      <c r="A101" s="6">
        <v>22700741</v>
      </c>
      <c r="B101" s="6">
        <v>23502957</v>
      </c>
      <c r="C101" s="6" t="s">
        <v>241</v>
      </c>
      <c r="D101" s="14">
        <v>45876.52784722222</v>
      </c>
      <c r="E101" s="14">
        <v>45876.529791666668</v>
      </c>
      <c r="F101" s="6" t="s">
        <v>19</v>
      </c>
      <c r="G101" s="6" t="s">
        <v>19</v>
      </c>
      <c r="H101" s="6" t="s">
        <v>529</v>
      </c>
      <c r="I101" s="6" t="s">
        <v>425</v>
      </c>
      <c r="J101" s="6" t="s">
        <v>530</v>
      </c>
      <c r="K101" s="6" t="s">
        <v>483</v>
      </c>
      <c r="L101" s="6" t="s">
        <v>483</v>
      </c>
      <c r="M101" s="14">
        <v>45875.307638888888</v>
      </c>
      <c r="N101" s="6" t="s">
        <v>92</v>
      </c>
      <c r="O101" s="6" t="s">
        <v>92</v>
      </c>
      <c r="P101" s="6" t="s">
        <v>245</v>
      </c>
      <c r="Q101" s="6" t="s">
        <v>428</v>
      </c>
      <c r="R101" s="6" t="s">
        <v>428</v>
      </c>
      <c r="S101" s="6" t="s">
        <v>7</v>
      </c>
      <c r="T101" s="6" t="s">
        <v>248</v>
      </c>
      <c r="U101" s="6" t="s">
        <v>118</v>
      </c>
      <c r="V101" s="6" t="s">
        <v>531</v>
      </c>
      <c r="W101" s="6" t="s">
        <v>92</v>
      </c>
      <c r="X101" s="6" t="s">
        <v>285</v>
      </c>
      <c r="Y101" s="6">
        <v>2244684148</v>
      </c>
      <c r="Z101" s="6" t="s">
        <v>14</v>
      </c>
      <c r="AA101" s="6" t="s">
        <v>92</v>
      </c>
      <c r="AB101" s="6">
        <v>600.72</v>
      </c>
      <c r="AC101" s="6">
        <v>43.65</v>
      </c>
      <c r="AD101" s="6">
        <v>0</v>
      </c>
      <c r="AE101" s="6">
        <v>60.07</v>
      </c>
      <c r="AF101" s="6">
        <v>0</v>
      </c>
      <c r="AG101" s="6">
        <v>0</v>
      </c>
      <c r="AH101" s="6">
        <v>39.65</v>
      </c>
      <c r="AI101" s="6" t="s">
        <v>485</v>
      </c>
      <c r="AJ101" s="6" t="s">
        <v>532</v>
      </c>
      <c r="AK101" s="6" t="s">
        <v>14</v>
      </c>
      <c r="AL101" s="6" t="s">
        <v>58</v>
      </c>
      <c r="AM101" s="6" t="s">
        <v>431</v>
      </c>
      <c r="AN101" s="6" t="s">
        <v>33</v>
      </c>
      <c r="AO101" s="6" t="s">
        <v>253</v>
      </c>
      <c r="AP101" s="6" t="s">
        <v>486</v>
      </c>
      <c r="AQ101" s="6" t="s">
        <v>32</v>
      </c>
    </row>
    <row r="102" spans="1:43" hidden="1" x14ac:dyDescent="0.25">
      <c r="A102" s="6">
        <v>22696940</v>
      </c>
      <c r="B102" s="6">
        <v>23499770</v>
      </c>
      <c r="C102" s="6" t="s">
        <v>241</v>
      </c>
      <c r="D102" s="14">
        <v>45875.874907407408</v>
      </c>
      <c r="E102" s="14">
        <v>45875.875937500001</v>
      </c>
      <c r="F102" s="6" t="s">
        <v>19</v>
      </c>
      <c r="G102" s="6" t="s">
        <v>19</v>
      </c>
      <c r="H102" s="6" t="s">
        <v>533</v>
      </c>
      <c r="I102" s="6" t="s">
        <v>425</v>
      </c>
      <c r="J102" s="6" t="s">
        <v>534</v>
      </c>
      <c r="K102" s="6" t="s">
        <v>483</v>
      </c>
      <c r="L102" s="6" t="s">
        <v>483</v>
      </c>
      <c r="M102" s="14">
        <v>45875.240277777782</v>
      </c>
      <c r="N102" s="6" t="s">
        <v>92</v>
      </c>
      <c r="O102" s="6" t="s">
        <v>92</v>
      </c>
      <c r="P102" s="6" t="s">
        <v>245</v>
      </c>
      <c r="Q102" s="6" t="s">
        <v>428</v>
      </c>
      <c r="R102" s="6" t="s">
        <v>428</v>
      </c>
      <c r="S102" s="6" t="s">
        <v>7</v>
      </c>
      <c r="T102" s="6" t="s">
        <v>248</v>
      </c>
      <c r="U102" s="6" t="s">
        <v>118</v>
      </c>
      <c r="V102" s="6" t="s">
        <v>535</v>
      </c>
      <c r="W102" s="6" t="s">
        <v>92</v>
      </c>
      <c r="X102" s="6" t="s">
        <v>285</v>
      </c>
      <c r="Y102" s="6">
        <v>2244613800</v>
      </c>
      <c r="Z102" s="6" t="s">
        <v>14</v>
      </c>
      <c r="AA102" s="6" t="s">
        <v>92</v>
      </c>
      <c r="AB102" s="6">
        <v>1805.52</v>
      </c>
      <c r="AC102" s="6">
        <v>60.62</v>
      </c>
      <c r="AD102" s="6">
        <v>0</v>
      </c>
      <c r="AE102" s="6">
        <v>180.55</v>
      </c>
      <c r="AF102" s="6">
        <v>0</v>
      </c>
      <c r="AG102" s="6">
        <v>0</v>
      </c>
      <c r="AH102" s="6">
        <v>119.16</v>
      </c>
      <c r="AI102" s="6" t="s">
        <v>485</v>
      </c>
      <c r="AJ102" s="6" t="s">
        <v>532</v>
      </c>
      <c r="AK102" s="6" t="s">
        <v>14</v>
      </c>
      <c r="AL102" s="6" t="s">
        <v>58</v>
      </c>
      <c r="AM102" s="6" t="s">
        <v>431</v>
      </c>
      <c r="AN102" s="6" t="s">
        <v>33</v>
      </c>
      <c r="AO102" s="6" t="s">
        <v>253</v>
      </c>
      <c r="AP102" s="6" t="s">
        <v>486</v>
      </c>
      <c r="AQ102" s="6" t="s">
        <v>32</v>
      </c>
    </row>
    <row r="103" spans="1:43" hidden="1" x14ac:dyDescent="0.25">
      <c r="A103" s="6">
        <v>22696941</v>
      </c>
      <c r="B103" s="6">
        <v>23499771</v>
      </c>
      <c r="C103" s="6" t="s">
        <v>241</v>
      </c>
      <c r="D103" s="14">
        <v>45875.874918981477</v>
      </c>
      <c r="E103" s="14">
        <v>45875.877187500002</v>
      </c>
      <c r="F103" s="6" t="s">
        <v>19</v>
      </c>
      <c r="G103" s="6" t="s">
        <v>19</v>
      </c>
      <c r="H103" s="6" t="s">
        <v>536</v>
      </c>
      <c r="I103" s="6" t="s">
        <v>425</v>
      </c>
      <c r="J103" s="6" t="s">
        <v>534</v>
      </c>
      <c r="K103" s="6" t="s">
        <v>483</v>
      </c>
      <c r="L103" s="6" t="s">
        <v>483</v>
      </c>
      <c r="M103" s="14">
        <v>45875.240277777782</v>
      </c>
      <c r="N103" s="6" t="s">
        <v>92</v>
      </c>
      <c r="O103" s="6" t="s">
        <v>92</v>
      </c>
      <c r="P103" s="6" t="s">
        <v>245</v>
      </c>
      <c r="Q103" s="6" t="s">
        <v>428</v>
      </c>
      <c r="R103" s="6" t="s">
        <v>428</v>
      </c>
      <c r="S103" s="6" t="s">
        <v>7</v>
      </c>
      <c r="T103" s="6" t="s">
        <v>248</v>
      </c>
      <c r="U103" s="6" t="s">
        <v>118</v>
      </c>
      <c r="V103" s="6" t="s">
        <v>535</v>
      </c>
      <c r="W103" s="6" t="s">
        <v>92</v>
      </c>
      <c r="X103" s="6" t="s">
        <v>285</v>
      </c>
      <c r="Y103" s="6">
        <v>2244613732</v>
      </c>
      <c r="Z103" s="6" t="s">
        <v>14</v>
      </c>
      <c r="AA103" s="6" t="s">
        <v>92</v>
      </c>
      <c r="AB103" s="6">
        <v>2083.12</v>
      </c>
      <c r="AC103" s="6">
        <v>52.56</v>
      </c>
      <c r="AD103" s="6">
        <v>0</v>
      </c>
      <c r="AE103" s="6">
        <v>208.31</v>
      </c>
      <c r="AF103" s="6">
        <v>0</v>
      </c>
      <c r="AG103" s="6">
        <v>0</v>
      </c>
      <c r="AH103" s="6">
        <v>137.49</v>
      </c>
      <c r="AI103" s="6" t="s">
        <v>485</v>
      </c>
      <c r="AJ103" s="6" t="s">
        <v>532</v>
      </c>
      <c r="AK103" s="6" t="s">
        <v>14</v>
      </c>
      <c r="AL103" s="6" t="s">
        <v>58</v>
      </c>
      <c r="AM103" s="6" t="s">
        <v>431</v>
      </c>
      <c r="AN103" s="6" t="s">
        <v>33</v>
      </c>
      <c r="AO103" s="6" t="s">
        <v>253</v>
      </c>
      <c r="AP103" s="6" t="s">
        <v>486</v>
      </c>
      <c r="AQ103" s="6" t="s">
        <v>32</v>
      </c>
    </row>
    <row r="104" spans="1:43" hidden="1" x14ac:dyDescent="0.25">
      <c r="A104" s="6">
        <v>22699617</v>
      </c>
      <c r="B104" s="6">
        <v>23501892</v>
      </c>
      <c r="C104" s="6" t="s">
        <v>241</v>
      </c>
      <c r="D104" s="14">
        <v>45876.438935185193</v>
      </c>
      <c r="E104" s="14">
        <v>45876.440393518518</v>
      </c>
      <c r="F104" s="6" t="s">
        <v>19</v>
      </c>
      <c r="G104" s="6" t="s">
        <v>19</v>
      </c>
      <c r="H104" s="6" t="s">
        <v>537</v>
      </c>
      <c r="I104" s="6" t="s">
        <v>425</v>
      </c>
      <c r="J104" s="6" t="s">
        <v>538</v>
      </c>
      <c r="K104" s="6" t="s">
        <v>483</v>
      </c>
      <c r="L104" s="6" t="s">
        <v>483</v>
      </c>
      <c r="M104" s="14">
        <v>45876.4375</v>
      </c>
      <c r="N104" s="6" t="s">
        <v>92</v>
      </c>
      <c r="O104" s="6" t="s">
        <v>92</v>
      </c>
      <c r="P104" s="6" t="s">
        <v>245</v>
      </c>
      <c r="Q104" s="6" t="s">
        <v>428</v>
      </c>
      <c r="R104" s="6" t="s">
        <v>428</v>
      </c>
      <c r="S104" s="6" t="s">
        <v>7</v>
      </c>
      <c r="T104" s="6" t="s">
        <v>248</v>
      </c>
      <c r="U104" s="6" t="s">
        <v>118</v>
      </c>
      <c r="V104" s="6" t="s">
        <v>539</v>
      </c>
      <c r="W104" s="6" t="s">
        <v>92</v>
      </c>
      <c r="X104" s="6" t="s">
        <v>420</v>
      </c>
      <c r="Y104" s="6">
        <v>778248674</v>
      </c>
      <c r="Z104" s="6" t="s">
        <v>14</v>
      </c>
      <c r="AA104" s="6" t="s">
        <v>92</v>
      </c>
      <c r="AB104" s="6">
        <v>166.75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40</v>
      </c>
      <c r="AI104" s="6" t="s">
        <v>485</v>
      </c>
      <c r="AJ104" s="6" t="s">
        <v>436</v>
      </c>
      <c r="AK104" s="6" t="s">
        <v>14</v>
      </c>
      <c r="AL104" s="6" t="s">
        <v>60</v>
      </c>
      <c r="AM104" s="6" t="s">
        <v>437</v>
      </c>
      <c r="AN104" s="6" t="s">
        <v>28</v>
      </c>
      <c r="AO104" s="6" t="s">
        <v>253</v>
      </c>
      <c r="AP104" s="6" t="s">
        <v>486</v>
      </c>
      <c r="AQ104" s="6" t="s">
        <v>32</v>
      </c>
    </row>
    <row r="105" spans="1:43" hidden="1" x14ac:dyDescent="0.25">
      <c r="A105" s="6">
        <v>22700023</v>
      </c>
      <c r="B105" s="6">
        <v>23502265</v>
      </c>
      <c r="C105" s="6" t="s">
        <v>241</v>
      </c>
      <c r="D105" s="14">
        <v>45876.487569444442</v>
      </c>
      <c r="E105" s="14">
        <v>45876.48841435185</v>
      </c>
      <c r="F105" s="6" t="s">
        <v>19</v>
      </c>
      <c r="G105" s="6" t="s">
        <v>19</v>
      </c>
      <c r="H105" s="6" t="s">
        <v>540</v>
      </c>
      <c r="I105" s="6" t="s">
        <v>425</v>
      </c>
      <c r="J105" s="6" t="s">
        <v>541</v>
      </c>
      <c r="K105" s="6" t="s">
        <v>483</v>
      </c>
      <c r="L105" s="6" t="s">
        <v>483</v>
      </c>
      <c r="M105" s="14">
        <v>45876.476388888892</v>
      </c>
      <c r="N105" s="6" t="s">
        <v>92</v>
      </c>
      <c r="O105" s="6" t="s">
        <v>92</v>
      </c>
      <c r="P105" s="6" t="s">
        <v>245</v>
      </c>
      <c r="Q105" s="6" t="s">
        <v>428</v>
      </c>
      <c r="R105" s="6" t="s">
        <v>428</v>
      </c>
      <c r="S105" s="6" t="s">
        <v>7</v>
      </c>
      <c r="T105" s="6" t="s">
        <v>248</v>
      </c>
      <c r="U105" s="6" t="s">
        <v>118</v>
      </c>
      <c r="V105" s="6" t="s">
        <v>542</v>
      </c>
      <c r="W105" s="6" t="s">
        <v>92</v>
      </c>
      <c r="X105" s="6" t="s">
        <v>420</v>
      </c>
      <c r="Y105" s="6">
        <v>545138544</v>
      </c>
      <c r="Z105" s="6" t="s">
        <v>14</v>
      </c>
      <c r="AA105" s="6" t="s">
        <v>92</v>
      </c>
      <c r="AB105" s="6">
        <v>409.41</v>
      </c>
      <c r="AC105" s="6">
        <v>93.59</v>
      </c>
      <c r="AD105" s="6">
        <v>0</v>
      </c>
      <c r="AE105" s="6">
        <v>0</v>
      </c>
      <c r="AF105" s="6">
        <v>0</v>
      </c>
      <c r="AG105" s="6">
        <v>0</v>
      </c>
      <c r="AH105" s="6">
        <v>81.88</v>
      </c>
      <c r="AI105" s="6" t="s">
        <v>485</v>
      </c>
      <c r="AJ105" s="6" t="s">
        <v>430</v>
      </c>
      <c r="AK105" s="6" t="s">
        <v>14</v>
      </c>
      <c r="AL105" s="6" t="s">
        <v>58</v>
      </c>
      <c r="AM105" s="6" t="s">
        <v>431</v>
      </c>
      <c r="AN105" s="6" t="s">
        <v>33</v>
      </c>
      <c r="AO105" s="6" t="s">
        <v>253</v>
      </c>
      <c r="AP105" s="6" t="s">
        <v>486</v>
      </c>
      <c r="AQ105" s="6" t="s">
        <v>32</v>
      </c>
    </row>
    <row r="106" spans="1:43" x14ac:dyDescent="0.25">
      <c r="A106" s="6">
        <v>22700023</v>
      </c>
      <c r="B106" s="6">
        <v>23502266</v>
      </c>
      <c r="C106" s="6" t="s">
        <v>255</v>
      </c>
      <c r="D106" s="14">
        <v>45876.487569444442</v>
      </c>
      <c r="E106" s="14">
        <v>45876.48841435185</v>
      </c>
      <c r="F106" s="6" t="s">
        <v>19</v>
      </c>
      <c r="G106" s="6" t="s">
        <v>19</v>
      </c>
      <c r="H106" s="6" t="s">
        <v>540</v>
      </c>
      <c r="I106" s="6" t="s">
        <v>425</v>
      </c>
      <c r="J106" s="6" t="s">
        <v>543</v>
      </c>
      <c r="K106" s="6" t="s">
        <v>483</v>
      </c>
      <c r="L106" s="6" t="s">
        <v>483</v>
      </c>
      <c r="M106" s="14">
        <v>45876.476388888892</v>
      </c>
      <c r="N106" s="6" t="s">
        <v>92</v>
      </c>
      <c r="O106" s="6" t="s">
        <v>92</v>
      </c>
      <c r="P106" s="6" t="s">
        <v>245</v>
      </c>
      <c r="Q106" s="6" t="s">
        <v>428</v>
      </c>
      <c r="R106" s="6" t="s">
        <v>428</v>
      </c>
      <c r="S106" s="6" t="s">
        <v>7</v>
      </c>
      <c r="T106" s="6" t="s">
        <v>248</v>
      </c>
      <c r="U106" s="6" t="s">
        <v>118</v>
      </c>
      <c r="V106" s="6" t="s">
        <v>542</v>
      </c>
      <c r="W106" s="6" t="s">
        <v>92</v>
      </c>
      <c r="X106" s="6" t="s">
        <v>420</v>
      </c>
      <c r="Y106" s="6">
        <v>380351125</v>
      </c>
      <c r="Z106" s="6" t="s">
        <v>14</v>
      </c>
      <c r="AA106" s="6" t="s">
        <v>92</v>
      </c>
      <c r="AB106" s="6">
        <v>409.41</v>
      </c>
      <c r="AC106" s="6">
        <v>93.59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485</v>
      </c>
      <c r="AJ106" s="6" t="s">
        <v>430</v>
      </c>
      <c r="AK106" s="6" t="s">
        <v>14</v>
      </c>
      <c r="AL106" s="6" t="s">
        <v>58</v>
      </c>
      <c r="AM106" s="6" t="s">
        <v>431</v>
      </c>
      <c r="AN106" s="6" t="s">
        <v>33</v>
      </c>
      <c r="AO106" s="6" t="s">
        <v>253</v>
      </c>
      <c r="AP106" s="6" t="s">
        <v>486</v>
      </c>
      <c r="AQ106" s="6" t="s">
        <v>32</v>
      </c>
    </row>
    <row r="107" spans="1:43" hidden="1" x14ac:dyDescent="0.25">
      <c r="A107" s="6">
        <v>22700070</v>
      </c>
      <c r="B107" s="6">
        <v>23502309</v>
      </c>
      <c r="C107" s="6" t="s">
        <v>241</v>
      </c>
      <c r="D107" s="14">
        <v>45876.494525462957</v>
      </c>
      <c r="E107" s="14">
        <v>45876.497800925928</v>
      </c>
      <c r="F107" s="6" t="s">
        <v>19</v>
      </c>
      <c r="G107" s="6" t="s">
        <v>19</v>
      </c>
      <c r="H107" s="6" t="s">
        <v>544</v>
      </c>
      <c r="I107" s="6" t="s">
        <v>425</v>
      </c>
      <c r="J107" s="6" t="s">
        <v>545</v>
      </c>
      <c r="K107" s="6" t="s">
        <v>483</v>
      </c>
      <c r="L107" s="6" t="s">
        <v>483</v>
      </c>
      <c r="M107" s="14">
        <v>45876.491666666669</v>
      </c>
      <c r="N107" s="6" t="s">
        <v>92</v>
      </c>
      <c r="O107" s="6" t="s">
        <v>92</v>
      </c>
      <c r="P107" s="6" t="s">
        <v>245</v>
      </c>
      <c r="Q107" s="6" t="s">
        <v>428</v>
      </c>
      <c r="R107" s="6" t="s">
        <v>428</v>
      </c>
      <c r="S107" s="6" t="s">
        <v>7</v>
      </c>
      <c r="T107" s="6" t="s">
        <v>248</v>
      </c>
      <c r="U107" s="6" t="s">
        <v>118</v>
      </c>
      <c r="V107" s="6" t="s">
        <v>517</v>
      </c>
      <c r="W107" s="6" t="s">
        <v>92</v>
      </c>
      <c r="X107" s="6" t="s">
        <v>420</v>
      </c>
      <c r="Y107" s="6">
        <v>743416547</v>
      </c>
      <c r="Z107" s="6" t="s">
        <v>14</v>
      </c>
      <c r="AA107" s="6" t="s">
        <v>92</v>
      </c>
      <c r="AB107" s="6">
        <v>1147.8399999999999</v>
      </c>
      <c r="AC107" s="6">
        <v>87.96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485</v>
      </c>
      <c r="AJ107" s="6" t="s">
        <v>436</v>
      </c>
      <c r="AK107" s="6" t="s">
        <v>14</v>
      </c>
      <c r="AL107" s="6" t="s">
        <v>60</v>
      </c>
      <c r="AM107" s="6" t="s">
        <v>437</v>
      </c>
      <c r="AN107" s="6" t="s">
        <v>28</v>
      </c>
      <c r="AO107" s="6" t="s">
        <v>253</v>
      </c>
      <c r="AP107" s="6" t="s">
        <v>486</v>
      </c>
      <c r="AQ107" s="6" t="s">
        <v>32</v>
      </c>
    </row>
    <row r="108" spans="1:43" x14ac:dyDescent="0.25">
      <c r="A108" s="6">
        <v>22695090</v>
      </c>
      <c r="B108" s="6">
        <v>23497957</v>
      </c>
      <c r="C108" s="6" t="s">
        <v>241</v>
      </c>
      <c r="D108" s="14">
        <v>45875.737569444442</v>
      </c>
      <c r="E108" s="14">
        <v>45875.738078703696</v>
      </c>
      <c r="F108" s="6" t="s">
        <v>19</v>
      </c>
      <c r="G108" s="6" t="s">
        <v>19</v>
      </c>
      <c r="H108" s="6" t="s">
        <v>546</v>
      </c>
      <c r="I108" s="6" t="s">
        <v>425</v>
      </c>
      <c r="J108" s="6" t="s">
        <v>547</v>
      </c>
      <c r="K108" s="6" t="s">
        <v>483</v>
      </c>
      <c r="L108" s="6" t="s">
        <v>483</v>
      </c>
      <c r="M108" s="14">
        <v>45875.236805555563</v>
      </c>
      <c r="N108" s="6" t="s">
        <v>92</v>
      </c>
      <c r="O108" s="6" t="s">
        <v>92</v>
      </c>
      <c r="P108" s="6" t="s">
        <v>245</v>
      </c>
      <c r="Q108" s="6" t="s">
        <v>428</v>
      </c>
      <c r="R108" s="6" t="s">
        <v>428</v>
      </c>
      <c r="S108" s="6" t="s">
        <v>7</v>
      </c>
      <c r="T108" s="6" t="s">
        <v>248</v>
      </c>
      <c r="U108" s="6" t="s">
        <v>118</v>
      </c>
      <c r="V108" s="6" t="s">
        <v>548</v>
      </c>
      <c r="W108" s="6" t="s">
        <v>92</v>
      </c>
      <c r="X108" s="6" t="s">
        <v>420</v>
      </c>
      <c r="Y108" s="6">
        <v>408236868</v>
      </c>
      <c r="Z108" s="6" t="s">
        <v>14</v>
      </c>
      <c r="AA108" s="6" t="s">
        <v>92</v>
      </c>
      <c r="AB108" s="6">
        <v>365.4</v>
      </c>
      <c r="AC108" s="6">
        <v>93.46</v>
      </c>
      <c r="AD108" s="6">
        <v>0</v>
      </c>
      <c r="AE108" s="6">
        <v>0</v>
      </c>
      <c r="AF108" s="6">
        <v>0</v>
      </c>
      <c r="AG108" s="6">
        <v>0</v>
      </c>
      <c r="AH108" s="6">
        <v>40.92</v>
      </c>
      <c r="AI108" s="6" t="s">
        <v>485</v>
      </c>
      <c r="AJ108" s="6" t="s">
        <v>532</v>
      </c>
      <c r="AK108" s="6" t="s">
        <v>14</v>
      </c>
      <c r="AL108" s="6" t="s">
        <v>58</v>
      </c>
      <c r="AM108" s="6" t="s">
        <v>431</v>
      </c>
      <c r="AN108" s="6" t="s">
        <v>33</v>
      </c>
      <c r="AO108" s="6" t="s">
        <v>253</v>
      </c>
      <c r="AP108" s="6" t="s">
        <v>486</v>
      </c>
      <c r="AQ108" s="6" t="s">
        <v>32</v>
      </c>
    </row>
    <row r="109" spans="1:43" hidden="1" x14ac:dyDescent="0.25">
      <c r="A109" s="6">
        <v>22695192</v>
      </c>
      <c r="B109" s="6">
        <v>23498043</v>
      </c>
      <c r="C109" s="6" t="s">
        <v>241</v>
      </c>
      <c r="D109" s="14">
        <v>45875.748784722222</v>
      </c>
      <c r="E109" s="14">
        <v>45875.751377314817</v>
      </c>
      <c r="F109" s="6" t="s">
        <v>19</v>
      </c>
      <c r="G109" s="6" t="s">
        <v>19</v>
      </c>
      <c r="H109" s="6" t="s">
        <v>549</v>
      </c>
      <c r="I109" s="6" t="s">
        <v>425</v>
      </c>
      <c r="J109" s="6" t="s">
        <v>547</v>
      </c>
      <c r="K109" s="6" t="s">
        <v>483</v>
      </c>
      <c r="L109" s="6" t="s">
        <v>483</v>
      </c>
      <c r="M109" s="14">
        <v>45875.24722222222</v>
      </c>
      <c r="N109" s="6" t="s">
        <v>92</v>
      </c>
      <c r="O109" s="6" t="s">
        <v>92</v>
      </c>
      <c r="P109" s="6" t="s">
        <v>245</v>
      </c>
      <c r="Q109" s="6" t="s">
        <v>428</v>
      </c>
      <c r="R109" s="6" t="s">
        <v>428</v>
      </c>
      <c r="S109" s="6" t="s">
        <v>7</v>
      </c>
      <c r="T109" s="6" t="s">
        <v>248</v>
      </c>
      <c r="U109" s="6" t="s">
        <v>118</v>
      </c>
      <c r="V109" s="6" t="s">
        <v>548</v>
      </c>
      <c r="W109" s="6" t="s">
        <v>92</v>
      </c>
      <c r="X109" s="6" t="s">
        <v>420</v>
      </c>
      <c r="Y109" s="6">
        <v>267448399</v>
      </c>
      <c r="Z109" s="6" t="s">
        <v>14</v>
      </c>
      <c r="AA109" s="6" t="s">
        <v>92</v>
      </c>
      <c r="AB109" s="6">
        <v>1055.5999999999999</v>
      </c>
      <c r="AC109" s="6">
        <v>96.57</v>
      </c>
      <c r="AD109" s="6">
        <v>0</v>
      </c>
      <c r="AE109" s="6">
        <v>0</v>
      </c>
      <c r="AF109" s="6">
        <v>0</v>
      </c>
      <c r="AG109" s="6">
        <v>0</v>
      </c>
      <c r="AH109" s="6">
        <v>40.92</v>
      </c>
      <c r="AI109" s="6" t="s">
        <v>485</v>
      </c>
      <c r="AJ109" s="6" t="s">
        <v>532</v>
      </c>
      <c r="AK109" s="6" t="s">
        <v>14</v>
      </c>
      <c r="AL109" s="6" t="s">
        <v>58</v>
      </c>
      <c r="AM109" s="6" t="s">
        <v>431</v>
      </c>
      <c r="AN109" s="6" t="s">
        <v>33</v>
      </c>
      <c r="AO109" s="6" t="s">
        <v>253</v>
      </c>
      <c r="AP109" s="6" t="s">
        <v>486</v>
      </c>
      <c r="AQ109" s="6" t="s">
        <v>32</v>
      </c>
    </row>
    <row r="110" spans="1:43" x14ac:dyDescent="0.25">
      <c r="A110" s="6">
        <v>22694293</v>
      </c>
      <c r="B110" s="6">
        <v>23497154</v>
      </c>
      <c r="C110" s="6" t="s">
        <v>414</v>
      </c>
      <c r="D110" s="14">
        <v>45875.647175925929</v>
      </c>
      <c r="E110" s="14">
        <v>45875.649895833332</v>
      </c>
      <c r="F110" s="6" t="s">
        <v>19</v>
      </c>
      <c r="G110" s="6" t="s">
        <v>19</v>
      </c>
      <c r="H110" s="6" t="s">
        <v>550</v>
      </c>
      <c r="I110" s="6" t="s">
        <v>16</v>
      </c>
      <c r="J110" s="6" t="s">
        <v>551</v>
      </c>
      <c r="K110" s="6" t="s">
        <v>483</v>
      </c>
      <c r="L110" s="6" t="s">
        <v>483</v>
      </c>
      <c r="M110" s="14">
        <v>45870.646527777782</v>
      </c>
      <c r="N110" s="6" t="s">
        <v>92</v>
      </c>
      <c r="O110" s="6" t="s">
        <v>92</v>
      </c>
      <c r="P110" s="6" t="s">
        <v>245</v>
      </c>
      <c r="Q110" s="6" t="s">
        <v>246</v>
      </c>
      <c r="R110" s="6" t="s">
        <v>418</v>
      </c>
      <c r="S110" s="6" t="s">
        <v>7</v>
      </c>
      <c r="T110" s="6" t="s">
        <v>248</v>
      </c>
      <c r="U110" s="6" t="s">
        <v>118</v>
      </c>
      <c r="V110" s="6" t="s">
        <v>517</v>
      </c>
      <c r="W110" s="6" t="s">
        <v>92</v>
      </c>
      <c r="X110" s="6" t="s">
        <v>420</v>
      </c>
      <c r="Y110" s="6">
        <v>3023497153</v>
      </c>
      <c r="Z110" s="6" t="s">
        <v>14</v>
      </c>
      <c r="AA110" s="6" t="s">
        <v>92</v>
      </c>
      <c r="AB110" s="6">
        <v>1070.25</v>
      </c>
      <c r="AC110" s="6">
        <v>86.14</v>
      </c>
      <c r="AD110" s="6">
        <v>0</v>
      </c>
      <c r="AE110" s="6">
        <v>0</v>
      </c>
      <c r="AF110" s="6">
        <v>0</v>
      </c>
      <c r="AG110" s="6">
        <v>0</v>
      </c>
      <c r="AH110" s="6">
        <v>107.03</v>
      </c>
      <c r="AI110" s="6" t="s">
        <v>92</v>
      </c>
      <c r="AJ110" s="6" t="s">
        <v>421</v>
      </c>
      <c r="AK110" s="6" t="s">
        <v>14</v>
      </c>
      <c r="AL110" s="6" t="s">
        <v>67</v>
      </c>
      <c r="AM110" s="6" t="s">
        <v>422</v>
      </c>
      <c r="AN110" s="6" t="s">
        <v>35</v>
      </c>
      <c r="AO110" s="6" t="s">
        <v>253</v>
      </c>
      <c r="AP110" s="6" t="s">
        <v>486</v>
      </c>
      <c r="AQ110" s="6" t="s">
        <v>32</v>
      </c>
    </row>
    <row r="111" spans="1:43" x14ac:dyDescent="0.25">
      <c r="A111" s="6">
        <v>22693812</v>
      </c>
      <c r="B111" s="6">
        <v>23496718</v>
      </c>
      <c r="C111" s="6" t="s">
        <v>241</v>
      </c>
      <c r="D111" s="14">
        <v>45875.574942129628</v>
      </c>
      <c r="E111" s="14">
        <v>45875.576539351852</v>
      </c>
      <c r="F111" s="6" t="s">
        <v>19</v>
      </c>
      <c r="G111" s="6" t="s">
        <v>19</v>
      </c>
      <c r="H111" s="6" t="s">
        <v>552</v>
      </c>
      <c r="I111" s="6" t="s">
        <v>425</v>
      </c>
      <c r="J111" s="6" t="s">
        <v>553</v>
      </c>
      <c r="K111" s="6" t="s">
        <v>483</v>
      </c>
      <c r="L111" s="6" t="s">
        <v>483</v>
      </c>
      <c r="M111" s="14">
        <v>45875.072916666657</v>
      </c>
      <c r="N111" s="6" t="s">
        <v>92</v>
      </c>
      <c r="O111" s="6" t="s">
        <v>92</v>
      </c>
      <c r="P111" s="6" t="s">
        <v>245</v>
      </c>
      <c r="Q111" s="6" t="s">
        <v>428</v>
      </c>
      <c r="R111" s="6" t="s">
        <v>428</v>
      </c>
      <c r="S111" s="6" t="s">
        <v>7</v>
      </c>
      <c r="T111" s="6" t="s">
        <v>248</v>
      </c>
      <c r="U111" s="6" t="s">
        <v>118</v>
      </c>
      <c r="V111" s="6" t="s">
        <v>554</v>
      </c>
      <c r="W111" s="6" t="s">
        <v>92</v>
      </c>
      <c r="X111" s="6" t="s">
        <v>420</v>
      </c>
      <c r="Y111" s="6">
        <v>863078581</v>
      </c>
      <c r="Z111" s="6" t="s">
        <v>14</v>
      </c>
      <c r="AA111" s="6" t="s">
        <v>92</v>
      </c>
      <c r="AB111" s="6">
        <v>548.91999999999996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40</v>
      </c>
      <c r="AI111" s="6" t="s">
        <v>485</v>
      </c>
      <c r="AJ111" s="6" t="s">
        <v>436</v>
      </c>
      <c r="AK111" s="6" t="s">
        <v>14</v>
      </c>
      <c r="AL111" s="6" t="s">
        <v>60</v>
      </c>
      <c r="AM111" s="6" t="s">
        <v>437</v>
      </c>
      <c r="AN111" s="6" t="s">
        <v>28</v>
      </c>
      <c r="AO111" s="6" t="s">
        <v>253</v>
      </c>
      <c r="AP111" s="6" t="s">
        <v>486</v>
      </c>
      <c r="AQ111" s="6" t="s">
        <v>32</v>
      </c>
    </row>
    <row r="112" spans="1:43" hidden="1" x14ac:dyDescent="0.25">
      <c r="A112" s="6">
        <v>22651101</v>
      </c>
      <c r="B112" s="6">
        <v>23460675</v>
      </c>
      <c r="C112" s="6" t="s">
        <v>241</v>
      </c>
      <c r="D112" s="14">
        <v>45868.529861111107</v>
      </c>
      <c r="E112" s="14">
        <v>45869.413171296299</v>
      </c>
      <c r="F112" s="6" t="s">
        <v>23</v>
      </c>
      <c r="G112" s="6" t="s">
        <v>25</v>
      </c>
      <c r="H112" s="6" t="s">
        <v>555</v>
      </c>
      <c r="I112" s="6" t="s">
        <v>425</v>
      </c>
      <c r="J112" s="6" t="s">
        <v>556</v>
      </c>
      <c r="K112" s="6" t="s">
        <v>483</v>
      </c>
      <c r="L112" s="6" t="s">
        <v>483</v>
      </c>
      <c r="M112" s="14">
        <v>45867.268750000003</v>
      </c>
      <c r="N112" s="6" t="s">
        <v>92</v>
      </c>
      <c r="O112" s="6" t="s">
        <v>92</v>
      </c>
      <c r="P112" s="6" t="s">
        <v>245</v>
      </c>
      <c r="Q112" s="6" t="s">
        <v>557</v>
      </c>
      <c r="R112" s="6" t="s">
        <v>557</v>
      </c>
      <c r="S112" s="6" t="s">
        <v>7</v>
      </c>
      <c r="T112" s="6" t="s">
        <v>509</v>
      </c>
      <c r="U112" s="6" t="s">
        <v>118</v>
      </c>
      <c r="V112" s="6" t="s">
        <v>558</v>
      </c>
      <c r="W112" s="6" t="s">
        <v>92</v>
      </c>
      <c r="X112" s="6" t="s">
        <v>420</v>
      </c>
      <c r="Y112" s="6">
        <v>980419988</v>
      </c>
      <c r="Z112" s="6" t="s">
        <v>14</v>
      </c>
      <c r="AA112" s="6" t="s">
        <v>92</v>
      </c>
      <c r="AB112" s="6">
        <v>713.2</v>
      </c>
      <c r="AC112" s="6">
        <v>36.67</v>
      </c>
      <c r="AD112" s="6">
        <v>0</v>
      </c>
      <c r="AE112" s="6">
        <v>0</v>
      </c>
      <c r="AF112" s="6">
        <v>0</v>
      </c>
      <c r="AG112" s="6">
        <v>0</v>
      </c>
      <c r="AH112" s="6">
        <v>92.72</v>
      </c>
      <c r="AI112" s="6" t="s">
        <v>485</v>
      </c>
      <c r="AJ112" s="6" t="s">
        <v>559</v>
      </c>
      <c r="AK112" s="6" t="s">
        <v>14</v>
      </c>
      <c r="AL112" s="6" t="s">
        <v>65</v>
      </c>
      <c r="AM112" s="6" t="s">
        <v>560</v>
      </c>
      <c r="AN112" s="6" t="s">
        <v>22</v>
      </c>
      <c r="AO112" s="6" t="s">
        <v>253</v>
      </c>
      <c r="AP112" s="6" t="s">
        <v>486</v>
      </c>
      <c r="AQ112" s="6" t="s">
        <v>32</v>
      </c>
    </row>
    <row r="113" spans="1:43" hidden="1" x14ac:dyDescent="0.25">
      <c r="A113" s="6">
        <v>22701761</v>
      </c>
      <c r="B113" s="6">
        <v>23503924</v>
      </c>
      <c r="C113" s="6" t="s">
        <v>414</v>
      </c>
      <c r="D113" s="14">
        <v>45876.662048611113</v>
      </c>
      <c r="E113" s="14">
        <v>45876.673634259263</v>
      </c>
      <c r="F113" s="6" t="s">
        <v>19</v>
      </c>
      <c r="G113" s="6" t="s">
        <v>19</v>
      </c>
      <c r="H113" s="6" t="s">
        <v>561</v>
      </c>
      <c r="I113" s="6" t="s">
        <v>16</v>
      </c>
      <c r="J113" s="6" t="s">
        <v>562</v>
      </c>
      <c r="K113" s="6" t="s">
        <v>483</v>
      </c>
      <c r="L113" s="6" t="s">
        <v>483</v>
      </c>
      <c r="M113" s="14">
        <v>45875.661805555559</v>
      </c>
      <c r="N113" s="6" t="s">
        <v>92</v>
      </c>
      <c r="O113" s="6" t="s">
        <v>92</v>
      </c>
      <c r="P113" s="6" t="s">
        <v>245</v>
      </c>
      <c r="Q113" s="6" t="s">
        <v>428</v>
      </c>
      <c r="R113" s="6" t="s">
        <v>428</v>
      </c>
      <c r="S113" s="6" t="s">
        <v>7</v>
      </c>
      <c r="T113" s="6" t="s">
        <v>248</v>
      </c>
      <c r="U113" s="6" t="s">
        <v>118</v>
      </c>
      <c r="V113" s="6" t="s">
        <v>563</v>
      </c>
      <c r="W113" s="6" t="s">
        <v>92</v>
      </c>
      <c r="X113" s="6" t="s">
        <v>420</v>
      </c>
      <c r="Y113" s="6">
        <v>3023503923</v>
      </c>
      <c r="Z113" s="6" t="s">
        <v>14</v>
      </c>
      <c r="AA113" s="6" t="s">
        <v>92</v>
      </c>
      <c r="AB113" s="6">
        <v>473.92</v>
      </c>
      <c r="AC113" s="6">
        <v>33.56</v>
      </c>
      <c r="AD113" s="6">
        <v>0</v>
      </c>
      <c r="AE113" s="6">
        <v>0</v>
      </c>
      <c r="AF113" s="6">
        <v>0</v>
      </c>
      <c r="AG113" s="6">
        <v>0</v>
      </c>
      <c r="AH113" s="6">
        <v>47.39</v>
      </c>
      <c r="AI113" s="6" t="s">
        <v>92</v>
      </c>
      <c r="AJ113" s="6" t="s">
        <v>564</v>
      </c>
      <c r="AK113" s="6" t="s">
        <v>14</v>
      </c>
      <c r="AL113" s="6" t="s">
        <v>67</v>
      </c>
      <c r="AM113" s="6" t="s">
        <v>422</v>
      </c>
      <c r="AN113" s="6" t="s">
        <v>35</v>
      </c>
      <c r="AO113" s="6" t="s">
        <v>253</v>
      </c>
      <c r="AP113" s="6" t="s">
        <v>486</v>
      </c>
      <c r="AQ113" s="6" t="s">
        <v>32</v>
      </c>
    </row>
    <row r="114" spans="1:43" hidden="1" x14ac:dyDescent="0.25">
      <c r="A114" s="6">
        <v>22702509</v>
      </c>
      <c r="B114" s="6">
        <v>23504650</v>
      </c>
      <c r="C114" s="6" t="s">
        <v>241</v>
      </c>
      <c r="D114" s="14">
        <v>45876.744467592587</v>
      </c>
      <c r="E114" s="14">
        <v>45876.746354166673</v>
      </c>
      <c r="F114" s="6" t="s">
        <v>19</v>
      </c>
      <c r="G114" s="6" t="s">
        <v>19</v>
      </c>
      <c r="H114" s="6" t="s">
        <v>565</v>
      </c>
      <c r="I114" s="6" t="s">
        <v>425</v>
      </c>
      <c r="J114" s="6" t="s">
        <v>566</v>
      </c>
      <c r="K114" s="6" t="s">
        <v>483</v>
      </c>
      <c r="L114" s="6" t="s">
        <v>483</v>
      </c>
      <c r="M114" s="14">
        <v>45875.123611111107</v>
      </c>
      <c r="N114" s="6" t="s">
        <v>92</v>
      </c>
      <c r="O114" s="6" t="s">
        <v>92</v>
      </c>
      <c r="P114" s="6" t="s">
        <v>245</v>
      </c>
      <c r="Q114" s="6" t="s">
        <v>428</v>
      </c>
      <c r="R114" s="6" t="s">
        <v>428</v>
      </c>
      <c r="S114" s="6" t="s">
        <v>7</v>
      </c>
      <c r="T114" s="6" t="s">
        <v>248</v>
      </c>
      <c r="U114" s="6" t="s">
        <v>118</v>
      </c>
      <c r="V114" s="6" t="s">
        <v>567</v>
      </c>
      <c r="W114" s="6" t="s">
        <v>92</v>
      </c>
      <c r="X114" s="6" t="s">
        <v>455</v>
      </c>
      <c r="Y114" s="6">
        <v>2142913055</v>
      </c>
      <c r="Z114" s="6" t="s">
        <v>14</v>
      </c>
      <c r="AA114" s="6" t="s">
        <v>92</v>
      </c>
      <c r="AB114" s="6">
        <v>1519.9</v>
      </c>
      <c r="AC114" s="6">
        <v>59.95</v>
      </c>
      <c r="AD114" s="6">
        <v>0</v>
      </c>
      <c r="AE114" s="6">
        <v>0</v>
      </c>
      <c r="AF114" s="6">
        <v>0</v>
      </c>
      <c r="AG114" s="6">
        <v>0</v>
      </c>
      <c r="AH114" s="6">
        <v>15.2</v>
      </c>
      <c r="AI114" s="6" t="s">
        <v>485</v>
      </c>
      <c r="AJ114" s="6" t="s">
        <v>532</v>
      </c>
      <c r="AK114" s="6" t="s">
        <v>14</v>
      </c>
      <c r="AL114" s="6" t="s">
        <v>58</v>
      </c>
      <c r="AM114" s="6" t="s">
        <v>431</v>
      </c>
      <c r="AN114" s="6" t="s">
        <v>33</v>
      </c>
      <c r="AO114" s="6" t="s">
        <v>253</v>
      </c>
      <c r="AP114" s="6" t="s">
        <v>486</v>
      </c>
      <c r="AQ114" s="6" t="s">
        <v>32</v>
      </c>
    </row>
    <row r="115" spans="1:43" x14ac:dyDescent="0.25">
      <c r="A115" s="6">
        <v>22702557</v>
      </c>
      <c r="B115" s="6">
        <v>23504693</v>
      </c>
      <c r="C115" s="6" t="s">
        <v>241</v>
      </c>
      <c r="D115" s="14">
        <v>45876.751493055563</v>
      </c>
      <c r="E115" s="14">
        <v>45876.752650462957</v>
      </c>
      <c r="F115" s="6" t="s">
        <v>19</v>
      </c>
      <c r="G115" s="6" t="s">
        <v>19</v>
      </c>
      <c r="H115" s="6" t="s">
        <v>568</v>
      </c>
      <c r="I115" s="6" t="s">
        <v>425</v>
      </c>
      <c r="J115" s="6" t="s">
        <v>569</v>
      </c>
      <c r="K115" s="6" t="s">
        <v>483</v>
      </c>
      <c r="L115" s="6" t="s">
        <v>483</v>
      </c>
      <c r="M115" s="14">
        <v>45876.240277777782</v>
      </c>
      <c r="N115" s="6" t="s">
        <v>92</v>
      </c>
      <c r="O115" s="6" t="s">
        <v>92</v>
      </c>
      <c r="P115" s="6" t="s">
        <v>245</v>
      </c>
      <c r="Q115" s="6" t="s">
        <v>428</v>
      </c>
      <c r="R115" s="6" t="s">
        <v>428</v>
      </c>
      <c r="S115" s="6" t="s">
        <v>7</v>
      </c>
      <c r="T115" s="6" t="s">
        <v>248</v>
      </c>
      <c r="U115" s="6" t="s">
        <v>118</v>
      </c>
      <c r="V115" s="6" t="s">
        <v>558</v>
      </c>
      <c r="W115" s="6" t="s">
        <v>92</v>
      </c>
      <c r="X115" s="6" t="s">
        <v>420</v>
      </c>
      <c r="Y115" s="6">
        <v>771850144</v>
      </c>
      <c r="Z115" s="6" t="s">
        <v>14</v>
      </c>
      <c r="AA115" s="6" t="s">
        <v>92</v>
      </c>
      <c r="AB115" s="6">
        <v>803.17</v>
      </c>
      <c r="AC115" s="6">
        <v>48.16</v>
      </c>
      <c r="AD115" s="6">
        <v>0</v>
      </c>
      <c r="AE115" s="6">
        <v>0</v>
      </c>
      <c r="AF115" s="6">
        <v>0</v>
      </c>
      <c r="AG115" s="6">
        <v>0</v>
      </c>
      <c r="AH115" s="6">
        <v>78.38</v>
      </c>
      <c r="AI115" s="6" t="s">
        <v>485</v>
      </c>
      <c r="AJ115" s="6" t="s">
        <v>430</v>
      </c>
      <c r="AK115" s="6" t="s">
        <v>14</v>
      </c>
      <c r="AL115" s="6" t="s">
        <v>58</v>
      </c>
      <c r="AM115" s="6" t="s">
        <v>431</v>
      </c>
      <c r="AN115" s="6" t="s">
        <v>33</v>
      </c>
      <c r="AO115" s="6" t="s">
        <v>253</v>
      </c>
      <c r="AP115" s="6" t="s">
        <v>486</v>
      </c>
      <c r="AQ115" s="6" t="s">
        <v>32</v>
      </c>
    </row>
    <row r="116" spans="1:43" x14ac:dyDescent="0.25">
      <c r="A116" s="6">
        <v>22702290</v>
      </c>
      <c r="B116" s="6">
        <v>23504426</v>
      </c>
      <c r="C116" s="6" t="s">
        <v>241</v>
      </c>
      <c r="D116" s="14">
        <v>45876.71539351852</v>
      </c>
      <c r="E116" s="14">
        <v>45876.724351851852</v>
      </c>
      <c r="F116" s="6" t="s">
        <v>19</v>
      </c>
      <c r="G116" s="6" t="s">
        <v>19</v>
      </c>
      <c r="H116" s="6" t="s">
        <v>570</v>
      </c>
      <c r="I116" s="6" t="s">
        <v>425</v>
      </c>
      <c r="J116" s="6" t="s">
        <v>571</v>
      </c>
      <c r="K116" s="6" t="s">
        <v>483</v>
      </c>
      <c r="L116" s="6" t="s">
        <v>483</v>
      </c>
      <c r="M116" s="14">
        <v>45876.043055555558</v>
      </c>
      <c r="N116" s="6" t="s">
        <v>92</v>
      </c>
      <c r="O116" s="6" t="s">
        <v>92</v>
      </c>
      <c r="P116" s="6" t="s">
        <v>245</v>
      </c>
      <c r="Q116" s="6" t="s">
        <v>428</v>
      </c>
      <c r="R116" s="6" t="s">
        <v>428</v>
      </c>
      <c r="S116" s="6" t="s">
        <v>7</v>
      </c>
      <c r="T116" s="6" t="s">
        <v>248</v>
      </c>
      <c r="U116" s="6" t="s">
        <v>118</v>
      </c>
      <c r="V116" s="6" t="s">
        <v>572</v>
      </c>
      <c r="W116" s="6" t="s">
        <v>92</v>
      </c>
      <c r="X116" s="6" t="s">
        <v>420</v>
      </c>
      <c r="Y116" s="6">
        <v>793480309</v>
      </c>
      <c r="Z116" s="6" t="s">
        <v>14</v>
      </c>
      <c r="AA116" s="6" t="s">
        <v>92</v>
      </c>
      <c r="AB116" s="6">
        <v>2550.5100000000002</v>
      </c>
      <c r="AC116" s="6">
        <v>60.62</v>
      </c>
      <c r="AD116" s="6">
        <v>0</v>
      </c>
      <c r="AE116" s="6">
        <v>0</v>
      </c>
      <c r="AF116" s="6">
        <v>0</v>
      </c>
      <c r="AG116" s="6">
        <v>0</v>
      </c>
      <c r="AH116" s="6">
        <v>255.05</v>
      </c>
      <c r="AI116" s="6" t="s">
        <v>485</v>
      </c>
      <c r="AJ116" s="6" t="s">
        <v>430</v>
      </c>
      <c r="AK116" s="6" t="s">
        <v>14</v>
      </c>
      <c r="AL116" s="6" t="s">
        <v>58</v>
      </c>
      <c r="AM116" s="6" t="s">
        <v>431</v>
      </c>
      <c r="AN116" s="6" t="s">
        <v>33</v>
      </c>
      <c r="AO116" s="6" t="s">
        <v>253</v>
      </c>
      <c r="AP116" s="6" t="s">
        <v>486</v>
      </c>
      <c r="AQ116" s="6" t="s">
        <v>32</v>
      </c>
    </row>
    <row r="117" spans="1:43" hidden="1" x14ac:dyDescent="0.25">
      <c r="A117" s="6">
        <v>22702180</v>
      </c>
      <c r="B117" s="6">
        <v>23504319</v>
      </c>
      <c r="C117" s="6" t="s">
        <v>241</v>
      </c>
      <c r="D117" s="14">
        <v>45876.707071759258</v>
      </c>
      <c r="E117" s="14">
        <v>45876.709120370368</v>
      </c>
      <c r="F117" s="6" t="s">
        <v>19</v>
      </c>
      <c r="G117" s="6" t="s">
        <v>19</v>
      </c>
      <c r="H117" s="6" t="s">
        <v>573</v>
      </c>
      <c r="I117" s="6" t="s">
        <v>425</v>
      </c>
      <c r="J117" s="6" t="s">
        <v>574</v>
      </c>
      <c r="K117" s="6" t="s">
        <v>483</v>
      </c>
      <c r="L117" s="6" t="s">
        <v>483</v>
      </c>
      <c r="M117" s="14">
        <v>45876.09097222222</v>
      </c>
      <c r="N117" s="6" t="s">
        <v>92</v>
      </c>
      <c r="O117" s="6" t="s">
        <v>92</v>
      </c>
      <c r="P117" s="6" t="s">
        <v>245</v>
      </c>
      <c r="Q117" s="6" t="s">
        <v>428</v>
      </c>
      <c r="R117" s="6" t="s">
        <v>428</v>
      </c>
      <c r="S117" s="6" t="s">
        <v>7</v>
      </c>
      <c r="T117" s="6" t="s">
        <v>248</v>
      </c>
      <c r="U117" s="6" t="s">
        <v>118</v>
      </c>
      <c r="V117" s="6" t="s">
        <v>575</v>
      </c>
      <c r="W117" s="6" t="s">
        <v>92</v>
      </c>
      <c r="X117" s="6" t="s">
        <v>420</v>
      </c>
      <c r="Y117" s="6">
        <v>663202476</v>
      </c>
      <c r="Z117" s="6" t="s">
        <v>14</v>
      </c>
      <c r="AA117" s="6" t="s">
        <v>92</v>
      </c>
      <c r="AB117" s="6">
        <v>1360.78</v>
      </c>
      <c r="AC117" s="6">
        <v>82.86</v>
      </c>
      <c r="AD117" s="6">
        <v>0</v>
      </c>
      <c r="AE117" s="6">
        <v>0</v>
      </c>
      <c r="AF117" s="6">
        <v>0</v>
      </c>
      <c r="AG117" s="6">
        <v>0</v>
      </c>
      <c r="AH117" s="6">
        <v>489.88</v>
      </c>
      <c r="AI117" s="6" t="s">
        <v>485</v>
      </c>
      <c r="AJ117" s="6" t="s">
        <v>430</v>
      </c>
      <c r="AK117" s="6" t="s">
        <v>14</v>
      </c>
      <c r="AL117" s="6" t="s">
        <v>58</v>
      </c>
      <c r="AM117" s="6" t="s">
        <v>431</v>
      </c>
      <c r="AN117" s="6" t="s">
        <v>33</v>
      </c>
      <c r="AO117" s="6" t="s">
        <v>253</v>
      </c>
      <c r="AP117" s="6" t="s">
        <v>486</v>
      </c>
      <c r="AQ117" s="6" t="s">
        <v>32</v>
      </c>
    </row>
    <row r="118" spans="1:43" hidden="1" x14ac:dyDescent="0.25">
      <c r="A118" s="6">
        <v>22702180</v>
      </c>
      <c r="B118" s="6">
        <v>23504320</v>
      </c>
      <c r="C118" s="6" t="s">
        <v>255</v>
      </c>
      <c r="D118" s="14">
        <v>45876.707071759258</v>
      </c>
      <c r="E118" s="14">
        <v>45876.709120370368</v>
      </c>
      <c r="F118" s="6" t="s">
        <v>19</v>
      </c>
      <c r="G118" s="6" t="s">
        <v>19</v>
      </c>
      <c r="H118" s="6" t="s">
        <v>573</v>
      </c>
      <c r="I118" s="6" t="s">
        <v>425</v>
      </c>
      <c r="J118" s="6" t="s">
        <v>576</v>
      </c>
      <c r="K118" s="6" t="s">
        <v>483</v>
      </c>
      <c r="L118" s="6" t="s">
        <v>483</v>
      </c>
      <c r="M118" s="14">
        <v>45876.09097222222</v>
      </c>
      <c r="N118" s="6" t="s">
        <v>92</v>
      </c>
      <c r="O118" s="6" t="s">
        <v>92</v>
      </c>
      <c r="P118" s="6" t="s">
        <v>245</v>
      </c>
      <c r="Q118" s="6" t="s">
        <v>428</v>
      </c>
      <c r="R118" s="6" t="s">
        <v>428</v>
      </c>
      <c r="S118" s="6" t="s">
        <v>7</v>
      </c>
      <c r="T118" s="6" t="s">
        <v>248</v>
      </c>
      <c r="U118" s="6" t="s">
        <v>118</v>
      </c>
      <c r="V118" s="6" t="s">
        <v>575</v>
      </c>
      <c r="W118" s="6" t="s">
        <v>92</v>
      </c>
      <c r="X118" s="6" t="s">
        <v>420</v>
      </c>
      <c r="Y118" s="6">
        <v>392102362</v>
      </c>
      <c r="Z118" s="6" t="s">
        <v>14</v>
      </c>
      <c r="AA118" s="6" t="s">
        <v>92</v>
      </c>
      <c r="AB118" s="6">
        <v>1360.78</v>
      </c>
      <c r="AC118" s="6">
        <v>82.86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485</v>
      </c>
      <c r="AJ118" s="6" t="s">
        <v>430</v>
      </c>
      <c r="AK118" s="6" t="s">
        <v>14</v>
      </c>
      <c r="AL118" s="6" t="s">
        <v>58</v>
      </c>
      <c r="AM118" s="6" t="s">
        <v>431</v>
      </c>
      <c r="AN118" s="6" t="s">
        <v>33</v>
      </c>
      <c r="AO118" s="6" t="s">
        <v>253</v>
      </c>
      <c r="AP118" s="6" t="s">
        <v>486</v>
      </c>
      <c r="AQ118" s="6" t="s">
        <v>32</v>
      </c>
    </row>
    <row r="119" spans="1:43" x14ac:dyDescent="0.25">
      <c r="A119" s="6">
        <v>22702180</v>
      </c>
      <c r="B119" s="6">
        <v>23504321</v>
      </c>
      <c r="C119" s="6" t="s">
        <v>290</v>
      </c>
      <c r="D119" s="14">
        <v>45876.707071759258</v>
      </c>
      <c r="E119" s="14">
        <v>45876.709120370368</v>
      </c>
      <c r="F119" s="6" t="s">
        <v>19</v>
      </c>
      <c r="G119" s="6" t="s">
        <v>19</v>
      </c>
      <c r="H119" s="6" t="s">
        <v>573</v>
      </c>
      <c r="I119" s="6" t="s">
        <v>425</v>
      </c>
      <c r="J119" s="6" t="s">
        <v>577</v>
      </c>
      <c r="K119" s="6" t="s">
        <v>483</v>
      </c>
      <c r="L119" s="6" t="s">
        <v>483</v>
      </c>
      <c r="M119" s="14">
        <v>45876.09097222222</v>
      </c>
      <c r="N119" s="6" t="s">
        <v>92</v>
      </c>
      <c r="O119" s="6" t="s">
        <v>92</v>
      </c>
      <c r="P119" s="6" t="s">
        <v>245</v>
      </c>
      <c r="Q119" s="6" t="s">
        <v>428</v>
      </c>
      <c r="R119" s="6" t="s">
        <v>428</v>
      </c>
      <c r="S119" s="6" t="s">
        <v>7</v>
      </c>
      <c r="T119" s="6" t="s">
        <v>248</v>
      </c>
      <c r="U119" s="6" t="s">
        <v>118</v>
      </c>
      <c r="V119" s="6" t="s">
        <v>575</v>
      </c>
      <c r="W119" s="6" t="s">
        <v>92</v>
      </c>
      <c r="X119" s="6" t="s">
        <v>420</v>
      </c>
      <c r="Y119" s="6">
        <v>877397275</v>
      </c>
      <c r="Z119" s="6" t="s">
        <v>14</v>
      </c>
      <c r="AA119" s="6" t="s">
        <v>92</v>
      </c>
      <c r="AB119" s="6">
        <v>1360.78</v>
      </c>
      <c r="AC119" s="6">
        <v>82.86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485</v>
      </c>
      <c r="AJ119" s="6" t="s">
        <v>430</v>
      </c>
      <c r="AK119" s="6" t="s">
        <v>14</v>
      </c>
      <c r="AL119" s="6" t="s">
        <v>58</v>
      </c>
      <c r="AM119" s="6" t="s">
        <v>431</v>
      </c>
      <c r="AN119" s="6" t="s">
        <v>33</v>
      </c>
      <c r="AO119" s="6" t="s">
        <v>253</v>
      </c>
      <c r="AP119" s="6" t="s">
        <v>486</v>
      </c>
      <c r="AQ119" s="6" t="s">
        <v>32</v>
      </c>
    </row>
    <row r="120" spans="1:43" hidden="1" x14ac:dyDescent="0.25">
      <c r="A120" s="6">
        <v>22701858</v>
      </c>
      <c r="B120" s="6">
        <v>23504017</v>
      </c>
      <c r="C120" s="6" t="s">
        <v>241</v>
      </c>
      <c r="D120" s="14">
        <v>45876.670972222222</v>
      </c>
      <c r="E120" s="14">
        <v>45876.67528935185</v>
      </c>
      <c r="F120" s="6" t="s">
        <v>19</v>
      </c>
      <c r="G120" s="6" t="s">
        <v>19</v>
      </c>
      <c r="H120" s="6" t="s">
        <v>578</v>
      </c>
      <c r="I120" s="6" t="s">
        <v>425</v>
      </c>
      <c r="J120" s="6" t="s">
        <v>579</v>
      </c>
      <c r="K120" s="6" t="s">
        <v>483</v>
      </c>
      <c r="L120" s="6" t="s">
        <v>483</v>
      </c>
      <c r="M120" s="14">
        <v>45876.130555555559</v>
      </c>
      <c r="N120" s="6" t="s">
        <v>92</v>
      </c>
      <c r="O120" s="6" t="s">
        <v>92</v>
      </c>
      <c r="P120" s="6" t="s">
        <v>245</v>
      </c>
      <c r="Q120" s="6" t="s">
        <v>428</v>
      </c>
      <c r="R120" s="6" t="s">
        <v>428</v>
      </c>
      <c r="S120" s="6" t="s">
        <v>7</v>
      </c>
      <c r="T120" s="6" t="s">
        <v>248</v>
      </c>
      <c r="U120" s="6" t="s">
        <v>118</v>
      </c>
      <c r="V120" s="6" t="s">
        <v>580</v>
      </c>
      <c r="W120" s="6" t="s">
        <v>92</v>
      </c>
      <c r="X120" s="6" t="s">
        <v>285</v>
      </c>
      <c r="Y120" s="6">
        <v>2244717121</v>
      </c>
      <c r="Z120" s="6" t="s">
        <v>14</v>
      </c>
      <c r="AA120" s="6" t="s">
        <v>92</v>
      </c>
      <c r="AB120" s="6">
        <v>1150.24</v>
      </c>
      <c r="AC120" s="6">
        <v>108.78</v>
      </c>
      <c r="AD120" s="6">
        <v>0</v>
      </c>
      <c r="AE120" s="6">
        <v>115.02</v>
      </c>
      <c r="AF120" s="6">
        <v>0</v>
      </c>
      <c r="AG120" s="6">
        <v>0</v>
      </c>
      <c r="AH120" s="6">
        <v>227.75</v>
      </c>
      <c r="AI120" s="6" t="s">
        <v>485</v>
      </c>
      <c r="AJ120" s="6" t="s">
        <v>430</v>
      </c>
      <c r="AK120" s="6" t="s">
        <v>14</v>
      </c>
      <c r="AL120" s="6" t="s">
        <v>58</v>
      </c>
      <c r="AM120" s="6" t="s">
        <v>431</v>
      </c>
      <c r="AN120" s="6" t="s">
        <v>33</v>
      </c>
      <c r="AO120" s="6" t="s">
        <v>253</v>
      </c>
      <c r="AP120" s="6" t="s">
        <v>486</v>
      </c>
      <c r="AQ120" s="6" t="s">
        <v>32</v>
      </c>
    </row>
    <row r="121" spans="1:43" x14ac:dyDescent="0.25">
      <c r="A121" s="6">
        <v>22701858</v>
      </c>
      <c r="B121" s="6">
        <v>23504018</v>
      </c>
      <c r="C121" s="6" t="s">
        <v>255</v>
      </c>
      <c r="D121" s="14">
        <v>45876.670972222222</v>
      </c>
      <c r="E121" s="14">
        <v>45876.67528935185</v>
      </c>
      <c r="F121" s="6" t="s">
        <v>19</v>
      </c>
      <c r="G121" s="6" t="s">
        <v>19</v>
      </c>
      <c r="H121" s="6" t="s">
        <v>578</v>
      </c>
      <c r="I121" s="6" t="s">
        <v>425</v>
      </c>
      <c r="J121" s="6" t="s">
        <v>581</v>
      </c>
      <c r="K121" s="6" t="s">
        <v>483</v>
      </c>
      <c r="L121" s="6" t="s">
        <v>483</v>
      </c>
      <c r="M121" s="14">
        <v>45876.130555555559</v>
      </c>
      <c r="N121" s="6" t="s">
        <v>92</v>
      </c>
      <c r="O121" s="6" t="s">
        <v>92</v>
      </c>
      <c r="P121" s="6" t="s">
        <v>245</v>
      </c>
      <c r="Q121" s="6" t="s">
        <v>428</v>
      </c>
      <c r="R121" s="6" t="s">
        <v>428</v>
      </c>
      <c r="S121" s="6" t="s">
        <v>7</v>
      </c>
      <c r="T121" s="6" t="s">
        <v>248</v>
      </c>
      <c r="U121" s="6" t="s">
        <v>118</v>
      </c>
      <c r="V121" s="6" t="s">
        <v>580</v>
      </c>
      <c r="W121" s="6" t="s">
        <v>92</v>
      </c>
      <c r="X121" s="6" t="s">
        <v>285</v>
      </c>
      <c r="Y121" s="6">
        <v>2244717122</v>
      </c>
      <c r="Z121" s="6" t="s">
        <v>14</v>
      </c>
      <c r="AA121" s="6" t="s">
        <v>92</v>
      </c>
      <c r="AB121" s="6">
        <v>1150.24</v>
      </c>
      <c r="AC121" s="6">
        <v>108.78</v>
      </c>
      <c r="AD121" s="6">
        <v>0</v>
      </c>
      <c r="AE121" s="6">
        <v>115.02</v>
      </c>
      <c r="AF121" s="6">
        <v>0</v>
      </c>
      <c r="AG121" s="6">
        <v>0</v>
      </c>
      <c r="AH121" s="6">
        <v>0</v>
      </c>
      <c r="AI121" s="6" t="s">
        <v>485</v>
      </c>
      <c r="AJ121" s="6" t="s">
        <v>430</v>
      </c>
      <c r="AK121" s="6" t="s">
        <v>14</v>
      </c>
      <c r="AL121" s="6" t="s">
        <v>58</v>
      </c>
      <c r="AM121" s="6" t="s">
        <v>431</v>
      </c>
      <c r="AN121" s="6" t="s">
        <v>33</v>
      </c>
      <c r="AO121" s="6" t="s">
        <v>253</v>
      </c>
      <c r="AP121" s="6" t="s">
        <v>486</v>
      </c>
      <c r="AQ121" s="6" t="s">
        <v>32</v>
      </c>
    </row>
    <row r="122" spans="1:43" x14ac:dyDescent="0.25">
      <c r="A122" s="6">
        <v>22701858</v>
      </c>
      <c r="B122" s="6">
        <v>23504019</v>
      </c>
      <c r="C122" s="6" t="s">
        <v>290</v>
      </c>
      <c r="D122" s="14">
        <v>45876.670972222222</v>
      </c>
      <c r="E122" s="14">
        <v>45876.67528935185</v>
      </c>
      <c r="F122" s="6" t="s">
        <v>19</v>
      </c>
      <c r="G122" s="6" t="s">
        <v>19</v>
      </c>
      <c r="H122" s="6" t="s">
        <v>578</v>
      </c>
      <c r="I122" s="6" t="s">
        <v>425</v>
      </c>
      <c r="J122" s="6" t="s">
        <v>582</v>
      </c>
      <c r="K122" s="6" t="s">
        <v>483</v>
      </c>
      <c r="L122" s="6" t="s">
        <v>483</v>
      </c>
      <c r="M122" s="14">
        <v>45876.130555555559</v>
      </c>
      <c r="N122" s="6" t="s">
        <v>92</v>
      </c>
      <c r="O122" s="6" t="s">
        <v>92</v>
      </c>
      <c r="P122" s="6" t="s">
        <v>245</v>
      </c>
      <c r="Q122" s="6" t="s">
        <v>428</v>
      </c>
      <c r="R122" s="6" t="s">
        <v>428</v>
      </c>
      <c r="S122" s="6" t="s">
        <v>7</v>
      </c>
      <c r="T122" s="6" t="s">
        <v>248</v>
      </c>
      <c r="U122" s="6" t="s">
        <v>118</v>
      </c>
      <c r="V122" s="6" t="s">
        <v>580</v>
      </c>
      <c r="W122" s="6" t="s">
        <v>92</v>
      </c>
      <c r="X122" s="6" t="s">
        <v>285</v>
      </c>
      <c r="Y122" s="6">
        <v>2244717123</v>
      </c>
      <c r="Z122" s="6" t="s">
        <v>14</v>
      </c>
      <c r="AA122" s="6" t="s">
        <v>92</v>
      </c>
      <c r="AB122" s="6">
        <v>1150.24</v>
      </c>
      <c r="AC122" s="6">
        <v>108.78</v>
      </c>
      <c r="AD122" s="6">
        <v>0</v>
      </c>
      <c r="AE122" s="6">
        <v>115.02</v>
      </c>
      <c r="AF122" s="6">
        <v>0</v>
      </c>
      <c r="AG122" s="6">
        <v>0</v>
      </c>
      <c r="AH122" s="6">
        <v>0</v>
      </c>
      <c r="AI122" s="6" t="s">
        <v>485</v>
      </c>
      <c r="AJ122" s="6" t="s">
        <v>430</v>
      </c>
      <c r="AK122" s="6" t="s">
        <v>14</v>
      </c>
      <c r="AL122" s="6" t="s">
        <v>58</v>
      </c>
      <c r="AM122" s="6" t="s">
        <v>431</v>
      </c>
      <c r="AN122" s="6" t="s">
        <v>33</v>
      </c>
      <c r="AO122" s="6" t="s">
        <v>253</v>
      </c>
      <c r="AP122" s="6" t="s">
        <v>486</v>
      </c>
      <c r="AQ122" s="6" t="s">
        <v>32</v>
      </c>
    </row>
    <row r="123" spans="1:43" x14ac:dyDescent="0.25">
      <c r="A123" s="6">
        <v>22701923</v>
      </c>
      <c r="B123" s="6">
        <v>23504074</v>
      </c>
      <c r="C123" s="6" t="s">
        <v>241</v>
      </c>
      <c r="D123" s="14">
        <v>45876.678090277783</v>
      </c>
      <c r="E123" s="14">
        <v>45876.679872685178</v>
      </c>
      <c r="F123" s="6" t="s">
        <v>19</v>
      </c>
      <c r="G123" s="6" t="s">
        <v>19</v>
      </c>
      <c r="H123" s="6" t="s">
        <v>583</v>
      </c>
      <c r="I123" s="6" t="s">
        <v>425</v>
      </c>
      <c r="J123" s="6" t="s">
        <v>584</v>
      </c>
      <c r="K123" s="6" t="s">
        <v>483</v>
      </c>
      <c r="L123" s="6" t="s">
        <v>483</v>
      </c>
      <c r="M123" s="14">
        <v>45876.422222222223</v>
      </c>
      <c r="N123" s="6" t="s">
        <v>92</v>
      </c>
      <c r="O123" s="6" t="s">
        <v>92</v>
      </c>
      <c r="P123" s="6" t="s">
        <v>245</v>
      </c>
      <c r="Q123" s="6" t="s">
        <v>428</v>
      </c>
      <c r="R123" s="6" t="s">
        <v>428</v>
      </c>
      <c r="S123" s="6" t="s">
        <v>7</v>
      </c>
      <c r="T123" s="6" t="s">
        <v>248</v>
      </c>
      <c r="U123" s="6" t="s">
        <v>118</v>
      </c>
      <c r="V123" s="6" t="s">
        <v>585</v>
      </c>
      <c r="W123" s="6" t="s">
        <v>92</v>
      </c>
      <c r="X123" s="6" t="s">
        <v>420</v>
      </c>
      <c r="Y123" s="6">
        <v>625487084</v>
      </c>
      <c r="Z123" s="6" t="s">
        <v>14</v>
      </c>
      <c r="AA123" s="6" t="s">
        <v>92</v>
      </c>
      <c r="AB123" s="6">
        <v>1634.84</v>
      </c>
      <c r="AC123" s="6">
        <v>91.57</v>
      </c>
      <c r="AD123" s="6">
        <v>0</v>
      </c>
      <c r="AE123" s="6">
        <v>0</v>
      </c>
      <c r="AF123" s="6">
        <v>0</v>
      </c>
      <c r="AG123" s="6">
        <v>0</v>
      </c>
      <c r="AH123" s="6">
        <v>163.47999999999999</v>
      </c>
      <c r="AI123" s="6" t="s">
        <v>485</v>
      </c>
      <c r="AJ123" s="6" t="s">
        <v>430</v>
      </c>
      <c r="AK123" s="6" t="s">
        <v>14</v>
      </c>
      <c r="AL123" s="6" t="s">
        <v>58</v>
      </c>
      <c r="AM123" s="6" t="s">
        <v>431</v>
      </c>
      <c r="AN123" s="6" t="s">
        <v>33</v>
      </c>
      <c r="AO123" s="6" t="s">
        <v>253</v>
      </c>
      <c r="AP123" s="6" t="s">
        <v>486</v>
      </c>
      <c r="AQ123" s="6" t="s">
        <v>32</v>
      </c>
    </row>
    <row r="124" spans="1:43" x14ac:dyDescent="0.25">
      <c r="A124" s="6">
        <v>22701963</v>
      </c>
      <c r="B124" s="6">
        <v>23504109</v>
      </c>
      <c r="C124" s="6" t="s">
        <v>241</v>
      </c>
      <c r="D124" s="14">
        <v>45876.682314814818</v>
      </c>
      <c r="E124" s="14">
        <v>45876.684074074074</v>
      </c>
      <c r="F124" s="6" t="s">
        <v>19</v>
      </c>
      <c r="G124" s="6" t="s">
        <v>19</v>
      </c>
      <c r="H124" s="6" t="s">
        <v>586</v>
      </c>
      <c r="I124" s="6" t="s">
        <v>425</v>
      </c>
      <c r="J124" s="6" t="s">
        <v>587</v>
      </c>
      <c r="K124" s="6" t="s">
        <v>483</v>
      </c>
      <c r="L124" s="6" t="s">
        <v>483</v>
      </c>
      <c r="M124" s="14">
        <v>45875.247916666667</v>
      </c>
      <c r="N124" s="6" t="s">
        <v>92</v>
      </c>
      <c r="O124" s="6" t="s">
        <v>92</v>
      </c>
      <c r="P124" s="6" t="s">
        <v>245</v>
      </c>
      <c r="Q124" s="6" t="s">
        <v>557</v>
      </c>
      <c r="R124" s="6" t="s">
        <v>557</v>
      </c>
      <c r="S124" s="6" t="s">
        <v>7</v>
      </c>
      <c r="T124" s="6" t="s">
        <v>248</v>
      </c>
      <c r="U124" s="6" t="s">
        <v>118</v>
      </c>
      <c r="V124" s="6" t="s">
        <v>558</v>
      </c>
      <c r="W124" s="6" t="s">
        <v>92</v>
      </c>
      <c r="X124" s="6" t="s">
        <v>420</v>
      </c>
      <c r="Y124" s="6">
        <v>433154923</v>
      </c>
      <c r="Z124" s="6" t="s">
        <v>14</v>
      </c>
      <c r="AA124" s="6" t="s">
        <v>92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485</v>
      </c>
      <c r="AJ124" s="6" t="s">
        <v>559</v>
      </c>
      <c r="AK124" s="6" t="s">
        <v>14</v>
      </c>
      <c r="AL124" s="6" t="s">
        <v>65</v>
      </c>
      <c r="AM124" s="6" t="s">
        <v>560</v>
      </c>
      <c r="AN124" s="6" t="s">
        <v>22</v>
      </c>
      <c r="AO124" s="6" t="s">
        <v>253</v>
      </c>
      <c r="AP124" s="6" t="s">
        <v>486</v>
      </c>
      <c r="AQ124" s="6" t="s">
        <v>32</v>
      </c>
    </row>
    <row r="125" spans="1:43" x14ac:dyDescent="0.25">
      <c r="A125" s="6">
        <v>22701963</v>
      </c>
      <c r="B125" s="6">
        <v>23504110</v>
      </c>
      <c r="C125" s="6" t="s">
        <v>255</v>
      </c>
      <c r="D125" s="14">
        <v>45876.682314814818</v>
      </c>
      <c r="E125" s="14">
        <v>45876.684074074074</v>
      </c>
      <c r="F125" s="6" t="s">
        <v>19</v>
      </c>
      <c r="G125" s="6" t="s">
        <v>19</v>
      </c>
      <c r="H125" s="6" t="s">
        <v>586</v>
      </c>
      <c r="I125" s="6" t="s">
        <v>425</v>
      </c>
      <c r="J125" s="6" t="s">
        <v>588</v>
      </c>
      <c r="K125" s="6" t="s">
        <v>483</v>
      </c>
      <c r="L125" s="6" t="s">
        <v>483</v>
      </c>
      <c r="M125" s="14">
        <v>45875.247916666667</v>
      </c>
      <c r="N125" s="6" t="s">
        <v>92</v>
      </c>
      <c r="O125" s="6" t="s">
        <v>92</v>
      </c>
      <c r="P125" s="6" t="s">
        <v>245</v>
      </c>
      <c r="Q125" s="6" t="s">
        <v>557</v>
      </c>
      <c r="R125" s="6" t="s">
        <v>557</v>
      </c>
      <c r="S125" s="6" t="s">
        <v>7</v>
      </c>
      <c r="T125" s="6" t="s">
        <v>248</v>
      </c>
      <c r="U125" s="6" t="s">
        <v>118</v>
      </c>
      <c r="V125" s="6" t="s">
        <v>558</v>
      </c>
      <c r="W125" s="6" t="s">
        <v>92</v>
      </c>
      <c r="X125" s="6" t="s">
        <v>420</v>
      </c>
      <c r="Y125" s="6">
        <v>530336503</v>
      </c>
      <c r="Z125" s="6" t="s">
        <v>14</v>
      </c>
      <c r="AA125" s="6" t="s">
        <v>92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485</v>
      </c>
      <c r="AJ125" s="6" t="s">
        <v>559</v>
      </c>
      <c r="AK125" s="6" t="s">
        <v>14</v>
      </c>
      <c r="AL125" s="6" t="s">
        <v>65</v>
      </c>
      <c r="AM125" s="6" t="s">
        <v>560</v>
      </c>
      <c r="AN125" s="6" t="s">
        <v>22</v>
      </c>
      <c r="AO125" s="6" t="s">
        <v>253</v>
      </c>
      <c r="AP125" s="6" t="s">
        <v>486</v>
      </c>
      <c r="AQ125" s="6" t="s">
        <v>32</v>
      </c>
    </row>
    <row r="126" spans="1:43" x14ac:dyDescent="0.25">
      <c r="A126" s="6">
        <v>22701963</v>
      </c>
      <c r="B126" s="6">
        <v>23504111</v>
      </c>
      <c r="C126" s="6" t="s">
        <v>290</v>
      </c>
      <c r="D126" s="14">
        <v>45876.682314814818</v>
      </c>
      <c r="E126" s="14">
        <v>45876.684074074074</v>
      </c>
      <c r="F126" s="6" t="s">
        <v>19</v>
      </c>
      <c r="G126" s="6" t="s">
        <v>19</v>
      </c>
      <c r="H126" s="6" t="s">
        <v>586</v>
      </c>
      <c r="I126" s="6" t="s">
        <v>425</v>
      </c>
      <c r="J126" s="6" t="s">
        <v>589</v>
      </c>
      <c r="K126" s="6" t="s">
        <v>483</v>
      </c>
      <c r="L126" s="6" t="s">
        <v>483</v>
      </c>
      <c r="M126" s="14">
        <v>45875.247916666667</v>
      </c>
      <c r="N126" s="6" t="s">
        <v>92</v>
      </c>
      <c r="O126" s="6" t="s">
        <v>92</v>
      </c>
      <c r="P126" s="6" t="s">
        <v>245</v>
      </c>
      <c r="Q126" s="6" t="s">
        <v>557</v>
      </c>
      <c r="R126" s="6" t="s">
        <v>557</v>
      </c>
      <c r="S126" s="6" t="s">
        <v>7</v>
      </c>
      <c r="T126" s="6" t="s">
        <v>248</v>
      </c>
      <c r="U126" s="6" t="s">
        <v>118</v>
      </c>
      <c r="V126" s="6" t="s">
        <v>558</v>
      </c>
      <c r="W126" s="6" t="s">
        <v>92</v>
      </c>
      <c r="X126" s="6" t="s">
        <v>420</v>
      </c>
      <c r="Y126" s="6">
        <v>881669034</v>
      </c>
      <c r="Z126" s="6" t="s">
        <v>14</v>
      </c>
      <c r="AA126" s="6" t="s">
        <v>92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485</v>
      </c>
      <c r="AJ126" s="6" t="s">
        <v>559</v>
      </c>
      <c r="AK126" s="6" t="s">
        <v>14</v>
      </c>
      <c r="AL126" s="6" t="s">
        <v>65</v>
      </c>
      <c r="AM126" s="6" t="s">
        <v>560</v>
      </c>
      <c r="AN126" s="6" t="s">
        <v>22</v>
      </c>
      <c r="AO126" s="6" t="s">
        <v>253</v>
      </c>
      <c r="AP126" s="6" t="s">
        <v>486</v>
      </c>
      <c r="AQ126" s="6" t="s">
        <v>32</v>
      </c>
    </row>
    <row r="127" spans="1:43" hidden="1" x14ac:dyDescent="0.25">
      <c r="A127" s="6">
        <v>22701963</v>
      </c>
      <c r="B127" s="6">
        <v>23504112</v>
      </c>
      <c r="C127" s="6" t="s">
        <v>292</v>
      </c>
      <c r="D127" s="14">
        <v>45876.682314814818</v>
      </c>
      <c r="E127" s="14">
        <v>45876.684074074074</v>
      </c>
      <c r="F127" s="6" t="s">
        <v>19</v>
      </c>
      <c r="G127" s="6" t="s">
        <v>19</v>
      </c>
      <c r="H127" s="6" t="s">
        <v>586</v>
      </c>
      <c r="I127" s="6" t="s">
        <v>425</v>
      </c>
      <c r="J127" s="6" t="s">
        <v>590</v>
      </c>
      <c r="K127" s="6" t="s">
        <v>483</v>
      </c>
      <c r="L127" s="6" t="s">
        <v>483</v>
      </c>
      <c r="M127" s="14">
        <v>45875.247916666667</v>
      </c>
      <c r="N127" s="6" t="s">
        <v>92</v>
      </c>
      <c r="O127" s="6" t="s">
        <v>92</v>
      </c>
      <c r="P127" s="6" t="s">
        <v>245</v>
      </c>
      <c r="Q127" s="6" t="s">
        <v>557</v>
      </c>
      <c r="R127" s="6" t="s">
        <v>557</v>
      </c>
      <c r="S127" s="6" t="s">
        <v>7</v>
      </c>
      <c r="T127" s="6" t="s">
        <v>248</v>
      </c>
      <c r="U127" s="6" t="s">
        <v>118</v>
      </c>
      <c r="V127" s="6" t="s">
        <v>558</v>
      </c>
      <c r="W127" s="6" t="s">
        <v>92</v>
      </c>
      <c r="X127" s="6" t="s">
        <v>420</v>
      </c>
      <c r="Y127" s="6">
        <v>655926091</v>
      </c>
      <c r="Z127" s="6" t="s">
        <v>14</v>
      </c>
      <c r="AA127" s="6" t="s">
        <v>92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485</v>
      </c>
      <c r="AJ127" s="6" t="s">
        <v>559</v>
      </c>
      <c r="AK127" s="6" t="s">
        <v>14</v>
      </c>
      <c r="AL127" s="6" t="s">
        <v>65</v>
      </c>
      <c r="AM127" s="6" t="s">
        <v>560</v>
      </c>
      <c r="AN127" s="6" t="s">
        <v>22</v>
      </c>
      <c r="AO127" s="6" t="s">
        <v>253</v>
      </c>
      <c r="AP127" s="6" t="s">
        <v>486</v>
      </c>
      <c r="AQ127" s="6" t="s">
        <v>32</v>
      </c>
    </row>
    <row r="128" spans="1:43" hidden="1" x14ac:dyDescent="0.25">
      <c r="A128" s="6">
        <v>22701964</v>
      </c>
      <c r="B128" s="6">
        <v>23504113</v>
      </c>
      <c r="C128" s="6" t="s">
        <v>241</v>
      </c>
      <c r="D128" s="14">
        <v>45876.68236111111</v>
      </c>
      <c r="E128" s="14">
        <v>45876.686168981483</v>
      </c>
      <c r="F128" s="6" t="s">
        <v>19</v>
      </c>
      <c r="G128" s="6" t="s">
        <v>19</v>
      </c>
      <c r="H128" s="6" t="s">
        <v>591</v>
      </c>
      <c r="I128" s="6" t="s">
        <v>425</v>
      </c>
      <c r="J128" s="6" t="s">
        <v>592</v>
      </c>
      <c r="K128" s="6" t="s">
        <v>483</v>
      </c>
      <c r="L128" s="6" t="s">
        <v>483</v>
      </c>
      <c r="M128" s="14">
        <v>45876.074305555558</v>
      </c>
      <c r="N128" s="6" t="s">
        <v>92</v>
      </c>
      <c r="O128" s="6" t="s">
        <v>92</v>
      </c>
      <c r="P128" s="6" t="s">
        <v>245</v>
      </c>
      <c r="Q128" s="6" t="s">
        <v>557</v>
      </c>
      <c r="R128" s="6" t="s">
        <v>557</v>
      </c>
      <c r="S128" s="6" t="s">
        <v>7</v>
      </c>
      <c r="T128" s="6" t="s">
        <v>248</v>
      </c>
      <c r="U128" s="6" t="s">
        <v>118</v>
      </c>
      <c r="V128" s="6" t="s">
        <v>558</v>
      </c>
      <c r="W128" s="6" t="s">
        <v>92</v>
      </c>
      <c r="X128" s="6" t="s">
        <v>420</v>
      </c>
      <c r="Y128" s="6">
        <v>125955518</v>
      </c>
      <c r="Z128" s="6" t="s">
        <v>14</v>
      </c>
      <c r="AA128" s="6" t="s">
        <v>92</v>
      </c>
      <c r="AB128" s="6">
        <v>947.09</v>
      </c>
      <c r="AC128" s="6">
        <v>92.53</v>
      </c>
      <c r="AD128" s="6">
        <v>0</v>
      </c>
      <c r="AE128" s="6">
        <v>0</v>
      </c>
      <c r="AF128" s="6">
        <v>0</v>
      </c>
      <c r="AG128" s="6">
        <v>0</v>
      </c>
      <c r="AH128" s="6">
        <v>123.12</v>
      </c>
      <c r="AI128" s="6" t="s">
        <v>485</v>
      </c>
      <c r="AJ128" s="6" t="s">
        <v>559</v>
      </c>
      <c r="AK128" s="6" t="s">
        <v>14</v>
      </c>
      <c r="AL128" s="6" t="s">
        <v>65</v>
      </c>
      <c r="AM128" s="6" t="s">
        <v>560</v>
      </c>
      <c r="AN128" s="6" t="s">
        <v>22</v>
      </c>
      <c r="AO128" s="6" t="s">
        <v>253</v>
      </c>
      <c r="AP128" s="6" t="s">
        <v>486</v>
      </c>
      <c r="AQ128" s="6" t="s">
        <v>32</v>
      </c>
    </row>
    <row r="129" spans="1:43" hidden="1" x14ac:dyDescent="0.25">
      <c r="A129" s="6">
        <v>22701979</v>
      </c>
      <c r="B129" s="6">
        <v>23504123</v>
      </c>
      <c r="C129" s="6" t="s">
        <v>241</v>
      </c>
      <c r="D129" s="14">
        <v>45876.684745370367</v>
      </c>
      <c r="E129" s="14">
        <v>45876.686168981483</v>
      </c>
      <c r="F129" s="6" t="s">
        <v>19</v>
      </c>
      <c r="G129" s="6" t="s">
        <v>19</v>
      </c>
      <c r="H129" s="6" t="s">
        <v>593</v>
      </c>
      <c r="I129" s="6" t="s">
        <v>425</v>
      </c>
      <c r="J129" s="6" t="s">
        <v>594</v>
      </c>
      <c r="K129" s="6" t="s">
        <v>483</v>
      </c>
      <c r="L129" s="6" t="s">
        <v>483</v>
      </c>
      <c r="M129" s="14">
        <v>45876.184027777781</v>
      </c>
      <c r="N129" s="6" t="s">
        <v>92</v>
      </c>
      <c r="O129" s="6" t="s">
        <v>92</v>
      </c>
      <c r="P129" s="6" t="s">
        <v>245</v>
      </c>
      <c r="Q129" s="6" t="s">
        <v>428</v>
      </c>
      <c r="R129" s="6" t="s">
        <v>428</v>
      </c>
      <c r="S129" s="6" t="s">
        <v>7</v>
      </c>
      <c r="T129" s="6" t="s">
        <v>248</v>
      </c>
      <c r="U129" s="6" t="s">
        <v>118</v>
      </c>
      <c r="V129" s="6" t="s">
        <v>595</v>
      </c>
      <c r="W129" s="6" t="s">
        <v>92</v>
      </c>
      <c r="X129" s="6" t="s">
        <v>285</v>
      </c>
      <c r="Y129" s="6">
        <v>2244704749</v>
      </c>
      <c r="Z129" s="6" t="s">
        <v>14</v>
      </c>
      <c r="AA129" s="6" t="s">
        <v>92</v>
      </c>
      <c r="AB129" s="6">
        <v>93.9</v>
      </c>
      <c r="AC129" s="6">
        <v>450</v>
      </c>
      <c r="AD129" s="6">
        <v>0</v>
      </c>
      <c r="AE129" s="6">
        <v>0</v>
      </c>
      <c r="AF129" s="6">
        <v>0</v>
      </c>
      <c r="AG129" s="6">
        <v>0</v>
      </c>
      <c r="AH129" s="6">
        <v>40</v>
      </c>
      <c r="AI129" s="6" t="s">
        <v>485</v>
      </c>
      <c r="AJ129" s="6" t="s">
        <v>430</v>
      </c>
      <c r="AK129" s="6" t="s">
        <v>14</v>
      </c>
      <c r="AL129" s="6" t="s">
        <v>58</v>
      </c>
      <c r="AM129" s="6" t="s">
        <v>431</v>
      </c>
      <c r="AN129" s="6" t="s">
        <v>33</v>
      </c>
      <c r="AO129" s="6" t="s">
        <v>253</v>
      </c>
      <c r="AP129" s="6" t="s">
        <v>486</v>
      </c>
      <c r="AQ129" s="6" t="s">
        <v>32</v>
      </c>
    </row>
    <row r="130" spans="1:43" x14ac:dyDescent="0.25">
      <c r="A130" s="6">
        <v>22701594</v>
      </c>
      <c r="B130" s="6">
        <v>23503746</v>
      </c>
      <c r="C130" s="6" t="s">
        <v>241</v>
      </c>
      <c r="D130" s="14">
        <v>45876.637673611112</v>
      </c>
      <c r="E130" s="14">
        <v>45876.644282407397</v>
      </c>
      <c r="F130" s="6" t="s">
        <v>19</v>
      </c>
      <c r="G130" s="6" t="s">
        <v>19</v>
      </c>
      <c r="H130" s="6" t="s">
        <v>596</v>
      </c>
      <c r="I130" s="6" t="s">
        <v>425</v>
      </c>
      <c r="J130" s="6" t="s">
        <v>597</v>
      </c>
      <c r="K130" s="6" t="s">
        <v>483</v>
      </c>
      <c r="L130" s="6" t="s">
        <v>483</v>
      </c>
      <c r="M130" s="14">
        <v>45876.056944444441</v>
      </c>
      <c r="N130" s="6" t="s">
        <v>92</v>
      </c>
      <c r="O130" s="6" t="s">
        <v>92</v>
      </c>
      <c r="P130" s="6" t="s">
        <v>245</v>
      </c>
      <c r="Q130" s="6" t="s">
        <v>428</v>
      </c>
      <c r="R130" s="6" t="s">
        <v>428</v>
      </c>
      <c r="S130" s="6" t="s">
        <v>7</v>
      </c>
      <c r="T130" s="6" t="s">
        <v>248</v>
      </c>
      <c r="U130" s="6" t="s">
        <v>118</v>
      </c>
      <c r="V130" s="6" t="s">
        <v>598</v>
      </c>
      <c r="W130" s="6" t="s">
        <v>92</v>
      </c>
      <c r="X130" s="6" t="s">
        <v>285</v>
      </c>
      <c r="Y130" s="6">
        <v>2244707942</v>
      </c>
      <c r="Z130" s="6" t="s">
        <v>14</v>
      </c>
      <c r="AA130" s="6" t="s">
        <v>92</v>
      </c>
      <c r="AB130" s="6">
        <v>577.44000000000005</v>
      </c>
      <c r="AC130" s="6">
        <v>116.64</v>
      </c>
      <c r="AD130" s="6">
        <v>0</v>
      </c>
      <c r="AE130" s="6">
        <v>57.74</v>
      </c>
      <c r="AF130" s="6">
        <v>0</v>
      </c>
      <c r="AG130" s="6">
        <v>0</v>
      </c>
      <c r="AH130" s="6">
        <v>38.11</v>
      </c>
      <c r="AI130" s="6" t="s">
        <v>485</v>
      </c>
      <c r="AJ130" s="6" t="s">
        <v>430</v>
      </c>
      <c r="AK130" s="6" t="s">
        <v>14</v>
      </c>
      <c r="AL130" s="6" t="s">
        <v>58</v>
      </c>
      <c r="AM130" s="6" t="s">
        <v>431</v>
      </c>
      <c r="AN130" s="6" t="s">
        <v>33</v>
      </c>
      <c r="AO130" s="6" t="s">
        <v>253</v>
      </c>
      <c r="AP130" s="6" t="s">
        <v>486</v>
      </c>
      <c r="AQ130" s="6" t="s">
        <v>32</v>
      </c>
    </row>
    <row r="131" spans="1:43" x14ac:dyDescent="0.25">
      <c r="A131" s="6">
        <v>22701432</v>
      </c>
      <c r="B131" s="6">
        <v>23503600</v>
      </c>
      <c r="C131" s="6" t="s">
        <v>241</v>
      </c>
      <c r="D131" s="14">
        <v>45876.609629629631</v>
      </c>
      <c r="E131" s="14">
        <v>45876.611122685194</v>
      </c>
      <c r="F131" s="6" t="s">
        <v>19</v>
      </c>
      <c r="G131" s="6" t="s">
        <v>19</v>
      </c>
      <c r="H131" s="6" t="s">
        <v>599</v>
      </c>
      <c r="I131" s="6" t="s">
        <v>425</v>
      </c>
      <c r="J131" s="6" t="s">
        <v>600</v>
      </c>
      <c r="K131" s="6" t="s">
        <v>483</v>
      </c>
      <c r="L131" s="6" t="s">
        <v>483</v>
      </c>
      <c r="M131" s="14">
        <v>45876.504861111112</v>
      </c>
      <c r="N131" s="6" t="s">
        <v>92</v>
      </c>
      <c r="O131" s="6" t="s">
        <v>92</v>
      </c>
      <c r="P131" s="6" t="s">
        <v>245</v>
      </c>
      <c r="Q131" s="6" t="s">
        <v>428</v>
      </c>
      <c r="R131" s="6" t="s">
        <v>428</v>
      </c>
      <c r="S131" s="6" t="s">
        <v>7</v>
      </c>
      <c r="T131" s="6" t="s">
        <v>248</v>
      </c>
      <c r="U131" s="6" t="s">
        <v>118</v>
      </c>
      <c r="V131" s="6" t="s">
        <v>601</v>
      </c>
      <c r="W131" s="6" t="s">
        <v>92</v>
      </c>
      <c r="X131" s="6" t="s">
        <v>285</v>
      </c>
      <c r="Y131" s="6">
        <v>2244701000</v>
      </c>
      <c r="Z131" s="6" t="s">
        <v>14</v>
      </c>
      <c r="AA131" s="6" t="s">
        <v>92</v>
      </c>
      <c r="AB131" s="6">
        <v>823.84</v>
      </c>
      <c r="AC131" s="6">
        <v>101.01</v>
      </c>
      <c r="AD131" s="6">
        <v>0</v>
      </c>
      <c r="AE131" s="6">
        <v>82.38</v>
      </c>
      <c r="AF131" s="6">
        <v>0</v>
      </c>
      <c r="AG131" s="6">
        <v>0</v>
      </c>
      <c r="AH131" s="6">
        <v>54.37</v>
      </c>
      <c r="AI131" s="6" t="s">
        <v>485</v>
      </c>
      <c r="AJ131" s="6" t="s">
        <v>430</v>
      </c>
      <c r="AK131" s="6" t="s">
        <v>14</v>
      </c>
      <c r="AL131" s="6" t="s">
        <v>58</v>
      </c>
      <c r="AM131" s="6" t="s">
        <v>431</v>
      </c>
      <c r="AN131" s="6" t="s">
        <v>33</v>
      </c>
      <c r="AO131" s="6" t="s">
        <v>253</v>
      </c>
      <c r="AP131" s="6" t="s">
        <v>486</v>
      </c>
      <c r="AQ131" s="6" t="s">
        <v>32</v>
      </c>
    </row>
    <row r="132" spans="1:43" x14ac:dyDescent="0.25">
      <c r="A132" s="6">
        <v>22702374</v>
      </c>
      <c r="B132" s="6">
        <v>23504524</v>
      </c>
      <c r="C132" s="6" t="s">
        <v>241</v>
      </c>
      <c r="D132" s="14">
        <v>45876.72446759259</v>
      </c>
      <c r="E132" s="14">
        <v>45876.730578703697</v>
      </c>
      <c r="F132" s="6" t="s">
        <v>19</v>
      </c>
      <c r="G132" s="6" t="s">
        <v>19</v>
      </c>
      <c r="H132" s="6" t="s">
        <v>602</v>
      </c>
      <c r="I132" s="6" t="s">
        <v>16</v>
      </c>
      <c r="J132" s="6" t="s">
        <v>603</v>
      </c>
      <c r="K132" s="6" t="s">
        <v>604</v>
      </c>
      <c r="L132" s="6" t="s">
        <v>604</v>
      </c>
      <c r="M132" s="14">
        <v>45875.724305555559</v>
      </c>
      <c r="N132" s="6" t="s">
        <v>92</v>
      </c>
      <c r="O132" s="6" t="s">
        <v>92</v>
      </c>
      <c r="P132" s="6" t="s">
        <v>245</v>
      </c>
      <c r="Q132" s="6" t="s">
        <v>246</v>
      </c>
      <c r="R132" s="6" t="s">
        <v>418</v>
      </c>
      <c r="S132" s="6" t="s">
        <v>7</v>
      </c>
      <c r="T132" s="6" t="s">
        <v>248</v>
      </c>
      <c r="U132" s="6" t="s">
        <v>118</v>
      </c>
      <c r="V132" s="6" t="s">
        <v>517</v>
      </c>
      <c r="W132" s="6" t="s">
        <v>92</v>
      </c>
      <c r="X132" s="6" t="s">
        <v>420</v>
      </c>
      <c r="Y132" s="6">
        <v>3023504523</v>
      </c>
      <c r="Z132" s="6" t="s">
        <v>14</v>
      </c>
      <c r="AA132" s="6" t="s">
        <v>92</v>
      </c>
      <c r="AB132" s="6">
        <v>665.84</v>
      </c>
      <c r="AC132" s="6">
        <v>91.57</v>
      </c>
      <c r="AD132" s="6">
        <v>0</v>
      </c>
      <c r="AE132" s="6">
        <v>0</v>
      </c>
      <c r="AF132" s="6">
        <v>0</v>
      </c>
      <c r="AG132" s="6">
        <v>0</v>
      </c>
      <c r="AH132" s="6">
        <v>332.92</v>
      </c>
      <c r="AI132" s="6" t="s">
        <v>92</v>
      </c>
      <c r="AJ132" s="6" t="s">
        <v>421</v>
      </c>
      <c r="AK132" s="6" t="s">
        <v>14</v>
      </c>
      <c r="AL132" s="6" t="s">
        <v>67</v>
      </c>
      <c r="AM132" s="6" t="s">
        <v>422</v>
      </c>
      <c r="AN132" s="6" t="s">
        <v>35</v>
      </c>
      <c r="AO132" s="6" t="s">
        <v>253</v>
      </c>
      <c r="AP132" s="6" t="s">
        <v>486</v>
      </c>
      <c r="AQ132" s="6" t="s">
        <v>32</v>
      </c>
    </row>
    <row r="133" spans="1:43" x14ac:dyDescent="0.25">
      <c r="A133" s="6">
        <v>22702374</v>
      </c>
      <c r="B133" s="6">
        <v>23504547</v>
      </c>
      <c r="C133" s="6" t="s">
        <v>255</v>
      </c>
      <c r="D133" s="14">
        <v>45876.72446759259</v>
      </c>
      <c r="E133" s="14">
        <v>45876.730578703697</v>
      </c>
      <c r="F133" s="6" t="s">
        <v>19</v>
      </c>
      <c r="G133" s="6" t="s">
        <v>19</v>
      </c>
      <c r="H133" s="6" t="s">
        <v>602</v>
      </c>
      <c r="I133" s="6" t="s">
        <v>16</v>
      </c>
      <c r="J133" s="6" t="s">
        <v>605</v>
      </c>
      <c r="K133" s="6" t="s">
        <v>604</v>
      </c>
      <c r="L133" s="6" t="s">
        <v>604</v>
      </c>
      <c r="M133" s="14">
        <v>45875.724305555559</v>
      </c>
      <c r="N133" s="6" t="s">
        <v>92</v>
      </c>
      <c r="O133" s="6" t="s">
        <v>92</v>
      </c>
      <c r="P133" s="6" t="s">
        <v>245</v>
      </c>
      <c r="Q133" s="6" t="s">
        <v>246</v>
      </c>
      <c r="R133" s="6" t="s">
        <v>418</v>
      </c>
      <c r="S133" s="6" t="s">
        <v>7</v>
      </c>
      <c r="T133" s="6" t="s">
        <v>248</v>
      </c>
      <c r="U133" s="6" t="s">
        <v>118</v>
      </c>
      <c r="V133" s="6" t="s">
        <v>517</v>
      </c>
      <c r="W133" s="6" t="s">
        <v>92</v>
      </c>
      <c r="X133" s="6" t="s">
        <v>420</v>
      </c>
      <c r="Y133" s="6">
        <v>3023504548</v>
      </c>
      <c r="Z133" s="6" t="s">
        <v>14</v>
      </c>
      <c r="AA133" s="6" t="s">
        <v>92</v>
      </c>
      <c r="AB133" s="6">
        <v>665.84</v>
      </c>
      <c r="AC133" s="6">
        <v>91.57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92</v>
      </c>
      <c r="AJ133" s="6" t="s">
        <v>421</v>
      </c>
      <c r="AK133" s="6" t="s">
        <v>14</v>
      </c>
      <c r="AL133" s="6" t="s">
        <v>67</v>
      </c>
      <c r="AM133" s="6" t="s">
        <v>422</v>
      </c>
      <c r="AN133" s="6" t="s">
        <v>35</v>
      </c>
      <c r="AO133" s="6" t="s">
        <v>253</v>
      </c>
      <c r="AP133" s="6" t="s">
        <v>486</v>
      </c>
      <c r="AQ133" s="6" t="s">
        <v>32</v>
      </c>
    </row>
    <row r="134" spans="1:43" x14ac:dyDescent="0.25">
      <c r="A134" s="6">
        <v>22702374</v>
      </c>
      <c r="B134" s="6">
        <v>23504550</v>
      </c>
      <c r="C134" s="6" t="s">
        <v>290</v>
      </c>
      <c r="D134" s="14">
        <v>45876.72446759259</v>
      </c>
      <c r="E134" s="14">
        <v>45876.730578703697</v>
      </c>
      <c r="F134" s="6" t="s">
        <v>19</v>
      </c>
      <c r="G134" s="6" t="s">
        <v>19</v>
      </c>
      <c r="H134" s="6" t="s">
        <v>602</v>
      </c>
      <c r="I134" s="6" t="s">
        <v>16</v>
      </c>
      <c r="J134" s="6" t="s">
        <v>606</v>
      </c>
      <c r="K134" s="6" t="s">
        <v>604</v>
      </c>
      <c r="L134" s="6" t="s">
        <v>604</v>
      </c>
      <c r="M134" s="14">
        <v>45875.724305555559</v>
      </c>
      <c r="N134" s="6" t="s">
        <v>92</v>
      </c>
      <c r="O134" s="6" t="s">
        <v>92</v>
      </c>
      <c r="P134" s="6" t="s">
        <v>245</v>
      </c>
      <c r="Q134" s="6" t="s">
        <v>246</v>
      </c>
      <c r="R134" s="6" t="s">
        <v>418</v>
      </c>
      <c r="S134" s="6" t="s">
        <v>7</v>
      </c>
      <c r="T134" s="6" t="s">
        <v>248</v>
      </c>
      <c r="U134" s="6" t="s">
        <v>118</v>
      </c>
      <c r="V134" s="6" t="s">
        <v>517</v>
      </c>
      <c r="W134" s="6" t="s">
        <v>92</v>
      </c>
      <c r="X134" s="6" t="s">
        <v>420</v>
      </c>
      <c r="Y134" s="6">
        <v>3023504555</v>
      </c>
      <c r="Z134" s="6" t="s">
        <v>14</v>
      </c>
      <c r="AA134" s="6" t="s">
        <v>92</v>
      </c>
      <c r="AB134" s="6">
        <v>665.84</v>
      </c>
      <c r="AC134" s="6">
        <v>91.57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92</v>
      </c>
      <c r="AJ134" s="6" t="s">
        <v>421</v>
      </c>
      <c r="AK134" s="6" t="s">
        <v>14</v>
      </c>
      <c r="AL134" s="6" t="s">
        <v>67</v>
      </c>
      <c r="AM134" s="6" t="s">
        <v>422</v>
      </c>
      <c r="AN134" s="6" t="s">
        <v>35</v>
      </c>
      <c r="AO134" s="6" t="s">
        <v>253</v>
      </c>
      <c r="AP134" s="6" t="s">
        <v>486</v>
      </c>
      <c r="AQ134" s="6" t="s">
        <v>32</v>
      </c>
    </row>
    <row r="135" spans="1:43" x14ac:dyDescent="0.25">
      <c r="A135" s="6">
        <v>22702374</v>
      </c>
      <c r="B135" s="6">
        <v>23504552</v>
      </c>
      <c r="C135" s="6" t="s">
        <v>292</v>
      </c>
      <c r="D135" s="14">
        <v>45876.72446759259</v>
      </c>
      <c r="E135" s="14">
        <v>45876.730578703697</v>
      </c>
      <c r="F135" s="6" t="s">
        <v>19</v>
      </c>
      <c r="G135" s="6" t="s">
        <v>19</v>
      </c>
      <c r="H135" s="6" t="s">
        <v>602</v>
      </c>
      <c r="I135" s="6" t="s">
        <v>16</v>
      </c>
      <c r="J135" s="6" t="s">
        <v>607</v>
      </c>
      <c r="K135" s="6" t="s">
        <v>604</v>
      </c>
      <c r="L135" s="6" t="s">
        <v>604</v>
      </c>
      <c r="M135" s="14">
        <v>45875.724305555559</v>
      </c>
      <c r="N135" s="6" t="s">
        <v>92</v>
      </c>
      <c r="O135" s="6" t="s">
        <v>92</v>
      </c>
      <c r="P135" s="6" t="s">
        <v>245</v>
      </c>
      <c r="Q135" s="6" t="s">
        <v>246</v>
      </c>
      <c r="R135" s="6" t="s">
        <v>418</v>
      </c>
      <c r="S135" s="6" t="s">
        <v>7</v>
      </c>
      <c r="T135" s="6" t="s">
        <v>248</v>
      </c>
      <c r="U135" s="6" t="s">
        <v>118</v>
      </c>
      <c r="V135" s="6" t="s">
        <v>517</v>
      </c>
      <c r="W135" s="6" t="s">
        <v>92</v>
      </c>
      <c r="X135" s="6" t="s">
        <v>420</v>
      </c>
      <c r="Y135" s="6">
        <v>3023504557</v>
      </c>
      <c r="Z135" s="6" t="s">
        <v>14</v>
      </c>
      <c r="AA135" s="6" t="s">
        <v>92</v>
      </c>
      <c r="AB135" s="6">
        <v>665.84</v>
      </c>
      <c r="AC135" s="6">
        <v>91.57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92</v>
      </c>
      <c r="AJ135" s="6" t="s">
        <v>421</v>
      </c>
      <c r="AK135" s="6" t="s">
        <v>14</v>
      </c>
      <c r="AL135" s="6" t="s">
        <v>67</v>
      </c>
      <c r="AM135" s="6" t="s">
        <v>422</v>
      </c>
      <c r="AN135" s="6" t="s">
        <v>35</v>
      </c>
      <c r="AO135" s="6" t="s">
        <v>253</v>
      </c>
      <c r="AP135" s="6" t="s">
        <v>486</v>
      </c>
      <c r="AQ135" s="6" t="s">
        <v>32</v>
      </c>
    </row>
    <row r="136" spans="1:43" x14ac:dyDescent="0.25">
      <c r="A136" s="6">
        <v>22702374</v>
      </c>
      <c r="B136" s="6">
        <v>23504554</v>
      </c>
      <c r="C136" s="6" t="s">
        <v>294</v>
      </c>
      <c r="D136" s="14">
        <v>45876.72446759259</v>
      </c>
      <c r="E136" s="14">
        <v>45876.730578703697</v>
      </c>
      <c r="F136" s="6" t="s">
        <v>19</v>
      </c>
      <c r="G136" s="6" t="s">
        <v>19</v>
      </c>
      <c r="H136" s="6" t="s">
        <v>602</v>
      </c>
      <c r="I136" s="6" t="s">
        <v>16</v>
      </c>
      <c r="J136" s="6" t="s">
        <v>608</v>
      </c>
      <c r="K136" s="6" t="s">
        <v>604</v>
      </c>
      <c r="L136" s="6" t="s">
        <v>604</v>
      </c>
      <c r="M136" s="14">
        <v>45875.724305555559</v>
      </c>
      <c r="N136" s="6" t="s">
        <v>92</v>
      </c>
      <c r="O136" s="6" t="s">
        <v>92</v>
      </c>
      <c r="P136" s="6" t="s">
        <v>245</v>
      </c>
      <c r="Q136" s="6" t="s">
        <v>246</v>
      </c>
      <c r="R136" s="6" t="s">
        <v>418</v>
      </c>
      <c r="S136" s="6" t="s">
        <v>7</v>
      </c>
      <c r="T136" s="6" t="s">
        <v>248</v>
      </c>
      <c r="U136" s="6" t="s">
        <v>118</v>
      </c>
      <c r="V136" s="6" t="s">
        <v>517</v>
      </c>
      <c r="W136" s="6" t="s">
        <v>92</v>
      </c>
      <c r="X136" s="6" t="s">
        <v>420</v>
      </c>
      <c r="Y136" s="6">
        <v>3023504558</v>
      </c>
      <c r="Z136" s="6" t="s">
        <v>14</v>
      </c>
      <c r="AA136" s="6" t="s">
        <v>92</v>
      </c>
      <c r="AB136" s="6">
        <v>665.84</v>
      </c>
      <c r="AC136" s="6">
        <v>91.57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92</v>
      </c>
      <c r="AJ136" s="6" t="s">
        <v>421</v>
      </c>
      <c r="AK136" s="6" t="s">
        <v>14</v>
      </c>
      <c r="AL136" s="6" t="s">
        <v>67</v>
      </c>
      <c r="AM136" s="6" t="s">
        <v>422</v>
      </c>
      <c r="AN136" s="6" t="s">
        <v>35</v>
      </c>
      <c r="AO136" s="6" t="s">
        <v>253</v>
      </c>
      <c r="AP136" s="6" t="s">
        <v>486</v>
      </c>
      <c r="AQ136" s="6" t="s">
        <v>32</v>
      </c>
    </row>
    <row r="137" spans="1:43" x14ac:dyDescent="0.25">
      <c r="A137" s="6">
        <v>22660650</v>
      </c>
      <c r="B137" s="6">
        <v>23469373</v>
      </c>
      <c r="C137" s="6" t="s">
        <v>241</v>
      </c>
      <c r="D137" s="14">
        <v>45869.784918981481</v>
      </c>
      <c r="E137" s="14">
        <v>45870.226493055547</v>
      </c>
      <c r="F137" s="6" t="s">
        <v>23</v>
      </c>
      <c r="G137" s="6" t="s">
        <v>23</v>
      </c>
      <c r="H137" s="6" t="s">
        <v>609</v>
      </c>
      <c r="I137" s="6" t="s">
        <v>17</v>
      </c>
      <c r="J137" s="6" t="s">
        <v>610</v>
      </c>
      <c r="K137" s="6" t="s">
        <v>611</v>
      </c>
      <c r="L137" s="6" t="s">
        <v>611</v>
      </c>
      <c r="M137" s="14">
        <v>45869.311805555553</v>
      </c>
      <c r="N137" s="6" t="s">
        <v>612</v>
      </c>
      <c r="O137" s="6" t="s">
        <v>92</v>
      </c>
      <c r="P137" s="6" t="s">
        <v>245</v>
      </c>
      <c r="Q137" s="6" t="s">
        <v>428</v>
      </c>
      <c r="R137" s="6" t="s">
        <v>428</v>
      </c>
      <c r="S137" s="6" t="s">
        <v>9</v>
      </c>
      <c r="T137" s="6" t="s">
        <v>248</v>
      </c>
      <c r="U137" s="6" t="s">
        <v>142</v>
      </c>
      <c r="V137" s="6" t="s">
        <v>613</v>
      </c>
      <c r="W137" s="6" t="s">
        <v>284</v>
      </c>
      <c r="X137" s="6" t="s">
        <v>92</v>
      </c>
      <c r="Y137" s="6" t="s">
        <v>92</v>
      </c>
      <c r="Z137" s="6" t="s">
        <v>91</v>
      </c>
      <c r="AA137" s="6" t="s">
        <v>92</v>
      </c>
      <c r="AB137" s="6">
        <v>1821.6792</v>
      </c>
      <c r="AC137" s="6">
        <v>60.36</v>
      </c>
      <c r="AD137" s="6">
        <v>0</v>
      </c>
      <c r="AE137" s="6">
        <v>0</v>
      </c>
      <c r="AF137" s="6">
        <v>0</v>
      </c>
      <c r="AG137" s="6">
        <v>0</v>
      </c>
      <c r="AH137" s="6">
        <v>55</v>
      </c>
      <c r="AI137" s="6" t="s">
        <v>456</v>
      </c>
      <c r="AJ137" s="6" t="s">
        <v>264</v>
      </c>
      <c r="AK137" s="6" t="s">
        <v>17</v>
      </c>
      <c r="AL137" s="6" t="s">
        <v>56</v>
      </c>
      <c r="AM137" s="6" t="s">
        <v>265</v>
      </c>
      <c r="AN137" s="6" t="s">
        <v>22</v>
      </c>
      <c r="AO137" s="6" t="s">
        <v>253</v>
      </c>
      <c r="AP137" s="6" t="s">
        <v>254</v>
      </c>
      <c r="AQ137" s="6" t="s">
        <v>20</v>
      </c>
    </row>
    <row r="138" spans="1:43" x14ac:dyDescent="0.25">
      <c r="A138" s="6">
        <v>22702991</v>
      </c>
      <c r="B138" s="6">
        <v>23505110</v>
      </c>
      <c r="C138" s="6" t="s">
        <v>241</v>
      </c>
      <c r="D138" s="14">
        <v>45876.765034722222</v>
      </c>
      <c r="E138" s="14">
        <v>45876.769791666673</v>
      </c>
      <c r="F138" s="6" t="s">
        <v>19</v>
      </c>
      <c r="G138" s="6" t="s">
        <v>19</v>
      </c>
      <c r="H138" s="6" t="s">
        <v>614</v>
      </c>
      <c r="I138" s="6" t="s">
        <v>17</v>
      </c>
      <c r="J138" s="6" t="s">
        <v>615</v>
      </c>
      <c r="K138" s="6" t="s">
        <v>616</v>
      </c>
      <c r="L138" s="6" t="s">
        <v>611</v>
      </c>
      <c r="M138" s="14">
        <v>45876</v>
      </c>
      <c r="N138" s="6" t="s">
        <v>614</v>
      </c>
      <c r="O138" s="6" t="s">
        <v>92</v>
      </c>
      <c r="P138" s="6" t="s">
        <v>453</v>
      </c>
      <c r="Q138" s="6" t="s">
        <v>557</v>
      </c>
      <c r="R138" s="6" t="s">
        <v>617</v>
      </c>
      <c r="S138" s="6" t="s">
        <v>7</v>
      </c>
      <c r="T138" s="6" t="s">
        <v>248</v>
      </c>
      <c r="U138" s="6" t="s">
        <v>142</v>
      </c>
      <c r="V138" s="6" t="s">
        <v>613</v>
      </c>
      <c r="W138" s="6" t="s">
        <v>284</v>
      </c>
      <c r="X138" s="6" t="s">
        <v>285</v>
      </c>
      <c r="Y138" s="6">
        <v>2971622841</v>
      </c>
      <c r="Z138" s="6" t="s">
        <v>91</v>
      </c>
      <c r="AA138" s="6" t="s">
        <v>92</v>
      </c>
      <c r="AB138" s="6">
        <v>0</v>
      </c>
      <c r="AC138" s="6">
        <v>0</v>
      </c>
      <c r="AD138" s="6">
        <v>450</v>
      </c>
      <c r="AE138" s="6">
        <v>0</v>
      </c>
      <c r="AF138" s="6">
        <v>17.88</v>
      </c>
      <c r="AG138" s="6">
        <v>0</v>
      </c>
      <c r="AH138" s="6">
        <v>0</v>
      </c>
      <c r="AI138" s="6" t="s">
        <v>456</v>
      </c>
      <c r="AJ138" s="6" t="s">
        <v>618</v>
      </c>
      <c r="AK138" s="6" t="s">
        <v>17</v>
      </c>
      <c r="AL138" s="6" t="s">
        <v>63</v>
      </c>
      <c r="AM138" s="6" t="s">
        <v>560</v>
      </c>
      <c r="AN138" s="6" t="s">
        <v>22</v>
      </c>
      <c r="AO138" s="6" t="s">
        <v>253</v>
      </c>
      <c r="AP138" s="6" t="s">
        <v>254</v>
      </c>
      <c r="AQ138" s="6" t="s">
        <v>41</v>
      </c>
    </row>
    <row r="139" spans="1:43" hidden="1" x14ac:dyDescent="0.25">
      <c r="A139" s="6">
        <v>22703075</v>
      </c>
      <c r="B139" s="6">
        <v>23505184</v>
      </c>
      <c r="C139" s="6" t="s">
        <v>241</v>
      </c>
      <c r="D139" s="14">
        <v>45876.768472222233</v>
      </c>
      <c r="E139" s="14">
        <v>45876.775555555563</v>
      </c>
      <c r="F139" s="6" t="s">
        <v>19</v>
      </c>
      <c r="G139" s="6" t="s">
        <v>19</v>
      </c>
      <c r="H139" s="6" t="s">
        <v>619</v>
      </c>
      <c r="I139" s="6" t="s">
        <v>17</v>
      </c>
      <c r="J139" s="6" t="s">
        <v>620</v>
      </c>
      <c r="K139" s="6" t="s">
        <v>621</v>
      </c>
      <c r="L139" s="6" t="s">
        <v>621</v>
      </c>
      <c r="M139" s="14">
        <v>45876.663888888892</v>
      </c>
      <c r="N139" s="6" t="s">
        <v>622</v>
      </c>
      <c r="O139" s="6" t="s">
        <v>623</v>
      </c>
      <c r="P139" s="6" t="s">
        <v>453</v>
      </c>
      <c r="Q139" s="6" t="s">
        <v>246</v>
      </c>
      <c r="R139" s="6" t="s">
        <v>247</v>
      </c>
      <c r="S139" s="6" t="s">
        <v>8</v>
      </c>
      <c r="T139" s="6" t="s">
        <v>248</v>
      </c>
      <c r="U139" s="6" t="s">
        <v>142</v>
      </c>
      <c r="V139" s="6" t="s">
        <v>613</v>
      </c>
      <c r="W139" s="6" t="s">
        <v>284</v>
      </c>
      <c r="X139" s="6" t="s">
        <v>624</v>
      </c>
      <c r="Y139" s="6" t="s">
        <v>92</v>
      </c>
      <c r="Z139" s="6" t="s">
        <v>91</v>
      </c>
      <c r="AA139" s="6" t="s">
        <v>92</v>
      </c>
      <c r="AB139" s="6">
        <v>160.97999999999999</v>
      </c>
      <c r="AC139" s="6">
        <v>68.489999999999995</v>
      </c>
      <c r="AD139" s="6">
        <v>0</v>
      </c>
      <c r="AE139" s="6">
        <v>0</v>
      </c>
      <c r="AF139" s="6">
        <v>0</v>
      </c>
      <c r="AG139" s="6">
        <v>0</v>
      </c>
      <c r="AH139" s="6">
        <v>0</v>
      </c>
      <c r="AI139" s="6" t="s">
        <v>456</v>
      </c>
      <c r="AJ139" s="6" t="s">
        <v>625</v>
      </c>
      <c r="AK139" s="6" t="s">
        <v>17</v>
      </c>
      <c r="AL139" s="6" t="s">
        <v>76</v>
      </c>
      <c r="AM139" s="6" t="s">
        <v>67</v>
      </c>
      <c r="AN139" s="6" t="s">
        <v>22</v>
      </c>
      <c r="AO139" s="6" t="s">
        <v>253</v>
      </c>
      <c r="AP139" s="6" t="s">
        <v>254</v>
      </c>
      <c r="AQ139" s="6" t="s">
        <v>41</v>
      </c>
    </row>
    <row r="140" spans="1:43" x14ac:dyDescent="0.25">
      <c r="A140" s="6">
        <v>22686110</v>
      </c>
      <c r="B140" s="6">
        <v>23489886</v>
      </c>
      <c r="C140" s="6" t="s">
        <v>241</v>
      </c>
      <c r="D140" s="14">
        <v>45874.545914351853</v>
      </c>
      <c r="E140" s="14">
        <v>45874.671053240738</v>
      </c>
      <c r="F140" s="6" t="s">
        <v>21</v>
      </c>
      <c r="G140" s="6" t="s">
        <v>21</v>
      </c>
      <c r="H140" s="6" t="s">
        <v>626</v>
      </c>
      <c r="I140" s="6" t="s">
        <v>17</v>
      </c>
      <c r="J140" s="6" t="s">
        <v>627</v>
      </c>
      <c r="K140" s="6" t="s">
        <v>451</v>
      </c>
      <c r="L140" s="6" t="s">
        <v>451</v>
      </c>
      <c r="M140" s="14">
        <v>45874.31527777778</v>
      </c>
      <c r="N140" s="6" t="s">
        <v>628</v>
      </c>
      <c r="O140" s="6" t="s">
        <v>629</v>
      </c>
      <c r="P140" s="6" t="s">
        <v>453</v>
      </c>
      <c r="Q140" s="6" t="s">
        <v>246</v>
      </c>
      <c r="R140" s="6" t="s">
        <v>247</v>
      </c>
      <c r="S140" s="6" t="s">
        <v>8</v>
      </c>
      <c r="T140" s="6" t="s">
        <v>248</v>
      </c>
      <c r="U140" s="6" t="s">
        <v>142</v>
      </c>
      <c r="V140" s="6" t="s">
        <v>630</v>
      </c>
      <c r="W140" s="6" t="s">
        <v>284</v>
      </c>
      <c r="X140" s="6" t="s">
        <v>92</v>
      </c>
      <c r="Y140" s="6" t="s">
        <v>92</v>
      </c>
      <c r="Z140" s="6" t="s">
        <v>91</v>
      </c>
      <c r="AA140" s="6" t="s">
        <v>92</v>
      </c>
      <c r="AB140" s="6">
        <v>629.97</v>
      </c>
      <c r="AC140" s="6">
        <v>100.8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456</v>
      </c>
      <c r="AJ140" s="6" t="s">
        <v>264</v>
      </c>
      <c r="AK140" s="6" t="s">
        <v>17</v>
      </c>
      <c r="AL140" s="6" t="s">
        <v>56</v>
      </c>
      <c r="AM140" s="6" t="s">
        <v>265</v>
      </c>
      <c r="AN140" s="6" t="s">
        <v>22</v>
      </c>
      <c r="AO140" s="6" t="s">
        <v>253</v>
      </c>
      <c r="AP140" s="6" t="s">
        <v>254</v>
      </c>
      <c r="AQ140" s="6" t="s">
        <v>20</v>
      </c>
    </row>
    <row r="141" spans="1:43" x14ac:dyDescent="0.25">
      <c r="A141" s="6">
        <v>22667753</v>
      </c>
      <c r="B141" s="6">
        <v>23475551</v>
      </c>
      <c r="C141" s="6" t="s">
        <v>241</v>
      </c>
      <c r="D141" s="14">
        <v>45870.806250000001</v>
      </c>
      <c r="E141" s="14">
        <v>45870.812696759262</v>
      </c>
      <c r="F141" s="6" t="s">
        <v>23</v>
      </c>
      <c r="G141" s="6" t="s">
        <v>23</v>
      </c>
      <c r="H141" s="6" t="s">
        <v>631</v>
      </c>
      <c r="I141" s="6" t="s">
        <v>17</v>
      </c>
      <c r="J141" s="6" t="s">
        <v>627</v>
      </c>
      <c r="K141" s="6" t="s">
        <v>451</v>
      </c>
      <c r="L141" s="6" t="s">
        <v>451</v>
      </c>
      <c r="M141" s="14">
        <v>45870.699305555558</v>
      </c>
      <c r="N141" s="6" t="s">
        <v>632</v>
      </c>
      <c r="O141" s="6" t="s">
        <v>633</v>
      </c>
      <c r="P141" s="6" t="s">
        <v>453</v>
      </c>
      <c r="Q141" s="6" t="s">
        <v>246</v>
      </c>
      <c r="R141" s="6" t="s">
        <v>247</v>
      </c>
      <c r="S141" s="6" t="s">
        <v>8</v>
      </c>
      <c r="T141" s="6" t="s">
        <v>248</v>
      </c>
      <c r="U141" s="6" t="s">
        <v>142</v>
      </c>
      <c r="V141" s="6" t="s">
        <v>630</v>
      </c>
      <c r="W141" s="6" t="s">
        <v>284</v>
      </c>
      <c r="X141" s="6" t="s">
        <v>92</v>
      </c>
      <c r="Y141" s="6" t="s">
        <v>92</v>
      </c>
      <c r="Z141" s="6" t="s">
        <v>91</v>
      </c>
      <c r="AA141" s="6" t="s">
        <v>92</v>
      </c>
      <c r="AB141" s="6">
        <v>577.47</v>
      </c>
      <c r="AC141" s="6">
        <v>92.4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456</v>
      </c>
      <c r="AJ141" s="6" t="s">
        <v>264</v>
      </c>
      <c r="AK141" s="6" t="s">
        <v>17</v>
      </c>
      <c r="AL141" s="6" t="s">
        <v>56</v>
      </c>
      <c r="AM141" s="6" t="s">
        <v>265</v>
      </c>
      <c r="AN141" s="6" t="s">
        <v>22</v>
      </c>
      <c r="AO141" s="6" t="s">
        <v>253</v>
      </c>
      <c r="AP141" s="6" t="s">
        <v>254</v>
      </c>
      <c r="AQ141" s="6" t="s">
        <v>20</v>
      </c>
    </row>
    <row r="142" spans="1:43" x14ac:dyDescent="0.25">
      <c r="A142" s="6">
        <v>22666098</v>
      </c>
      <c r="B142" s="6">
        <v>23473958</v>
      </c>
      <c r="C142" s="6" t="s">
        <v>241</v>
      </c>
      <c r="D142" s="14">
        <v>45870.713888888888</v>
      </c>
      <c r="E142" s="14">
        <v>45870.719456018523</v>
      </c>
      <c r="F142" s="6" t="s">
        <v>23</v>
      </c>
      <c r="G142" s="6" t="s">
        <v>23</v>
      </c>
      <c r="H142" s="6" t="s">
        <v>634</v>
      </c>
      <c r="I142" s="6" t="s">
        <v>17</v>
      </c>
      <c r="J142" s="6" t="s">
        <v>635</v>
      </c>
      <c r="K142" s="6" t="s">
        <v>451</v>
      </c>
      <c r="L142" s="6" t="s">
        <v>451</v>
      </c>
      <c r="M142" s="14">
        <v>45870.463194444441</v>
      </c>
      <c r="N142" s="6" t="s">
        <v>636</v>
      </c>
      <c r="O142" s="6" t="s">
        <v>637</v>
      </c>
      <c r="P142" s="6" t="s">
        <v>453</v>
      </c>
      <c r="Q142" s="6" t="s">
        <v>246</v>
      </c>
      <c r="R142" s="6" t="s">
        <v>247</v>
      </c>
      <c r="S142" s="6" t="s">
        <v>8</v>
      </c>
      <c r="T142" s="6" t="s">
        <v>248</v>
      </c>
      <c r="U142" s="6" t="s">
        <v>142</v>
      </c>
      <c r="V142" s="6" t="s">
        <v>613</v>
      </c>
      <c r="W142" s="6" t="s">
        <v>284</v>
      </c>
      <c r="X142" s="6" t="s">
        <v>92</v>
      </c>
      <c r="Y142" s="6" t="s">
        <v>92</v>
      </c>
      <c r="Z142" s="6" t="s">
        <v>91</v>
      </c>
      <c r="AA142" s="6" t="s">
        <v>92</v>
      </c>
      <c r="AB142" s="6">
        <v>419.98</v>
      </c>
      <c r="AC142" s="6">
        <v>50.4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456</v>
      </c>
      <c r="AJ142" s="6" t="s">
        <v>264</v>
      </c>
      <c r="AK142" s="6" t="s">
        <v>17</v>
      </c>
      <c r="AL142" s="6" t="s">
        <v>56</v>
      </c>
      <c r="AM142" s="6" t="s">
        <v>265</v>
      </c>
      <c r="AN142" s="6" t="s">
        <v>22</v>
      </c>
      <c r="AO142" s="6" t="s">
        <v>253</v>
      </c>
      <c r="AP142" s="6" t="s">
        <v>254</v>
      </c>
      <c r="AQ142" s="6" t="s">
        <v>20</v>
      </c>
    </row>
    <row r="143" spans="1:43" x14ac:dyDescent="0.25">
      <c r="A143" s="6">
        <v>22663510</v>
      </c>
      <c r="B143" s="6">
        <v>23471555</v>
      </c>
      <c r="C143" s="6" t="s">
        <v>241</v>
      </c>
      <c r="D143" s="14">
        <v>45870.421157407407</v>
      </c>
      <c r="E143" s="14">
        <v>45870.431388888886</v>
      </c>
      <c r="F143" s="6" t="s">
        <v>23</v>
      </c>
      <c r="G143" s="6" t="s">
        <v>23</v>
      </c>
      <c r="H143" s="6" t="s">
        <v>638</v>
      </c>
      <c r="I143" s="6" t="s">
        <v>17</v>
      </c>
      <c r="J143" s="6" t="s">
        <v>639</v>
      </c>
      <c r="K143" s="6" t="s">
        <v>451</v>
      </c>
      <c r="L143" s="6" t="s">
        <v>451</v>
      </c>
      <c r="M143" s="14">
        <v>45869.62222222222</v>
      </c>
      <c r="N143" s="6" t="s">
        <v>640</v>
      </c>
      <c r="O143" s="6" t="s">
        <v>641</v>
      </c>
      <c r="P143" s="6" t="s">
        <v>453</v>
      </c>
      <c r="Q143" s="6" t="s">
        <v>246</v>
      </c>
      <c r="R143" s="6" t="s">
        <v>247</v>
      </c>
      <c r="S143" s="6" t="s">
        <v>8</v>
      </c>
      <c r="T143" s="6" t="s">
        <v>248</v>
      </c>
      <c r="U143" s="6" t="s">
        <v>142</v>
      </c>
      <c r="V143" s="6" t="s">
        <v>613</v>
      </c>
      <c r="W143" s="6" t="s">
        <v>284</v>
      </c>
      <c r="X143" s="6" t="s">
        <v>92</v>
      </c>
      <c r="Y143" s="6" t="s">
        <v>92</v>
      </c>
      <c r="Z143" s="6" t="s">
        <v>91</v>
      </c>
      <c r="AA143" s="6" t="s">
        <v>92</v>
      </c>
      <c r="AB143" s="6">
        <v>689.97</v>
      </c>
      <c r="AC143" s="6">
        <v>82.8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456</v>
      </c>
      <c r="AJ143" s="6" t="s">
        <v>264</v>
      </c>
      <c r="AK143" s="6" t="s">
        <v>17</v>
      </c>
      <c r="AL143" s="6" t="s">
        <v>56</v>
      </c>
      <c r="AM143" s="6" t="s">
        <v>265</v>
      </c>
      <c r="AN143" s="6" t="s">
        <v>22</v>
      </c>
      <c r="AO143" s="6" t="s">
        <v>253</v>
      </c>
      <c r="AP143" s="6" t="s">
        <v>254</v>
      </c>
      <c r="AQ143" s="6" t="s">
        <v>20</v>
      </c>
    </row>
    <row r="144" spans="1:43" x14ac:dyDescent="0.25">
      <c r="A144" s="6">
        <v>22701544</v>
      </c>
      <c r="B144" s="6">
        <v>23503697</v>
      </c>
      <c r="C144" s="6" t="s">
        <v>241</v>
      </c>
      <c r="D144" s="14">
        <v>45876.629513888889</v>
      </c>
      <c r="E144" s="14">
        <v>45876.637696759259</v>
      </c>
      <c r="F144" s="6" t="s">
        <v>19</v>
      </c>
      <c r="G144" s="6" t="s">
        <v>19</v>
      </c>
      <c r="H144" s="6" t="s">
        <v>642</v>
      </c>
      <c r="I144" s="6" t="s">
        <v>17</v>
      </c>
      <c r="J144" s="6" t="s">
        <v>643</v>
      </c>
      <c r="K144" s="6" t="s">
        <v>451</v>
      </c>
      <c r="L144" s="6" t="s">
        <v>451</v>
      </c>
      <c r="M144" s="14">
        <v>45876.497916666667</v>
      </c>
      <c r="N144" s="6" t="s">
        <v>644</v>
      </c>
      <c r="O144" s="6" t="s">
        <v>645</v>
      </c>
      <c r="P144" s="6" t="s">
        <v>453</v>
      </c>
      <c r="Q144" s="6" t="s">
        <v>246</v>
      </c>
      <c r="R144" s="6" t="s">
        <v>247</v>
      </c>
      <c r="S144" s="6" t="s">
        <v>8</v>
      </c>
      <c r="T144" s="6" t="s">
        <v>248</v>
      </c>
      <c r="U144" s="6" t="s">
        <v>142</v>
      </c>
      <c r="V144" s="6" t="s">
        <v>613</v>
      </c>
      <c r="W144" s="6" t="s">
        <v>284</v>
      </c>
      <c r="X144" s="6" t="s">
        <v>92</v>
      </c>
      <c r="Y144" s="6" t="s">
        <v>92</v>
      </c>
      <c r="Z144" s="6" t="s">
        <v>91</v>
      </c>
      <c r="AA144" s="6" t="s">
        <v>92</v>
      </c>
      <c r="AB144" s="6">
        <v>419.98</v>
      </c>
      <c r="AC144" s="6">
        <v>50.4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 t="s">
        <v>456</v>
      </c>
      <c r="AJ144" s="6" t="s">
        <v>264</v>
      </c>
      <c r="AK144" s="6" t="s">
        <v>17</v>
      </c>
      <c r="AL144" s="6" t="s">
        <v>56</v>
      </c>
      <c r="AM144" s="6" t="s">
        <v>265</v>
      </c>
      <c r="AN144" s="6" t="s">
        <v>22</v>
      </c>
      <c r="AO144" s="6" t="s">
        <v>253</v>
      </c>
      <c r="AP144" s="6" t="s">
        <v>254</v>
      </c>
      <c r="AQ144" s="6" t="s">
        <v>20</v>
      </c>
    </row>
    <row r="145" spans="1:43" x14ac:dyDescent="0.25">
      <c r="A145" s="6">
        <v>22663266</v>
      </c>
      <c r="B145" s="6">
        <v>23471354</v>
      </c>
      <c r="C145" s="6" t="s">
        <v>241</v>
      </c>
      <c r="D145" s="14">
        <v>45870.380208333343</v>
      </c>
      <c r="E145" s="14">
        <v>45871.179571759261</v>
      </c>
      <c r="F145" s="6" t="s">
        <v>23</v>
      </c>
      <c r="G145" s="6" t="s">
        <v>23</v>
      </c>
      <c r="H145" s="6" t="s">
        <v>646</v>
      </c>
      <c r="I145" s="6" t="s">
        <v>13</v>
      </c>
      <c r="J145" s="6" t="s">
        <v>647</v>
      </c>
      <c r="K145" s="6" t="s">
        <v>648</v>
      </c>
      <c r="L145" s="6" t="s">
        <v>648</v>
      </c>
      <c r="M145" s="14">
        <v>45870.370833333327</v>
      </c>
      <c r="N145" s="6">
        <v>4575595</v>
      </c>
      <c r="O145" s="6" t="s">
        <v>92</v>
      </c>
      <c r="P145" s="6" t="s">
        <v>453</v>
      </c>
      <c r="Q145" s="6" t="s">
        <v>246</v>
      </c>
      <c r="R145" s="6" t="s">
        <v>418</v>
      </c>
      <c r="S145" s="6" t="s">
        <v>7</v>
      </c>
      <c r="T145" s="6" t="s">
        <v>248</v>
      </c>
      <c r="U145" s="6" t="s">
        <v>158</v>
      </c>
      <c r="V145" s="6" t="s">
        <v>649</v>
      </c>
      <c r="W145" s="6" t="s">
        <v>284</v>
      </c>
      <c r="X145" s="6" t="s">
        <v>285</v>
      </c>
      <c r="Y145" s="6">
        <v>2243830150</v>
      </c>
      <c r="Z145" s="6" t="s">
        <v>107</v>
      </c>
      <c r="AA145" s="6" t="s">
        <v>92</v>
      </c>
      <c r="AB145" s="6">
        <v>1073.44</v>
      </c>
      <c r="AC145" s="6">
        <v>80.37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650</v>
      </c>
      <c r="AJ145" s="6" t="s">
        <v>651</v>
      </c>
      <c r="AK145" s="6" t="s">
        <v>13</v>
      </c>
      <c r="AL145" s="6" t="s">
        <v>72</v>
      </c>
      <c r="AM145" s="6" t="s">
        <v>652</v>
      </c>
      <c r="AN145" s="6" t="s">
        <v>52</v>
      </c>
      <c r="AO145" s="6" t="s">
        <v>653</v>
      </c>
      <c r="AP145" s="6" t="s">
        <v>480</v>
      </c>
      <c r="AQ145" s="6" t="s">
        <v>51</v>
      </c>
    </row>
    <row r="146" spans="1:43" x14ac:dyDescent="0.25">
      <c r="A146" s="6">
        <v>22130785</v>
      </c>
      <c r="B146" s="6">
        <v>23011274</v>
      </c>
      <c r="C146" s="6" t="s">
        <v>241</v>
      </c>
      <c r="D146" s="14">
        <v>45782.499143518522</v>
      </c>
      <c r="E146" s="14">
        <v>45875.496851851851</v>
      </c>
      <c r="F146" s="6" t="s">
        <v>19</v>
      </c>
      <c r="G146" s="6" t="s">
        <v>30</v>
      </c>
      <c r="H146" s="6">
        <v>1545065602</v>
      </c>
      <c r="I146" s="6" t="s">
        <v>16</v>
      </c>
      <c r="J146" s="6" t="s">
        <v>654</v>
      </c>
      <c r="K146" s="6" t="s">
        <v>648</v>
      </c>
      <c r="L146" s="6" t="s">
        <v>648</v>
      </c>
      <c r="M146" s="14">
        <v>45779.772222222222</v>
      </c>
      <c r="N146" s="6">
        <v>4401013</v>
      </c>
      <c r="O146" s="6" t="s">
        <v>92</v>
      </c>
      <c r="P146" s="6" t="s">
        <v>245</v>
      </c>
      <c r="Q146" s="6" t="s">
        <v>246</v>
      </c>
      <c r="R146" s="6" t="s">
        <v>247</v>
      </c>
      <c r="S146" s="6" t="s">
        <v>9</v>
      </c>
      <c r="T146" s="6" t="s">
        <v>509</v>
      </c>
      <c r="U146" s="6" t="s">
        <v>158</v>
      </c>
      <c r="V146" s="6" t="s">
        <v>655</v>
      </c>
      <c r="W146" s="6" t="s">
        <v>284</v>
      </c>
      <c r="X146" s="6" t="s">
        <v>656</v>
      </c>
      <c r="Y146" s="6" t="s">
        <v>92</v>
      </c>
      <c r="Z146" s="6" t="s">
        <v>107</v>
      </c>
      <c r="AA146" s="6" t="s">
        <v>92</v>
      </c>
      <c r="AB146" s="6">
        <v>916.32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57</v>
      </c>
      <c r="AI146" s="6" t="s">
        <v>657</v>
      </c>
      <c r="AJ146" s="6" t="s">
        <v>618</v>
      </c>
      <c r="AK146" s="6" t="s">
        <v>16</v>
      </c>
      <c r="AL146" s="6" t="s">
        <v>63</v>
      </c>
      <c r="AM146" s="6" t="s">
        <v>560</v>
      </c>
      <c r="AN146" s="6" t="s">
        <v>22</v>
      </c>
      <c r="AO146" s="6" t="s">
        <v>253</v>
      </c>
      <c r="AP146" s="6" t="s">
        <v>254</v>
      </c>
      <c r="AQ146" s="6" t="s">
        <v>41</v>
      </c>
    </row>
    <row r="147" spans="1:43" x14ac:dyDescent="0.25">
      <c r="A147" s="6">
        <v>22644463</v>
      </c>
      <c r="B147" s="6">
        <v>23454658</v>
      </c>
      <c r="C147" s="6" t="s">
        <v>241</v>
      </c>
      <c r="D147" s="14">
        <v>45867.498229166667</v>
      </c>
      <c r="E147" s="14">
        <v>45867.514409722222</v>
      </c>
      <c r="F147" s="6" t="s">
        <v>25</v>
      </c>
      <c r="G147" s="6" t="s">
        <v>25</v>
      </c>
      <c r="H147" s="6">
        <v>19348843</v>
      </c>
      <c r="I147" s="6" t="s">
        <v>13</v>
      </c>
      <c r="J147" s="6" t="s">
        <v>658</v>
      </c>
      <c r="K147" s="6" t="s">
        <v>648</v>
      </c>
      <c r="L147" s="6" t="s">
        <v>648</v>
      </c>
      <c r="M147" s="14">
        <v>45867.492361111108</v>
      </c>
      <c r="N147" s="6">
        <v>4573812</v>
      </c>
      <c r="O147" s="6" t="s">
        <v>92</v>
      </c>
      <c r="P147" s="6" t="s">
        <v>453</v>
      </c>
      <c r="Q147" s="6" t="s">
        <v>659</v>
      </c>
      <c r="R147" s="6" t="s">
        <v>659</v>
      </c>
      <c r="S147" s="6" t="s">
        <v>9</v>
      </c>
      <c r="T147" s="6" t="s">
        <v>248</v>
      </c>
      <c r="U147" s="6" t="s">
        <v>158</v>
      </c>
      <c r="V147" s="6" t="s">
        <v>649</v>
      </c>
      <c r="W147" s="6" t="s">
        <v>284</v>
      </c>
      <c r="X147" s="6" t="s">
        <v>660</v>
      </c>
      <c r="Y147" s="6" t="s">
        <v>92</v>
      </c>
      <c r="Z147" s="6" t="s">
        <v>107</v>
      </c>
      <c r="AA147" s="6" t="s">
        <v>92</v>
      </c>
      <c r="AB147" s="6">
        <v>1020</v>
      </c>
      <c r="AC147" s="6">
        <v>25.5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661</v>
      </c>
      <c r="AJ147" s="6" t="s">
        <v>618</v>
      </c>
      <c r="AK147" s="6" t="s">
        <v>13</v>
      </c>
      <c r="AL147" s="6" t="s">
        <v>63</v>
      </c>
      <c r="AM147" s="6" t="s">
        <v>560</v>
      </c>
      <c r="AN147" s="6" t="s">
        <v>22</v>
      </c>
      <c r="AO147" s="6" t="s">
        <v>662</v>
      </c>
      <c r="AP147" s="6" t="s">
        <v>480</v>
      </c>
      <c r="AQ147" s="6" t="s">
        <v>39</v>
      </c>
    </row>
    <row r="148" spans="1:43" x14ac:dyDescent="0.25">
      <c r="A148" s="6">
        <v>22703341</v>
      </c>
      <c r="B148" s="6">
        <v>23505449</v>
      </c>
      <c r="C148" s="6" t="s">
        <v>241</v>
      </c>
      <c r="D148" s="14">
        <v>45876.781087962961</v>
      </c>
      <c r="E148" s="14">
        <v>45876.806643518517</v>
      </c>
      <c r="F148" s="6" t="s">
        <v>19</v>
      </c>
      <c r="G148" s="6" t="s">
        <v>19</v>
      </c>
      <c r="H148" s="6" t="s">
        <v>663</v>
      </c>
      <c r="I148" s="6" t="s">
        <v>259</v>
      </c>
      <c r="J148" s="6" t="s">
        <v>664</v>
      </c>
      <c r="K148" s="6" t="s">
        <v>665</v>
      </c>
      <c r="L148" s="6" t="s">
        <v>665</v>
      </c>
      <c r="M148" s="14">
        <v>45876.620833333327</v>
      </c>
      <c r="N148" s="6">
        <v>7985</v>
      </c>
      <c r="O148" s="6" t="s">
        <v>666</v>
      </c>
      <c r="P148" s="6" t="s">
        <v>453</v>
      </c>
      <c r="Q148" s="6" t="s">
        <v>246</v>
      </c>
      <c r="R148" s="6" t="s">
        <v>247</v>
      </c>
      <c r="S148" s="6" t="s">
        <v>8</v>
      </c>
      <c r="T148" s="6" t="s">
        <v>248</v>
      </c>
      <c r="U148" s="6" t="s">
        <v>139</v>
      </c>
      <c r="V148" s="6" t="s">
        <v>667</v>
      </c>
      <c r="W148" s="6" t="s">
        <v>92</v>
      </c>
      <c r="X148" s="6" t="s">
        <v>92</v>
      </c>
      <c r="Y148" s="6" t="s">
        <v>92</v>
      </c>
      <c r="Z148" s="6" t="s">
        <v>90</v>
      </c>
      <c r="AA148" s="6" t="s">
        <v>92</v>
      </c>
      <c r="AB148" s="6">
        <v>589.25440000000003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668</v>
      </c>
      <c r="AJ148" s="6" t="s">
        <v>264</v>
      </c>
      <c r="AK148" s="6" t="s">
        <v>12</v>
      </c>
      <c r="AL148" s="6" t="s">
        <v>56</v>
      </c>
      <c r="AM148" s="6" t="s">
        <v>265</v>
      </c>
      <c r="AN148" s="6" t="s">
        <v>22</v>
      </c>
      <c r="AO148" s="6" t="s">
        <v>253</v>
      </c>
      <c r="AP148" s="6" t="s">
        <v>254</v>
      </c>
      <c r="AQ148" s="6" t="s">
        <v>20</v>
      </c>
    </row>
    <row r="149" spans="1:43" hidden="1" x14ac:dyDescent="0.25">
      <c r="A149" s="6">
        <v>22701000</v>
      </c>
      <c r="B149" s="6">
        <v>23503202</v>
      </c>
      <c r="C149" s="6" t="s">
        <v>241</v>
      </c>
      <c r="D149" s="14">
        <v>45876.544444444437</v>
      </c>
      <c r="E149" s="14">
        <v>45876.546620370369</v>
      </c>
      <c r="F149" s="6" t="s">
        <v>19</v>
      </c>
      <c r="G149" s="6" t="s">
        <v>19</v>
      </c>
      <c r="H149" s="6" t="s">
        <v>669</v>
      </c>
      <c r="I149" s="6" t="s">
        <v>15</v>
      </c>
      <c r="J149" s="6" t="s">
        <v>670</v>
      </c>
      <c r="K149" s="6" t="s">
        <v>671</v>
      </c>
      <c r="L149" s="6" t="s">
        <v>671</v>
      </c>
      <c r="M149" s="14">
        <v>45876.443749999999</v>
      </c>
      <c r="N149" s="6">
        <v>17232644</v>
      </c>
      <c r="O149" s="6" t="s">
        <v>92</v>
      </c>
      <c r="P149" s="6" t="s">
        <v>245</v>
      </c>
      <c r="Q149" s="6" t="s">
        <v>246</v>
      </c>
      <c r="R149" s="6" t="s">
        <v>247</v>
      </c>
      <c r="S149" s="6" t="s">
        <v>3</v>
      </c>
      <c r="T149" s="6" t="s">
        <v>248</v>
      </c>
      <c r="U149" s="6" t="s">
        <v>161</v>
      </c>
      <c r="V149" s="6" t="s">
        <v>672</v>
      </c>
      <c r="W149" s="6" t="s">
        <v>92</v>
      </c>
      <c r="X149" s="6" t="s">
        <v>92</v>
      </c>
      <c r="Y149" s="6" t="s">
        <v>92</v>
      </c>
      <c r="Z149" s="6" t="s">
        <v>113</v>
      </c>
      <c r="AA149" s="6" t="s">
        <v>92</v>
      </c>
      <c r="AB149" s="6">
        <v>122.16</v>
      </c>
      <c r="AC149" s="6">
        <v>21.98</v>
      </c>
      <c r="AD149" s="6">
        <v>9.9499999999999993</v>
      </c>
      <c r="AE149" s="6">
        <v>0</v>
      </c>
      <c r="AF149" s="6">
        <v>0</v>
      </c>
      <c r="AG149" s="6">
        <v>0</v>
      </c>
      <c r="AH149" s="6">
        <v>0</v>
      </c>
      <c r="AI149" s="6" t="s">
        <v>673</v>
      </c>
      <c r="AJ149" s="6" t="s">
        <v>264</v>
      </c>
      <c r="AK149" s="6" t="s">
        <v>15</v>
      </c>
      <c r="AL149" s="6" t="s">
        <v>56</v>
      </c>
      <c r="AM149" s="6" t="s">
        <v>265</v>
      </c>
      <c r="AN149" s="6" t="s">
        <v>22</v>
      </c>
      <c r="AO149" s="6" t="s">
        <v>253</v>
      </c>
      <c r="AP149" s="6" t="s">
        <v>254</v>
      </c>
      <c r="AQ149" s="6" t="s">
        <v>20</v>
      </c>
    </row>
    <row r="150" spans="1:43" hidden="1" x14ac:dyDescent="0.25">
      <c r="A150" s="6">
        <v>22677964</v>
      </c>
      <c r="B150" s="6">
        <v>23482555</v>
      </c>
      <c r="C150" s="6" t="s">
        <v>241</v>
      </c>
      <c r="D150" s="14">
        <v>45873.500451388893</v>
      </c>
      <c r="E150" s="14">
        <v>45873.500532407408</v>
      </c>
      <c r="F150" s="6" t="s">
        <v>21</v>
      </c>
      <c r="G150" s="6" t="s">
        <v>21</v>
      </c>
      <c r="H150" s="6" t="s">
        <v>674</v>
      </c>
      <c r="I150" s="6" t="s">
        <v>15</v>
      </c>
      <c r="J150" s="6" t="s">
        <v>675</v>
      </c>
      <c r="K150" s="6" t="s">
        <v>676</v>
      </c>
      <c r="L150" s="6" t="s">
        <v>676</v>
      </c>
      <c r="M150" s="14">
        <v>45862</v>
      </c>
      <c r="N150" s="6">
        <v>17072029</v>
      </c>
      <c r="O150" s="6" t="s">
        <v>92</v>
      </c>
      <c r="P150" s="6" t="s">
        <v>453</v>
      </c>
      <c r="Q150" s="6" t="s">
        <v>246</v>
      </c>
      <c r="R150" s="6" t="s">
        <v>247</v>
      </c>
      <c r="S150" s="6" t="s">
        <v>9</v>
      </c>
      <c r="T150" s="6" t="s">
        <v>248</v>
      </c>
      <c r="U150" s="6" t="s">
        <v>161</v>
      </c>
      <c r="V150" s="6" t="s">
        <v>672</v>
      </c>
      <c r="W150" s="6" t="s">
        <v>92</v>
      </c>
      <c r="X150" s="6" t="s">
        <v>92</v>
      </c>
      <c r="Y150" s="6" t="s">
        <v>92</v>
      </c>
      <c r="Z150" s="6" t="s">
        <v>113</v>
      </c>
      <c r="AA150" s="6" t="s">
        <v>92</v>
      </c>
      <c r="AB150" s="6">
        <v>487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677</v>
      </c>
      <c r="AJ150" s="6" t="s">
        <v>264</v>
      </c>
      <c r="AK150" s="6" t="s">
        <v>15</v>
      </c>
      <c r="AL150" s="6" t="s">
        <v>56</v>
      </c>
      <c r="AM150" s="6" t="s">
        <v>265</v>
      </c>
      <c r="AN150" s="6" t="s">
        <v>22</v>
      </c>
      <c r="AO150" s="6" t="s">
        <v>253</v>
      </c>
      <c r="AP150" s="6" t="s">
        <v>254</v>
      </c>
      <c r="AQ150" s="6" t="s">
        <v>20</v>
      </c>
    </row>
    <row r="151" spans="1:43" hidden="1" x14ac:dyDescent="0.25">
      <c r="A151" s="6">
        <v>22677965</v>
      </c>
      <c r="B151" s="6">
        <v>23482556</v>
      </c>
      <c r="C151" s="6" t="s">
        <v>241</v>
      </c>
      <c r="D151" s="14">
        <v>45873.500486111108</v>
      </c>
      <c r="E151" s="14">
        <v>45873.500532407408</v>
      </c>
      <c r="F151" s="6" t="s">
        <v>21</v>
      </c>
      <c r="G151" s="6" t="s">
        <v>21</v>
      </c>
      <c r="H151" s="6" t="s">
        <v>678</v>
      </c>
      <c r="I151" s="6" t="s">
        <v>15</v>
      </c>
      <c r="J151" s="6" t="s">
        <v>679</v>
      </c>
      <c r="K151" s="6" t="s">
        <v>676</v>
      </c>
      <c r="L151" s="6" t="s">
        <v>676</v>
      </c>
      <c r="M151" s="14">
        <v>45862</v>
      </c>
      <c r="N151" s="6">
        <v>17072037</v>
      </c>
      <c r="O151" s="6" t="s">
        <v>92</v>
      </c>
      <c r="P151" s="6" t="s">
        <v>453</v>
      </c>
      <c r="Q151" s="6" t="s">
        <v>246</v>
      </c>
      <c r="R151" s="6" t="s">
        <v>247</v>
      </c>
      <c r="S151" s="6" t="s">
        <v>9</v>
      </c>
      <c r="T151" s="6" t="s">
        <v>248</v>
      </c>
      <c r="U151" s="6" t="s">
        <v>161</v>
      </c>
      <c r="V151" s="6" t="s">
        <v>672</v>
      </c>
      <c r="W151" s="6" t="s">
        <v>92</v>
      </c>
      <c r="X151" s="6" t="s">
        <v>92</v>
      </c>
      <c r="Y151" s="6" t="s">
        <v>92</v>
      </c>
      <c r="Z151" s="6" t="s">
        <v>113</v>
      </c>
      <c r="AA151" s="6" t="s">
        <v>92</v>
      </c>
      <c r="AB151" s="6">
        <v>486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680</v>
      </c>
      <c r="AJ151" s="6" t="s">
        <v>264</v>
      </c>
      <c r="AK151" s="6" t="s">
        <v>15</v>
      </c>
      <c r="AL151" s="6" t="s">
        <v>56</v>
      </c>
      <c r="AM151" s="6" t="s">
        <v>265</v>
      </c>
      <c r="AN151" s="6" t="s">
        <v>22</v>
      </c>
      <c r="AO151" s="6" t="s">
        <v>253</v>
      </c>
      <c r="AP151" s="6" t="s">
        <v>254</v>
      </c>
      <c r="AQ151" s="6" t="s">
        <v>20</v>
      </c>
    </row>
    <row r="152" spans="1:43" hidden="1" x14ac:dyDescent="0.25">
      <c r="A152" s="6">
        <v>22653035</v>
      </c>
      <c r="B152" s="6">
        <v>23462600</v>
      </c>
      <c r="C152" s="6" t="s">
        <v>241</v>
      </c>
      <c r="D152" s="14">
        <v>45868.750451388893</v>
      </c>
      <c r="E152" s="14">
        <v>45868.750509259262</v>
      </c>
      <c r="F152" s="6" t="s">
        <v>25</v>
      </c>
      <c r="G152" s="6" t="s">
        <v>25</v>
      </c>
      <c r="H152" s="6" t="s">
        <v>681</v>
      </c>
      <c r="I152" s="6" t="s">
        <v>15</v>
      </c>
      <c r="J152" s="6" t="s">
        <v>682</v>
      </c>
      <c r="K152" s="6" t="s">
        <v>676</v>
      </c>
      <c r="L152" s="6" t="s">
        <v>676</v>
      </c>
      <c r="M152" s="14">
        <v>45868</v>
      </c>
      <c r="N152" s="6">
        <v>17088272</v>
      </c>
      <c r="O152" s="6" t="s">
        <v>92</v>
      </c>
      <c r="P152" s="6" t="s">
        <v>453</v>
      </c>
      <c r="Q152" s="6" t="s">
        <v>246</v>
      </c>
      <c r="R152" s="6" t="s">
        <v>247</v>
      </c>
      <c r="S152" s="6" t="s">
        <v>9</v>
      </c>
      <c r="T152" s="6" t="s">
        <v>248</v>
      </c>
      <c r="U152" s="6" t="s">
        <v>161</v>
      </c>
      <c r="V152" s="6" t="s">
        <v>672</v>
      </c>
      <c r="W152" s="6" t="s">
        <v>92</v>
      </c>
      <c r="X152" s="6" t="s">
        <v>92</v>
      </c>
      <c r="Y152" s="6" t="s">
        <v>92</v>
      </c>
      <c r="Z152" s="6" t="s">
        <v>113</v>
      </c>
      <c r="AA152" s="6" t="s">
        <v>92</v>
      </c>
      <c r="AB152" s="6">
        <v>487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683</v>
      </c>
      <c r="AJ152" s="6" t="s">
        <v>264</v>
      </c>
      <c r="AK152" s="6" t="s">
        <v>15</v>
      </c>
      <c r="AL152" s="6" t="s">
        <v>56</v>
      </c>
      <c r="AM152" s="6" t="s">
        <v>265</v>
      </c>
      <c r="AN152" s="6" t="s">
        <v>22</v>
      </c>
      <c r="AO152" s="6" t="s">
        <v>253</v>
      </c>
      <c r="AP152" s="6" t="s">
        <v>254</v>
      </c>
      <c r="AQ152" s="6" t="s">
        <v>20</v>
      </c>
    </row>
    <row r="153" spans="1:43" x14ac:dyDescent="0.25">
      <c r="A153" s="6">
        <v>22699802</v>
      </c>
      <c r="B153" s="6">
        <v>23502063</v>
      </c>
      <c r="C153" s="6" t="s">
        <v>241</v>
      </c>
      <c r="D153" s="14">
        <v>45876.460694444453</v>
      </c>
      <c r="E153" s="14">
        <v>45876.463900462957</v>
      </c>
      <c r="F153" s="6" t="s">
        <v>19</v>
      </c>
      <c r="G153" s="6" t="s">
        <v>19</v>
      </c>
      <c r="H153" s="6" t="s">
        <v>684</v>
      </c>
      <c r="I153" s="6" t="s">
        <v>15</v>
      </c>
      <c r="J153" s="6" t="s">
        <v>685</v>
      </c>
      <c r="K153" s="6" t="s">
        <v>671</v>
      </c>
      <c r="L153" s="6" t="s">
        <v>671</v>
      </c>
      <c r="M153" s="14">
        <v>45875.407638888893</v>
      </c>
      <c r="N153" s="6">
        <v>17218825</v>
      </c>
      <c r="O153" s="6" t="s">
        <v>92</v>
      </c>
      <c r="P153" s="6" t="s">
        <v>245</v>
      </c>
      <c r="Q153" s="6" t="s">
        <v>246</v>
      </c>
      <c r="R153" s="6" t="s">
        <v>247</v>
      </c>
      <c r="S153" s="6" t="s">
        <v>3</v>
      </c>
      <c r="T153" s="6" t="s">
        <v>248</v>
      </c>
      <c r="U153" s="6" t="s">
        <v>161</v>
      </c>
      <c r="V153" s="6" t="s">
        <v>672</v>
      </c>
      <c r="W153" s="6" t="s">
        <v>92</v>
      </c>
      <c r="X153" s="6" t="s">
        <v>92</v>
      </c>
      <c r="Y153" s="6" t="s">
        <v>92</v>
      </c>
      <c r="Z153" s="6" t="s">
        <v>113</v>
      </c>
      <c r="AA153" s="6" t="s">
        <v>92</v>
      </c>
      <c r="AB153" s="6">
        <v>140.29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>
        <v>0</v>
      </c>
      <c r="AI153" s="6" t="s">
        <v>686</v>
      </c>
      <c r="AJ153" s="6" t="s">
        <v>264</v>
      </c>
      <c r="AK153" s="6" t="s">
        <v>15</v>
      </c>
      <c r="AL153" s="6" t="s">
        <v>56</v>
      </c>
      <c r="AM153" s="6" t="s">
        <v>265</v>
      </c>
      <c r="AN153" s="6" t="s">
        <v>22</v>
      </c>
      <c r="AO153" s="6" t="s">
        <v>253</v>
      </c>
      <c r="AP153" s="6" t="s">
        <v>254</v>
      </c>
      <c r="AQ153" s="6" t="s">
        <v>20</v>
      </c>
    </row>
    <row r="154" spans="1:43" hidden="1" x14ac:dyDescent="0.25">
      <c r="A154" s="6">
        <v>22699804</v>
      </c>
      <c r="B154" s="6">
        <v>23502064</v>
      </c>
      <c r="C154" s="6" t="s">
        <v>241</v>
      </c>
      <c r="D154" s="14">
        <v>45876.460717592592</v>
      </c>
      <c r="E154" s="14">
        <v>45876.463912037027</v>
      </c>
      <c r="F154" s="6" t="s">
        <v>19</v>
      </c>
      <c r="G154" s="6" t="s">
        <v>19</v>
      </c>
      <c r="H154" s="6" t="s">
        <v>687</v>
      </c>
      <c r="I154" s="6" t="s">
        <v>15</v>
      </c>
      <c r="J154" s="6" t="s">
        <v>685</v>
      </c>
      <c r="K154" s="6" t="s">
        <v>671</v>
      </c>
      <c r="L154" s="6" t="s">
        <v>671</v>
      </c>
      <c r="M154" s="14">
        <v>45874.750694444447</v>
      </c>
      <c r="N154" s="6">
        <v>17218825</v>
      </c>
      <c r="O154" s="6" t="s">
        <v>92</v>
      </c>
      <c r="P154" s="6" t="s">
        <v>245</v>
      </c>
      <c r="Q154" s="6" t="s">
        <v>246</v>
      </c>
      <c r="R154" s="6" t="s">
        <v>247</v>
      </c>
      <c r="S154" s="6" t="s">
        <v>3</v>
      </c>
      <c r="T154" s="6" t="s">
        <v>248</v>
      </c>
      <c r="U154" s="6" t="s">
        <v>161</v>
      </c>
      <c r="V154" s="6" t="s">
        <v>672</v>
      </c>
      <c r="W154" s="6" t="s">
        <v>92</v>
      </c>
      <c r="X154" s="6" t="s">
        <v>92</v>
      </c>
      <c r="Y154" s="6" t="s">
        <v>92</v>
      </c>
      <c r="Z154" s="6" t="s">
        <v>113</v>
      </c>
      <c r="AA154" s="6" t="s">
        <v>92</v>
      </c>
      <c r="AB154" s="6">
        <v>118.68</v>
      </c>
      <c r="AC154" s="6">
        <v>21.36</v>
      </c>
      <c r="AD154" s="6">
        <v>9.9499999999999993</v>
      </c>
      <c r="AE154" s="6">
        <v>0</v>
      </c>
      <c r="AF154" s="6">
        <v>0</v>
      </c>
      <c r="AG154" s="6">
        <v>0</v>
      </c>
      <c r="AH154" s="6">
        <v>0</v>
      </c>
      <c r="AI154" s="6" t="s">
        <v>686</v>
      </c>
      <c r="AJ154" s="6" t="s">
        <v>264</v>
      </c>
      <c r="AK154" s="6" t="s">
        <v>15</v>
      </c>
      <c r="AL154" s="6" t="s">
        <v>56</v>
      </c>
      <c r="AM154" s="6" t="s">
        <v>265</v>
      </c>
      <c r="AN154" s="6" t="s">
        <v>22</v>
      </c>
      <c r="AO154" s="6" t="s">
        <v>253</v>
      </c>
      <c r="AP154" s="6" t="s">
        <v>254</v>
      </c>
      <c r="AQ154" s="6" t="s">
        <v>20</v>
      </c>
    </row>
    <row r="155" spans="1:43" hidden="1" x14ac:dyDescent="0.25">
      <c r="A155" s="6">
        <v>22704133</v>
      </c>
      <c r="B155" s="6">
        <v>23506183</v>
      </c>
      <c r="C155" s="6" t="s">
        <v>241</v>
      </c>
      <c r="D155" s="14">
        <v>45876.835243055553</v>
      </c>
      <c r="E155" s="14">
        <v>45876.837824074071</v>
      </c>
      <c r="F155" s="6" t="s">
        <v>19</v>
      </c>
      <c r="G155" s="6" t="s">
        <v>19</v>
      </c>
      <c r="H155" s="6" t="s">
        <v>688</v>
      </c>
      <c r="I155" s="6" t="s">
        <v>15</v>
      </c>
      <c r="J155" s="6" t="s">
        <v>689</v>
      </c>
      <c r="K155" s="6" t="s">
        <v>671</v>
      </c>
      <c r="L155" s="6" t="s">
        <v>671</v>
      </c>
      <c r="M155" s="14">
        <v>45876.656944444447</v>
      </c>
      <c r="N155" s="6">
        <v>17236939</v>
      </c>
      <c r="O155" s="6" t="s">
        <v>92</v>
      </c>
      <c r="P155" s="6" t="s">
        <v>245</v>
      </c>
      <c r="Q155" s="6" t="s">
        <v>246</v>
      </c>
      <c r="R155" s="6" t="s">
        <v>247</v>
      </c>
      <c r="S155" s="6" t="s">
        <v>3</v>
      </c>
      <c r="T155" s="6" t="s">
        <v>248</v>
      </c>
      <c r="U155" s="6" t="s">
        <v>161</v>
      </c>
      <c r="V155" s="6" t="s">
        <v>672</v>
      </c>
      <c r="W155" s="6" t="s">
        <v>92</v>
      </c>
      <c r="X155" s="6" t="s">
        <v>92</v>
      </c>
      <c r="Y155" s="6" t="s">
        <v>92</v>
      </c>
      <c r="Z155" s="6" t="s">
        <v>113</v>
      </c>
      <c r="AA155" s="6" t="s">
        <v>92</v>
      </c>
      <c r="AB155" s="6">
        <v>443.67</v>
      </c>
      <c r="AC155" s="6">
        <v>79.86</v>
      </c>
      <c r="AD155" s="6">
        <v>10.95</v>
      </c>
      <c r="AE155" s="6">
        <v>0</v>
      </c>
      <c r="AF155" s="6">
        <v>0</v>
      </c>
      <c r="AG155" s="6">
        <v>0</v>
      </c>
      <c r="AH155" s="6">
        <v>0</v>
      </c>
      <c r="AI155" s="6" t="s">
        <v>690</v>
      </c>
      <c r="AJ155" s="6" t="s">
        <v>264</v>
      </c>
      <c r="AK155" s="6" t="s">
        <v>15</v>
      </c>
      <c r="AL155" s="6" t="s">
        <v>56</v>
      </c>
      <c r="AM155" s="6" t="s">
        <v>265</v>
      </c>
      <c r="AN155" s="6" t="s">
        <v>22</v>
      </c>
      <c r="AO155" s="6" t="s">
        <v>253</v>
      </c>
      <c r="AP155" s="6" t="s">
        <v>254</v>
      </c>
      <c r="AQ155" s="6" t="s">
        <v>20</v>
      </c>
    </row>
    <row r="156" spans="1:43" hidden="1" x14ac:dyDescent="0.25">
      <c r="A156" s="6">
        <v>22704134</v>
      </c>
      <c r="B156" s="6">
        <v>23506184</v>
      </c>
      <c r="C156" s="6" t="s">
        <v>241</v>
      </c>
      <c r="D156" s="14">
        <v>45876.83525462963</v>
      </c>
      <c r="E156" s="14">
        <v>45876.837824074071</v>
      </c>
      <c r="F156" s="6" t="s">
        <v>19</v>
      </c>
      <c r="G156" s="6" t="s">
        <v>19</v>
      </c>
      <c r="H156" s="6" t="s">
        <v>691</v>
      </c>
      <c r="I156" s="6" t="s">
        <v>15</v>
      </c>
      <c r="J156" s="6" t="s">
        <v>689</v>
      </c>
      <c r="K156" s="6" t="s">
        <v>671</v>
      </c>
      <c r="L156" s="6" t="s">
        <v>671</v>
      </c>
      <c r="M156" s="14">
        <v>45876.669444444437</v>
      </c>
      <c r="N156" s="6">
        <v>17236939</v>
      </c>
      <c r="O156" s="6" t="s">
        <v>92</v>
      </c>
      <c r="P156" s="6" t="s">
        <v>245</v>
      </c>
      <c r="Q156" s="6" t="s">
        <v>246</v>
      </c>
      <c r="R156" s="6" t="s">
        <v>247</v>
      </c>
      <c r="S156" s="6" t="s">
        <v>3</v>
      </c>
      <c r="T156" s="6" t="s">
        <v>248</v>
      </c>
      <c r="U156" s="6" t="s">
        <v>161</v>
      </c>
      <c r="V156" s="6" t="s">
        <v>672</v>
      </c>
      <c r="W156" s="6" t="s">
        <v>92</v>
      </c>
      <c r="X156" s="6" t="s">
        <v>92</v>
      </c>
      <c r="Y156" s="6" t="s">
        <v>92</v>
      </c>
      <c r="Z156" s="6" t="s">
        <v>113</v>
      </c>
      <c r="AA156" s="6" t="s">
        <v>92</v>
      </c>
      <c r="AB156" s="6">
        <v>359.99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690</v>
      </c>
      <c r="AJ156" s="6" t="s">
        <v>264</v>
      </c>
      <c r="AK156" s="6" t="s">
        <v>15</v>
      </c>
      <c r="AL156" s="6" t="s">
        <v>56</v>
      </c>
      <c r="AM156" s="6" t="s">
        <v>265</v>
      </c>
      <c r="AN156" s="6" t="s">
        <v>22</v>
      </c>
      <c r="AO156" s="6" t="s">
        <v>253</v>
      </c>
      <c r="AP156" s="6" t="s">
        <v>254</v>
      </c>
      <c r="AQ156" s="6" t="s">
        <v>20</v>
      </c>
    </row>
    <row r="157" spans="1:43" hidden="1" x14ac:dyDescent="0.25">
      <c r="A157" s="6">
        <v>22700163</v>
      </c>
      <c r="B157" s="6">
        <v>23502403</v>
      </c>
      <c r="C157" s="6" t="s">
        <v>241</v>
      </c>
      <c r="D157" s="14">
        <v>45876.50304398148</v>
      </c>
      <c r="E157" s="14">
        <v>45876.50508101852</v>
      </c>
      <c r="F157" s="6" t="s">
        <v>19</v>
      </c>
      <c r="G157" s="6" t="s">
        <v>19</v>
      </c>
      <c r="H157" s="6" t="s">
        <v>692</v>
      </c>
      <c r="I157" s="6" t="s">
        <v>15</v>
      </c>
      <c r="J157" s="6" t="s">
        <v>693</v>
      </c>
      <c r="K157" s="6" t="s">
        <v>671</v>
      </c>
      <c r="L157" s="6" t="s">
        <v>671</v>
      </c>
      <c r="M157" s="14">
        <v>45876.470833333333</v>
      </c>
      <c r="N157" s="6">
        <v>17226747</v>
      </c>
      <c r="O157" s="6" t="s">
        <v>92</v>
      </c>
      <c r="P157" s="6" t="s">
        <v>245</v>
      </c>
      <c r="Q157" s="6" t="s">
        <v>246</v>
      </c>
      <c r="R157" s="6" t="s">
        <v>247</v>
      </c>
      <c r="S157" s="6" t="s">
        <v>3</v>
      </c>
      <c r="T157" s="6" t="s">
        <v>248</v>
      </c>
      <c r="U157" s="6" t="s">
        <v>161</v>
      </c>
      <c r="V157" s="6" t="s">
        <v>694</v>
      </c>
      <c r="W157" s="6" t="s">
        <v>92</v>
      </c>
      <c r="X157" s="6" t="s">
        <v>92</v>
      </c>
      <c r="Y157" s="6" t="s">
        <v>92</v>
      </c>
      <c r="Z157" s="6" t="s">
        <v>113</v>
      </c>
      <c r="AA157" s="6" t="s">
        <v>92</v>
      </c>
      <c r="AB157" s="6">
        <v>289.95999999999998</v>
      </c>
      <c r="AC157" s="6">
        <v>52.19</v>
      </c>
      <c r="AD157" s="6">
        <v>10.95</v>
      </c>
      <c r="AE157" s="6">
        <v>0</v>
      </c>
      <c r="AF157" s="6">
        <v>0</v>
      </c>
      <c r="AG157" s="6">
        <v>0</v>
      </c>
      <c r="AH157" s="6">
        <v>0</v>
      </c>
      <c r="AI157" s="6" t="s">
        <v>695</v>
      </c>
      <c r="AJ157" s="6" t="s">
        <v>264</v>
      </c>
      <c r="AK157" s="6" t="s">
        <v>15</v>
      </c>
      <c r="AL157" s="6" t="s">
        <v>56</v>
      </c>
      <c r="AM157" s="6" t="s">
        <v>265</v>
      </c>
      <c r="AN157" s="6" t="s">
        <v>22</v>
      </c>
      <c r="AO157" s="6" t="s">
        <v>253</v>
      </c>
      <c r="AP157" s="6" t="s">
        <v>254</v>
      </c>
      <c r="AQ157" s="6" t="s">
        <v>20</v>
      </c>
    </row>
    <row r="158" spans="1:43" hidden="1" x14ac:dyDescent="0.25">
      <c r="A158" s="6">
        <v>22700165</v>
      </c>
      <c r="B158" s="6">
        <v>23502404</v>
      </c>
      <c r="C158" s="6" t="s">
        <v>241</v>
      </c>
      <c r="D158" s="14">
        <v>45876.50309027778</v>
      </c>
      <c r="E158" s="14">
        <v>45876.50509259259</v>
      </c>
      <c r="F158" s="6" t="s">
        <v>19</v>
      </c>
      <c r="G158" s="6" t="s">
        <v>19</v>
      </c>
      <c r="H158" s="6" t="s">
        <v>696</v>
      </c>
      <c r="I158" s="6" t="s">
        <v>15</v>
      </c>
      <c r="J158" s="6" t="s">
        <v>693</v>
      </c>
      <c r="K158" s="6" t="s">
        <v>671</v>
      </c>
      <c r="L158" s="6" t="s">
        <v>671</v>
      </c>
      <c r="M158" s="14">
        <v>45875.668749999997</v>
      </c>
      <c r="N158" s="6">
        <v>17226747</v>
      </c>
      <c r="O158" s="6" t="s">
        <v>92</v>
      </c>
      <c r="P158" s="6" t="s">
        <v>245</v>
      </c>
      <c r="Q158" s="6" t="s">
        <v>246</v>
      </c>
      <c r="R158" s="6" t="s">
        <v>247</v>
      </c>
      <c r="S158" s="6" t="s">
        <v>3</v>
      </c>
      <c r="T158" s="6" t="s">
        <v>248</v>
      </c>
      <c r="U158" s="6" t="s">
        <v>161</v>
      </c>
      <c r="V158" s="6" t="s">
        <v>694</v>
      </c>
      <c r="W158" s="6" t="s">
        <v>92</v>
      </c>
      <c r="X158" s="6" t="s">
        <v>92</v>
      </c>
      <c r="Y158" s="6" t="s">
        <v>92</v>
      </c>
      <c r="Z158" s="6" t="s">
        <v>113</v>
      </c>
      <c r="AA158" s="6" t="s">
        <v>92</v>
      </c>
      <c r="AB158" s="6">
        <v>289.94</v>
      </c>
      <c r="AC158" s="6">
        <v>52.18</v>
      </c>
      <c r="AD158" s="6">
        <v>10.95</v>
      </c>
      <c r="AE158" s="6">
        <v>0</v>
      </c>
      <c r="AF158" s="6">
        <v>0</v>
      </c>
      <c r="AG158" s="6">
        <v>0</v>
      </c>
      <c r="AH158" s="6">
        <v>0</v>
      </c>
      <c r="AI158" s="6" t="s">
        <v>695</v>
      </c>
      <c r="AJ158" s="6" t="s">
        <v>264</v>
      </c>
      <c r="AK158" s="6" t="s">
        <v>15</v>
      </c>
      <c r="AL158" s="6" t="s">
        <v>56</v>
      </c>
      <c r="AM158" s="6" t="s">
        <v>265</v>
      </c>
      <c r="AN158" s="6" t="s">
        <v>22</v>
      </c>
      <c r="AO158" s="6" t="s">
        <v>253</v>
      </c>
      <c r="AP158" s="6" t="s">
        <v>254</v>
      </c>
      <c r="AQ158" s="6" t="s">
        <v>20</v>
      </c>
    </row>
    <row r="159" spans="1:43" x14ac:dyDescent="0.25">
      <c r="A159" s="6">
        <v>22699794</v>
      </c>
      <c r="B159" s="6">
        <v>23502055</v>
      </c>
      <c r="C159" s="6" t="s">
        <v>241</v>
      </c>
      <c r="D159" s="14">
        <v>45876.459918981483</v>
      </c>
      <c r="E159" s="14">
        <v>45876.463530092587</v>
      </c>
      <c r="F159" s="6" t="s">
        <v>19</v>
      </c>
      <c r="G159" s="6" t="s">
        <v>19</v>
      </c>
      <c r="H159" s="6" t="s">
        <v>697</v>
      </c>
      <c r="I159" s="6" t="s">
        <v>15</v>
      </c>
      <c r="J159" s="6" t="s">
        <v>698</v>
      </c>
      <c r="K159" s="6" t="s">
        <v>671</v>
      </c>
      <c r="L159" s="6" t="s">
        <v>671</v>
      </c>
      <c r="M159" s="14">
        <v>45873.729861111111</v>
      </c>
      <c r="N159" s="6">
        <v>17205320</v>
      </c>
      <c r="O159" s="6" t="s">
        <v>92</v>
      </c>
      <c r="P159" s="6" t="s">
        <v>245</v>
      </c>
      <c r="Q159" s="6" t="s">
        <v>246</v>
      </c>
      <c r="R159" s="6" t="s">
        <v>247</v>
      </c>
      <c r="S159" s="6" t="s">
        <v>3</v>
      </c>
      <c r="T159" s="6" t="s">
        <v>248</v>
      </c>
      <c r="U159" s="6" t="s">
        <v>161</v>
      </c>
      <c r="V159" s="6" t="s">
        <v>694</v>
      </c>
      <c r="W159" s="6" t="s">
        <v>92</v>
      </c>
      <c r="X159" s="6" t="s">
        <v>92</v>
      </c>
      <c r="Y159" s="6" t="s">
        <v>92</v>
      </c>
      <c r="Z159" s="6" t="s">
        <v>113</v>
      </c>
      <c r="AA159" s="6" t="s">
        <v>92</v>
      </c>
      <c r="AB159" s="6">
        <v>129.07</v>
      </c>
      <c r="AC159" s="6">
        <v>23.23</v>
      </c>
      <c r="AD159" s="6">
        <v>9.9499999999999993</v>
      </c>
      <c r="AE159" s="6">
        <v>0</v>
      </c>
      <c r="AF159" s="6">
        <v>0</v>
      </c>
      <c r="AG159" s="6">
        <v>0</v>
      </c>
      <c r="AH159" s="6">
        <v>0</v>
      </c>
      <c r="AI159" s="6" t="s">
        <v>699</v>
      </c>
      <c r="AJ159" s="6" t="s">
        <v>264</v>
      </c>
      <c r="AK159" s="6" t="s">
        <v>15</v>
      </c>
      <c r="AL159" s="6" t="s">
        <v>56</v>
      </c>
      <c r="AM159" s="6" t="s">
        <v>265</v>
      </c>
      <c r="AN159" s="6" t="s">
        <v>22</v>
      </c>
      <c r="AO159" s="6" t="s">
        <v>253</v>
      </c>
      <c r="AP159" s="6" t="s">
        <v>254</v>
      </c>
      <c r="AQ159" s="6" t="s">
        <v>20</v>
      </c>
    </row>
    <row r="160" spans="1:43" hidden="1" x14ac:dyDescent="0.25">
      <c r="A160" s="6">
        <v>22705301</v>
      </c>
      <c r="B160" s="6">
        <v>23507217</v>
      </c>
      <c r="C160" s="6" t="s">
        <v>241</v>
      </c>
      <c r="D160" s="14">
        <v>45877.045034722221</v>
      </c>
      <c r="E160" s="14">
        <v>45877.04587962963</v>
      </c>
      <c r="F160" s="6" t="s">
        <v>19</v>
      </c>
      <c r="G160" s="6" t="s">
        <v>19</v>
      </c>
      <c r="H160" s="6" t="s">
        <v>700</v>
      </c>
      <c r="I160" s="6" t="s">
        <v>15</v>
      </c>
      <c r="J160" s="6" t="s">
        <v>701</v>
      </c>
      <c r="K160" s="6" t="s">
        <v>702</v>
      </c>
      <c r="L160" s="6" t="s">
        <v>702</v>
      </c>
      <c r="M160" s="14">
        <v>45854</v>
      </c>
      <c r="N160" s="6">
        <v>17240154</v>
      </c>
      <c r="O160" s="6" t="s">
        <v>92</v>
      </c>
      <c r="P160" s="6" t="s">
        <v>453</v>
      </c>
      <c r="Q160" s="6" t="s">
        <v>428</v>
      </c>
      <c r="R160" s="6" t="s">
        <v>428</v>
      </c>
      <c r="S160" s="6" t="s">
        <v>9</v>
      </c>
      <c r="T160" s="6" t="s">
        <v>248</v>
      </c>
      <c r="U160" s="6" t="s">
        <v>161</v>
      </c>
      <c r="V160" s="6" t="s">
        <v>672</v>
      </c>
      <c r="W160" s="6" t="s">
        <v>92</v>
      </c>
      <c r="X160" s="6" t="s">
        <v>92</v>
      </c>
      <c r="Y160" s="6" t="s">
        <v>92</v>
      </c>
      <c r="Z160" s="6" t="s">
        <v>113</v>
      </c>
      <c r="AA160" s="6" t="s">
        <v>92</v>
      </c>
      <c r="AB160" s="6">
        <v>488</v>
      </c>
      <c r="AC160" s="6">
        <v>0</v>
      </c>
      <c r="AD160" s="6">
        <v>0</v>
      </c>
      <c r="AE160" s="6">
        <v>0</v>
      </c>
      <c r="AF160" s="6">
        <v>0</v>
      </c>
      <c r="AG160" s="6">
        <v>24.4</v>
      </c>
      <c r="AH160" s="6">
        <v>0</v>
      </c>
      <c r="AI160" s="6" t="s">
        <v>703</v>
      </c>
      <c r="AJ160" s="6" t="s">
        <v>264</v>
      </c>
      <c r="AK160" s="6" t="s">
        <v>15</v>
      </c>
      <c r="AL160" s="6" t="s">
        <v>56</v>
      </c>
      <c r="AM160" s="6" t="s">
        <v>265</v>
      </c>
      <c r="AN160" s="6" t="s">
        <v>22</v>
      </c>
      <c r="AO160" s="6" t="s">
        <v>253</v>
      </c>
      <c r="AP160" s="6" t="s">
        <v>254</v>
      </c>
      <c r="AQ160" s="6" t="s">
        <v>20</v>
      </c>
    </row>
    <row r="161" spans="1:43" hidden="1" x14ac:dyDescent="0.25">
      <c r="A161" s="6">
        <v>22696209</v>
      </c>
      <c r="B161" s="6">
        <v>23499064</v>
      </c>
      <c r="C161" s="6" t="s">
        <v>241</v>
      </c>
      <c r="D161" s="14">
        <v>45875.784814814811</v>
      </c>
      <c r="E161" s="14">
        <v>45875.830451388887</v>
      </c>
      <c r="F161" s="6" t="s">
        <v>19</v>
      </c>
      <c r="G161" s="6" t="s">
        <v>19</v>
      </c>
      <c r="H161" s="6" t="s">
        <v>704</v>
      </c>
      <c r="I161" s="6" t="s">
        <v>259</v>
      </c>
      <c r="J161" s="6" t="s">
        <v>705</v>
      </c>
      <c r="K161" s="6" t="s">
        <v>665</v>
      </c>
      <c r="L161" s="6" t="s">
        <v>665</v>
      </c>
      <c r="M161" s="14">
        <v>45875.738194444442</v>
      </c>
      <c r="N161" s="6">
        <v>76208</v>
      </c>
      <c r="O161" s="6" t="s">
        <v>92</v>
      </c>
      <c r="P161" s="6" t="s">
        <v>453</v>
      </c>
      <c r="Q161" s="6" t="s">
        <v>428</v>
      </c>
      <c r="R161" s="6" t="s">
        <v>428</v>
      </c>
      <c r="S161" s="6" t="s">
        <v>9</v>
      </c>
      <c r="T161" s="6" t="s">
        <v>248</v>
      </c>
      <c r="U161" s="6" t="s">
        <v>124</v>
      </c>
      <c r="V161" s="6" t="s">
        <v>706</v>
      </c>
      <c r="W161" s="6" t="s">
        <v>92</v>
      </c>
      <c r="X161" s="6" t="s">
        <v>92</v>
      </c>
      <c r="Y161" s="6" t="s">
        <v>92</v>
      </c>
      <c r="Z161" s="6" t="s">
        <v>75</v>
      </c>
      <c r="AA161" s="6" t="s">
        <v>92</v>
      </c>
      <c r="AB161" s="6">
        <v>219</v>
      </c>
      <c r="AC161" s="6">
        <v>0</v>
      </c>
      <c r="AD161" s="6">
        <v>0</v>
      </c>
      <c r="AE161" s="6">
        <v>0</v>
      </c>
      <c r="AF161" s="6">
        <v>0</v>
      </c>
      <c r="AG161" s="6">
        <v>10.95</v>
      </c>
      <c r="AH161" s="6">
        <v>0</v>
      </c>
      <c r="AI161" s="6" t="s">
        <v>707</v>
      </c>
      <c r="AJ161" s="6" t="s">
        <v>264</v>
      </c>
      <c r="AK161" s="6" t="s">
        <v>12</v>
      </c>
      <c r="AL161" s="6" t="s">
        <v>56</v>
      </c>
      <c r="AM161" s="6" t="s">
        <v>265</v>
      </c>
      <c r="AN161" s="6" t="s">
        <v>22</v>
      </c>
      <c r="AO161" s="6" t="s">
        <v>662</v>
      </c>
      <c r="AP161" s="6" t="s">
        <v>480</v>
      </c>
      <c r="AQ161" s="6" t="s">
        <v>39</v>
      </c>
    </row>
    <row r="162" spans="1:43" hidden="1" x14ac:dyDescent="0.25">
      <c r="A162" s="6">
        <v>22696295</v>
      </c>
      <c r="B162" s="6">
        <v>23499141</v>
      </c>
      <c r="C162" s="6" t="s">
        <v>241</v>
      </c>
      <c r="D162" s="14">
        <v>45875.788541666669</v>
      </c>
      <c r="E162" s="14">
        <v>45875.837083333332</v>
      </c>
      <c r="F162" s="6" t="s">
        <v>19</v>
      </c>
      <c r="G162" s="6" t="s">
        <v>19</v>
      </c>
      <c r="H162" s="6" t="s">
        <v>708</v>
      </c>
      <c r="I162" s="6" t="s">
        <v>259</v>
      </c>
      <c r="J162" s="6" t="s">
        <v>709</v>
      </c>
      <c r="K162" s="6" t="s">
        <v>665</v>
      </c>
      <c r="L162" s="6" t="s">
        <v>665</v>
      </c>
      <c r="M162" s="14">
        <v>45875.563194444447</v>
      </c>
      <c r="N162" s="6">
        <v>76118</v>
      </c>
      <c r="O162" s="6" t="s">
        <v>92</v>
      </c>
      <c r="P162" s="6" t="s">
        <v>453</v>
      </c>
      <c r="Q162" s="6" t="s">
        <v>428</v>
      </c>
      <c r="R162" s="6" t="s">
        <v>428</v>
      </c>
      <c r="S162" s="6" t="s">
        <v>9</v>
      </c>
      <c r="T162" s="6" t="s">
        <v>248</v>
      </c>
      <c r="U162" s="6" t="s">
        <v>124</v>
      </c>
      <c r="V162" s="6" t="s">
        <v>706</v>
      </c>
      <c r="W162" s="6" t="s">
        <v>92</v>
      </c>
      <c r="X162" s="6" t="s">
        <v>92</v>
      </c>
      <c r="Y162" s="6" t="s">
        <v>92</v>
      </c>
      <c r="Z162" s="6" t="s">
        <v>75</v>
      </c>
      <c r="AA162" s="6" t="s">
        <v>92</v>
      </c>
      <c r="AB162" s="6">
        <v>772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710</v>
      </c>
      <c r="AJ162" s="6" t="s">
        <v>264</v>
      </c>
      <c r="AK162" s="6" t="s">
        <v>12</v>
      </c>
      <c r="AL162" s="6" t="s">
        <v>56</v>
      </c>
      <c r="AM162" s="6" t="s">
        <v>265</v>
      </c>
      <c r="AN162" s="6" t="s">
        <v>22</v>
      </c>
      <c r="AO162" s="6" t="s">
        <v>662</v>
      </c>
      <c r="AP162" s="6" t="s">
        <v>480</v>
      </c>
      <c r="AQ162" s="6" t="s">
        <v>39</v>
      </c>
    </row>
    <row r="163" spans="1:43" hidden="1" x14ac:dyDescent="0.25">
      <c r="A163" s="6">
        <v>22703814</v>
      </c>
      <c r="B163" s="6">
        <v>23505905</v>
      </c>
      <c r="C163" s="6" t="s">
        <v>241</v>
      </c>
      <c r="D163" s="14">
        <v>45876.800706018519</v>
      </c>
      <c r="E163" s="14">
        <v>45876.83792824074</v>
      </c>
      <c r="F163" s="6" t="s">
        <v>19</v>
      </c>
      <c r="G163" s="6" t="s">
        <v>19</v>
      </c>
      <c r="H163" s="6" t="s">
        <v>711</v>
      </c>
      <c r="I163" s="6" t="s">
        <v>259</v>
      </c>
      <c r="J163" s="6" t="s">
        <v>712</v>
      </c>
      <c r="K163" s="6" t="s">
        <v>713</v>
      </c>
      <c r="L163" s="6" t="s">
        <v>713</v>
      </c>
      <c r="M163" s="14">
        <v>45876.509722222218</v>
      </c>
      <c r="N163" s="6">
        <v>76308</v>
      </c>
      <c r="O163" s="6" t="s">
        <v>92</v>
      </c>
      <c r="P163" s="6" t="s">
        <v>245</v>
      </c>
      <c r="Q163" s="6" t="s">
        <v>428</v>
      </c>
      <c r="R163" s="6" t="s">
        <v>428</v>
      </c>
      <c r="S163" s="6" t="s">
        <v>9</v>
      </c>
      <c r="T163" s="6" t="s">
        <v>248</v>
      </c>
      <c r="U163" s="6" t="s">
        <v>124</v>
      </c>
      <c r="V163" s="6" t="s">
        <v>706</v>
      </c>
      <c r="W163" s="6" t="s">
        <v>92</v>
      </c>
      <c r="X163" s="6" t="s">
        <v>92</v>
      </c>
      <c r="Y163" s="6" t="s">
        <v>92</v>
      </c>
      <c r="Z163" s="6" t="s">
        <v>75</v>
      </c>
      <c r="AA163" s="6" t="s">
        <v>92</v>
      </c>
      <c r="AB163" s="6">
        <v>139</v>
      </c>
      <c r="AC163" s="6">
        <v>0</v>
      </c>
      <c r="AD163" s="6">
        <v>0</v>
      </c>
      <c r="AE163" s="6">
        <v>0</v>
      </c>
      <c r="AF163" s="6">
        <v>0</v>
      </c>
      <c r="AG163" s="6">
        <v>20</v>
      </c>
      <c r="AH163" s="6">
        <v>0</v>
      </c>
      <c r="AI163" s="6" t="s">
        <v>714</v>
      </c>
      <c r="AJ163" s="6" t="s">
        <v>264</v>
      </c>
      <c r="AK163" s="6" t="s">
        <v>12</v>
      </c>
      <c r="AL163" s="6" t="s">
        <v>56</v>
      </c>
      <c r="AM163" s="6" t="s">
        <v>265</v>
      </c>
      <c r="AN163" s="6" t="s">
        <v>22</v>
      </c>
      <c r="AO163" s="6" t="s">
        <v>253</v>
      </c>
      <c r="AP163" s="6" t="s">
        <v>254</v>
      </c>
      <c r="AQ163" s="6" t="s">
        <v>20</v>
      </c>
    </row>
    <row r="164" spans="1:43" hidden="1" x14ac:dyDescent="0.25">
      <c r="A164" s="6">
        <v>22703815</v>
      </c>
      <c r="B164" s="6">
        <v>23505906</v>
      </c>
      <c r="C164" s="6" t="s">
        <v>241</v>
      </c>
      <c r="D164" s="14">
        <v>45876.800787037027</v>
      </c>
      <c r="E164" s="14">
        <v>45876.83792824074</v>
      </c>
      <c r="F164" s="6" t="s">
        <v>19</v>
      </c>
      <c r="G164" s="6" t="s">
        <v>19</v>
      </c>
      <c r="H164" s="6" t="s">
        <v>715</v>
      </c>
      <c r="I164" s="6" t="s">
        <v>259</v>
      </c>
      <c r="J164" s="6" t="s">
        <v>716</v>
      </c>
      <c r="K164" s="6" t="s">
        <v>713</v>
      </c>
      <c r="L164" s="6" t="s">
        <v>713</v>
      </c>
      <c r="M164" s="14">
        <v>45876.614583333343</v>
      </c>
      <c r="N164" s="6">
        <v>76307</v>
      </c>
      <c r="O164" s="6" t="s">
        <v>92</v>
      </c>
      <c r="P164" s="6" t="s">
        <v>245</v>
      </c>
      <c r="Q164" s="6" t="s">
        <v>428</v>
      </c>
      <c r="R164" s="6" t="s">
        <v>428</v>
      </c>
      <c r="S164" s="6" t="s">
        <v>9</v>
      </c>
      <c r="T164" s="6" t="s">
        <v>248</v>
      </c>
      <c r="U164" s="6" t="s">
        <v>124</v>
      </c>
      <c r="V164" s="6" t="s">
        <v>706</v>
      </c>
      <c r="W164" s="6" t="s">
        <v>92</v>
      </c>
      <c r="X164" s="6" t="s">
        <v>92</v>
      </c>
      <c r="Y164" s="6" t="s">
        <v>92</v>
      </c>
      <c r="Z164" s="6" t="s">
        <v>75</v>
      </c>
      <c r="AA164" s="6" t="s">
        <v>92</v>
      </c>
      <c r="AB164" s="6">
        <v>154.80000000000001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717</v>
      </c>
      <c r="AJ164" s="6" t="s">
        <v>264</v>
      </c>
      <c r="AK164" s="6" t="s">
        <v>12</v>
      </c>
      <c r="AL164" s="6" t="s">
        <v>56</v>
      </c>
      <c r="AM164" s="6" t="s">
        <v>265</v>
      </c>
      <c r="AN164" s="6" t="s">
        <v>22</v>
      </c>
      <c r="AO164" s="6" t="s">
        <v>253</v>
      </c>
      <c r="AP164" s="6" t="s">
        <v>254</v>
      </c>
      <c r="AQ164" s="6" t="s">
        <v>20</v>
      </c>
    </row>
    <row r="165" spans="1:43" x14ac:dyDescent="0.25">
      <c r="A165" s="6">
        <v>22651362</v>
      </c>
      <c r="B165" s="6">
        <v>23460927</v>
      </c>
      <c r="C165" s="6" t="s">
        <v>241</v>
      </c>
      <c r="D165" s="14">
        <v>45868.540636574071</v>
      </c>
      <c r="E165" s="14">
        <v>45868.567835648151</v>
      </c>
      <c r="F165" s="6" t="s">
        <v>25</v>
      </c>
      <c r="G165" s="6" t="s">
        <v>25</v>
      </c>
      <c r="H165" s="6" t="s">
        <v>718</v>
      </c>
      <c r="I165" s="6" t="s">
        <v>259</v>
      </c>
      <c r="J165" s="6" t="s">
        <v>719</v>
      </c>
      <c r="K165" s="6" t="s">
        <v>713</v>
      </c>
      <c r="L165" s="6" t="s">
        <v>713</v>
      </c>
      <c r="M165" s="14">
        <v>45868.48541666667</v>
      </c>
      <c r="N165" s="6">
        <v>75371</v>
      </c>
      <c r="O165" s="6" t="s">
        <v>92</v>
      </c>
      <c r="P165" s="6" t="s">
        <v>245</v>
      </c>
      <c r="Q165" s="6" t="s">
        <v>428</v>
      </c>
      <c r="R165" s="6" t="s">
        <v>428</v>
      </c>
      <c r="S165" s="6" t="s">
        <v>9</v>
      </c>
      <c r="T165" s="6" t="s">
        <v>248</v>
      </c>
      <c r="U165" s="6" t="s">
        <v>124</v>
      </c>
      <c r="V165" s="6" t="s">
        <v>706</v>
      </c>
      <c r="W165" s="6" t="s">
        <v>92</v>
      </c>
      <c r="X165" s="6" t="s">
        <v>92</v>
      </c>
      <c r="Y165" s="6" t="s">
        <v>92</v>
      </c>
      <c r="Z165" s="6" t="s">
        <v>75</v>
      </c>
      <c r="AA165" s="6" t="s">
        <v>92</v>
      </c>
      <c r="AB165" s="6">
        <v>260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720</v>
      </c>
      <c r="AJ165" s="6" t="s">
        <v>264</v>
      </c>
      <c r="AK165" s="6" t="s">
        <v>12</v>
      </c>
      <c r="AL165" s="6" t="s">
        <v>56</v>
      </c>
      <c r="AM165" s="6" t="s">
        <v>265</v>
      </c>
      <c r="AN165" s="6" t="s">
        <v>22</v>
      </c>
      <c r="AO165" s="6" t="s">
        <v>253</v>
      </c>
      <c r="AP165" s="6" t="s">
        <v>254</v>
      </c>
      <c r="AQ165" s="6" t="s">
        <v>20</v>
      </c>
    </row>
    <row r="166" spans="1:43" x14ac:dyDescent="0.25">
      <c r="A166" s="6">
        <v>22685870</v>
      </c>
      <c r="B166" s="6">
        <v>23489673</v>
      </c>
      <c r="C166" s="6" t="s">
        <v>241</v>
      </c>
      <c r="D166" s="14">
        <v>45874.519560185188</v>
      </c>
      <c r="E166" s="14">
        <v>45874.552465277768</v>
      </c>
      <c r="F166" s="6" t="s">
        <v>21</v>
      </c>
      <c r="G166" s="6" t="s">
        <v>21</v>
      </c>
      <c r="H166" s="6" t="s">
        <v>721</v>
      </c>
      <c r="I166" s="6" t="s">
        <v>259</v>
      </c>
      <c r="J166" s="6" t="s">
        <v>722</v>
      </c>
      <c r="K166" s="6" t="s">
        <v>713</v>
      </c>
      <c r="L166" s="6" t="s">
        <v>713</v>
      </c>
      <c r="M166" s="14">
        <v>45874.472916666673</v>
      </c>
      <c r="N166" s="6">
        <v>75571</v>
      </c>
      <c r="O166" s="6" t="s">
        <v>92</v>
      </c>
      <c r="P166" s="6" t="s">
        <v>245</v>
      </c>
      <c r="Q166" s="6" t="s">
        <v>428</v>
      </c>
      <c r="R166" s="6" t="s">
        <v>428</v>
      </c>
      <c r="S166" s="6" t="s">
        <v>9</v>
      </c>
      <c r="T166" s="6" t="s">
        <v>248</v>
      </c>
      <c r="U166" s="6" t="s">
        <v>124</v>
      </c>
      <c r="V166" s="6" t="s">
        <v>706</v>
      </c>
      <c r="W166" s="6" t="s">
        <v>92</v>
      </c>
      <c r="X166" s="6" t="s">
        <v>92</v>
      </c>
      <c r="Y166" s="6" t="s">
        <v>92</v>
      </c>
      <c r="Z166" s="6" t="s">
        <v>75</v>
      </c>
      <c r="AA166" s="6" t="s">
        <v>92</v>
      </c>
      <c r="AB166" s="6">
        <v>797.88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723</v>
      </c>
      <c r="AJ166" s="6" t="s">
        <v>264</v>
      </c>
      <c r="AK166" s="6" t="s">
        <v>12</v>
      </c>
      <c r="AL166" s="6" t="s">
        <v>56</v>
      </c>
      <c r="AM166" s="6" t="s">
        <v>265</v>
      </c>
      <c r="AN166" s="6" t="s">
        <v>22</v>
      </c>
      <c r="AO166" s="6" t="s">
        <v>253</v>
      </c>
      <c r="AP166" s="6" t="s">
        <v>254</v>
      </c>
      <c r="AQ166" s="6" t="s">
        <v>20</v>
      </c>
    </row>
    <row r="167" spans="1:43" hidden="1" x14ac:dyDescent="0.25">
      <c r="A167" s="6">
        <v>22697828</v>
      </c>
      <c r="B167" s="6">
        <v>23500590</v>
      </c>
      <c r="C167" s="6" t="s">
        <v>241</v>
      </c>
      <c r="D167" s="14">
        <v>45876.011655092603</v>
      </c>
      <c r="E167" s="14">
        <v>45876.021412037036</v>
      </c>
      <c r="F167" s="6" t="s">
        <v>19</v>
      </c>
      <c r="G167" s="6" t="s">
        <v>19</v>
      </c>
      <c r="H167" s="6" t="s">
        <v>724</v>
      </c>
      <c r="I167" s="6" t="s">
        <v>259</v>
      </c>
      <c r="J167" s="6" t="s">
        <v>725</v>
      </c>
      <c r="K167" s="6" t="s">
        <v>713</v>
      </c>
      <c r="L167" s="6" t="s">
        <v>713</v>
      </c>
      <c r="M167" s="14">
        <v>45875.777083333327</v>
      </c>
      <c r="N167" s="6">
        <v>76179</v>
      </c>
      <c r="O167" s="6" t="s">
        <v>92</v>
      </c>
      <c r="P167" s="6" t="s">
        <v>245</v>
      </c>
      <c r="Q167" s="6" t="s">
        <v>428</v>
      </c>
      <c r="R167" s="6" t="s">
        <v>428</v>
      </c>
      <c r="S167" s="6" t="s">
        <v>9</v>
      </c>
      <c r="T167" s="6" t="s">
        <v>248</v>
      </c>
      <c r="U167" s="6" t="s">
        <v>124</v>
      </c>
      <c r="V167" s="6" t="s">
        <v>706</v>
      </c>
      <c r="W167" s="6" t="s">
        <v>92</v>
      </c>
      <c r="X167" s="6" t="s">
        <v>92</v>
      </c>
      <c r="Y167" s="6" t="s">
        <v>92</v>
      </c>
      <c r="Z167" s="6" t="s">
        <v>75</v>
      </c>
      <c r="AA167" s="6" t="s">
        <v>92</v>
      </c>
      <c r="AB167" s="6">
        <v>239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726</v>
      </c>
      <c r="AJ167" s="6" t="s">
        <v>264</v>
      </c>
      <c r="AK167" s="6" t="s">
        <v>12</v>
      </c>
      <c r="AL167" s="6" t="s">
        <v>56</v>
      </c>
      <c r="AM167" s="6" t="s">
        <v>265</v>
      </c>
      <c r="AN167" s="6" t="s">
        <v>22</v>
      </c>
      <c r="AO167" s="6" t="s">
        <v>253</v>
      </c>
      <c r="AP167" s="6" t="s">
        <v>254</v>
      </c>
      <c r="AQ167" s="6" t="s">
        <v>20</v>
      </c>
    </row>
    <row r="168" spans="1:43" hidden="1" x14ac:dyDescent="0.25">
      <c r="A168" s="6">
        <v>22679969</v>
      </c>
      <c r="B168" s="6">
        <v>23484417</v>
      </c>
      <c r="C168" s="6" t="s">
        <v>241</v>
      </c>
      <c r="D168" s="14">
        <v>45873.710370370369</v>
      </c>
      <c r="E168" s="14">
        <v>45873.71197916667</v>
      </c>
      <c r="F168" s="6" t="s">
        <v>21</v>
      </c>
      <c r="G168" s="6" t="s">
        <v>21</v>
      </c>
      <c r="H168" s="6" t="s">
        <v>727</v>
      </c>
      <c r="I168" s="6" t="s">
        <v>16</v>
      </c>
      <c r="J168" s="6" t="s">
        <v>728</v>
      </c>
      <c r="K168" s="6" t="s">
        <v>665</v>
      </c>
      <c r="L168" s="6" t="s">
        <v>665</v>
      </c>
      <c r="M168" s="14">
        <v>45705.618750000001</v>
      </c>
      <c r="N168" s="6">
        <v>296</v>
      </c>
      <c r="O168" s="6" t="s">
        <v>92</v>
      </c>
      <c r="P168" s="6" t="s">
        <v>245</v>
      </c>
      <c r="Q168" s="6" t="s">
        <v>246</v>
      </c>
      <c r="R168" s="6" t="s">
        <v>247</v>
      </c>
      <c r="S168" s="6" t="s">
        <v>9</v>
      </c>
      <c r="T168" s="6" t="s">
        <v>248</v>
      </c>
      <c r="U168" s="6" t="s">
        <v>160</v>
      </c>
      <c r="V168" s="6" t="s">
        <v>729</v>
      </c>
      <c r="W168" s="6" t="s">
        <v>92</v>
      </c>
      <c r="X168" s="6" t="s">
        <v>730</v>
      </c>
      <c r="Y168" s="6" t="s">
        <v>92</v>
      </c>
      <c r="Z168" s="6" t="s">
        <v>75</v>
      </c>
      <c r="AA168" s="6" t="s">
        <v>92</v>
      </c>
      <c r="AB168" s="6">
        <v>4717.96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731</v>
      </c>
      <c r="AJ168" s="6" t="s">
        <v>732</v>
      </c>
      <c r="AK168" s="6" t="s">
        <v>16</v>
      </c>
      <c r="AL168" s="6" t="s">
        <v>59</v>
      </c>
      <c r="AM168" s="6" t="s">
        <v>252</v>
      </c>
      <c r="AN168" s="6" t="s">
        <v>22</v>
      </c>
      <c r="AO168" s="6" t="s">
        <v>253</v>
      </c>
      <c r="AP168" s="6" t="s">
        <v>254</v>
      </c>
      <c r="AQ168" s="6" t="s">
        <v>45</v>
      </c>
    </row>
    <row r="169" spans="1:43" hidden="1" x14ac:dyDescent="0.25">
      <c r="A169" s="6">
        <v>22679983</v>
      </c>
      <c r="B169" s="6">
        <v>23484427</v>
      </c>
      <c r="C169" s="6" t="s">
        <v>241</v>
      </c>
      <c r="D169" s="14">
        <v>45873.711631944447</v>
      </c>
      <c r="E169" s="14">
        <v>45873.712812500002</v>
      </c>
      <c r="F169" s="6" t="s">
        <v>21</v>
      </c>
      <c r="G169" s="6" t="s">
        <v>21</v>
      </c>
      <c r="H169" s="6" t="s">
        <v>733</v>
      </c>
      <c r="I169" s="6" t="s">
        <v>16</v>
      </c>
      <c r="J169" s="6" t="s">
        <v>728</v>
      </c>
      <c r="K169" s="6" t="s">
        <v>665</v>
      </c>
      <c r="L169" s="6" t="s">
        <v>665</v>
      </c>
      <c r="M169" s="14">
        <v>45705.618750000001</v>
      </c>
      <c r="N169" s="6">
        <v>296</v>
      </c>
      <c r="O169" s="6" t="s">
        <v>92</v>
      </c>
      <c r="P169" s="6" t="s">
        <v>245</v>
      </c>
      <c r="Q169" s="6" t="s">
        <v>246</v>
      </c>
      <c r="R169" s="6" t="s">
        <v>247</v>
      </c>
      <c r="S169" s="6" t="s">
        <v>9</v>
      </c>
      <c r="T169" s="6" t="s">
        <v>248</v>
      </c>
      <c r="U169" s="6" t="s">
        <v>160</v>
      </c>
      <c r="V169" s="6" t="s">
        <v>729</v>
      </c>
      <c r="W169" s="6" t="s">
        <v>92</v>
      </c>
      <c r="X169" s="6" t="s">
        <v>730</v>
      </c>
      <c r="Y169" s="6" t="s">
        <v>92</v>
      </c>
      <c r="Z169" s="6" t="s">
        <v>75</v>
      </c>
      <c r="AA169" s="6" t="s">
        <v>92</v>
      </c>
      <c r="AB169" s="6">
        <v>4717.96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731</v>
      </c>
      <c r="AJ169" s="6" t="s">
        <v>732</v>
      </c>
      <c r="AK169" s="6" t="s">
        <v>16</v>
      </c>
      <c r="AL169" s="6" t="s">
        <v>59</v>
      </c>
      <c r="AM169" s="6" t="s">
        <v>252</v>
      </c>
      <c r="AN169" s="6" t="s">
        <v>22</v>
      </c>
      <c r="AO169" s="6" t="s">
        <v>253</v>
      </c>
      <c r="AP169" s="6" t="s">
        <v>254</v>
      </c>
      <c r="AQ169" s="6" t="s">
        <v>45</v>
      </c>
    </row>
    <row r="170" spans="1:43" hidden="1" x14ac:dyDescent="0.25">
      <c r="A170" s="6">
        <v>22700782</v>
      </c>
      <c r="B170" s="6">
        <v>23502996</v>
      </c>
      <c r="C170" s="6" t="s">
        <v>241</v>
      </c>
      <c r="D170" s="14">
        <v>45876.529930555553</v>
      </c>
      <c r="E170" s="14">
        <v>45876.546481481477</v>
      </c>
      <c r="F170" s="6" t="s">
        <v>19</v>
      </c>
      <c r="G170" s="6" t="s">
        <v>19</v>
      </c>
      <c r="H170" s="6" t="s">
        <v>734</v>
      </c>
      <c r="I170" s="6" t="s">
        <v>259</v>
      </c>
      <c r="J170" s="6" t="s">
        <v>735</v>
      </c>
      <c r="K170" s="6" t="s">
        <v>736</v>
      </c>
      <c r="L170" s="6" t="s">
        <v>736</v>
      </c>
      <c r="M170" s="14">
        <v>45876.397222222222</v>
      </c>
      <c r="N170" s="6">
        <v>4979</v>
      </c>
      <c r="O170" s="6" t="s">
        <v>92</v>
      </c>
      <c r="P170" s="6" t="s">
        <v>245</v>
      </c>
      <c r="Q170" s="6" t="s">
        <v>246</v>
      </c>
      <c r="R170" s="6" t="s">
        <v>247</v>
      </c>
      <c r="S170" s="6" t="s">
        <v>9</v>
      </c>
      <c r="T170" s="6" t="s">
        <v>248</v>
      </c>
      <c r="U170" s="6" t="s">
        <v>160</v>
      </c>
      <c r="V170" s="6" t="s">
        <v>737</v>
      </c>
      <c r="W170" s="6" t="s">
        <v>92</v>
      </c>
      <c r="X170" s="6" t="s">
        <v>92</v>
      </c>
      <c r="Y170" s="6" t="s">
        <v>92</v>
      </c>
      <c r="Z170" s="6" t="s">
        <v>75</v>
      </c>
      <c r="AA170" s="6" t="s">
        <v>92</v>
      </c>
      <c r="AB170" s="6">
        <v>318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738</v>
      </c>
      <c r="AJ170" s="6" t="s">
        <v>264</v>
      </c>
      <c r="AK170" s="6" t="s">
        <v>12</v>
      </c>
      <c r="AL170" s="6" t="s">
        <v>56</v>
      </c>
      <c r="AM170" s="6" t="s">
        <v>265</v>
      </c>
      <c r="AN170" s="6" t="s">
        <v>22</v>
      </c>
      <c r="AO170" s="6" t="s">
        <v>253</v>
      </c>
      <c r="AP170" s="6" t="s">
        <v>254</v>
      </c>
      <c r="AQ170" s="6" t="s">
        <v>20</v>
      </c>
    </row>
    <row r="171" spans="1:43" hidden="1" x14ac:dyDescent="0.25">
      <c r="A171" s="6">
        <v>22696206</v>
      </c>
      <c r="B171" s="6">
        <v>23499061</v>
      </c>
      <c r="C171" s="6" t="s">
        <v>241</v>
      </c>
      <c r="D171" s="14">
        <v>45875.784548611111</v>
      </c>
      <c r="E171" s="14">
        <v>45875.830347222232</v>
      </c>
      <c r="F171" s="6" t="s">
        <v>19</v>
      </c>
      <c r="G171" s="6" t="s">
        <v>19</v>
      </c>
      <c r="H171" s="6" t="s">
        <v>739</v>
      </c>
      <c r="I171" s="6" t="s">
        <v>259</v>
      </c>
      <c r="J171" s="6" t="s">
        <v>740</v>
      </c>
      <c r="K171" s="6" t="s">
        <v>665</v>
      </c>
      <c r="L171" s="6" t="s">
        <v>665</v>
      </c>
      <c r="M171" s="14">
        <v>45875.67083333333</v>
      </c>
      <c r="N171" s="6">
        <v>574</v>
      </c>
      <c r="O171" s="6" t="s">
        <v>92</v>
      </c>
      <c r="P171" s="6" t="s">
        <v>453</v>
      </c>
      <c r="Q171" s="6" t="s">
        <v>246</v>
      </c>
      <c r="R171" s="6" t="s">
        <v>247</v>
      </c>
      <c r="S171" s="6" t="s">
        <v>9</v>
      </c>
      <c r="T171" s="6" t="s">
        <v>248</v>
      </c>
      <c r="U171" s="6" t="s">
        <v>160</v>
      </c>
      <c r="V171" s="6" t="s">
        <v>729</v>
      </c>
      <c r="W171" s="6" t="s">
        <v>92</v>
      </c>
      <c r="X171" s="6" t="s">
        <v>92</v>
      </c>
      <c r="Y171" s="6" t="s">
        <v>92</v>
      </c>
      <c r="Z171" s="6" t="s">
        <v>75</v>
      </c>
      <c r="AA171" s="6" t="s">
        <v>92</v>
      </c>
      <c r="AB171" s="6">
        <v>304</v>
      </c>
      <c r="AC171" s="6">
        <v>0</v>
      </c>
      <c r="AD171" s="6">
        <v>0</v>
      </c>
      <c r="AE171" s="6">
        <v>0</v>
      </c>
      <c r="AF171" s="6">
        <v>0</v>
      </c>
      <c r="AG171" s="6">
        <v>12.16</v>
      </c>
      <c r="AH171" s="6">
        <v>0</v>
      </c>
      <c r="AI171" s="6" t="s">
        <v>741</v>
      </c>
      <c r="AJ171" s="6" t="s">
        <v>264</v>
      </c>
      <c r="AK171" s="6" t="s">
        <v>12</v>
      </c>
      <c r="AL171" s="6" t="s">
        <v>56</v>
      </c>
      <c r="AM171" s="6" t="s">
        <v>265</v>
      </c>
      <c r="AN171" s="6" t="s">
        <v>22</v>
      </c>
      <c r="AO171" s="6" t="s">
        <v>662</v>
      </c>
      <c r="AP171" s="6" t="s">
        <v>480</v>
      </c>
      <c r="AQ171" s="6" t="s">
        <v>39</v>
      </c>
    </row>
    <row r="172" spans="1:43" x14ac:dyDescent="0.25">
      <c r="A172" s="6">
        <v>22703819</v>
      </c>
      <c r="B172" s="6">
        <v>23505909</v>
      </c>
      <c r="C172" s="6" t="s">
        <v>241</v>
      </c>
      <c r="D172" s="14">
        <v>45876.801087962973</v>
      </c>
      <c r="E172" s="14">
        <v>45876.840532407397</v>
      </c>
      <c r="F172" s="6" t="s">
        <v>19</v>
      </c>
      <c r="G172" s="6" t="s">
        <v>19</v>
      </c>
      <c r="H172" s="6" t="s">
        <v>742</v>
      </c>
      <c r="I172" s="6" t="s">
        <v>259</v>
      </c>
      <c r="J172" s="6" t="s">
        <v>743</v>
      </c>
      <c r="K172" s="6" t="s">
        <v>744</v>
      </c>
      <c r="L172" s="6" t="s">
        <v>744</v>
      </c>
      <c r="M172" s="14">
        <v>45876.593055555553</v>
      </c>
      <c r="N172" s="6">
        <v>76303</v>
      </c>
      <c r="O172" s="6" t="s">
        <v>92</v>
      </c>
      <c r="P172" s="6" t="s">
        <v>245</v>
      </c>
      <c r="Q172" s="6" t="s">
        <v>428</v>
      </c>
      <c r="R172" s="6" t="s">
        <v>428</v>
      </c>
      <c r="S172" s="6" t="s">
        <v>9</v>
      </c>
      <c r="T172" s="6" t="s">
        <v>248</v>
      </c>
      <c r="U172" s="6" t="s">
        <v>124</v>
      </c>
      <c r="V172" s="6" t="s">
        <v>706</v>
      </c>
      <c r="W172" s="6" t="s">
        <v>92</v>
      </c>
      <c r="X172" s="6" t="s">
        <v>92</v>
      </c>
      <c r="Y172" s="6" t="s">
        <v>92</v>
      </c>
      <c r="Z172" s="6" t="s">
        <v>75</v>
      </c>
      <c r="AA172" s="6" t="s">
        <v>92</v>
      </c>
      <c r="AB172" s="6">
        <v>185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745</v>
      </c>
      <c r="AJ172" s="6" t="s">
        <v>264</v>
      </c>
      <c r="AK172" s="6" t="s">
        <v>12</v>
      </c>
      <c r="AL172" s="6" t="s">
        <v>56</v>
      </c>
      <c r="AM172" s="6" t="s">
        <v>265</v>
      </c>
      <c r="AN172" s="6" t="s">
        <v>22</v>
      </c>
      <c r="AO172" s="6" t="s">
        <v>253</v>
      </c>
      <c r="AP172" s="6" t="s">
        <v>254</v>
      </c>
      <c r="AQ172" s="6" t="s">
        <v>20</v>
      </c>
    </row>
    <row r="173" spans="1:43" hidden="1" x14ac:dyDescent="0.25">
      <c r="A173" s="6">
        <v>22703820</v>
      </c>
      <c r="B173" s="6">
        <v>23505910</v>
      </c>
      <c r="C173" s="6" t="s">
        <v>241</v>
      </c>
      <c r="D173" s="14">
        <v>45876.801180555558</v>
      </c>
      <c r="E173" s="14">
        <v>45876.840532407397</v>
      </c>
      <c r="F173" s="6" t="s">
        <v>19</v>
      </c>
      <c r="G173" s="6" t="s">
        <v>19</v>
      </c>
      <c r="H173" s="6" t="s">
        <v>746</v>
      </c>
      <c r="I173" s="6" t="s">
        <v>259</v>
      </c>
      <c r="J173" s="6" t="s">
        <v>747</v>
      </c>
      <c r="K173" s="6" t="s">
        <v>744</v>
      </c>
      <c r="L173" s="6" t="s">
        <v>744</v>
      </c>
      <c r="M173" s="14">
        <v>45876.583333333343</v>
      </c>
      <c r="N173" s="6">
        <v>76302</v>
      </c>
      <c r="O173" s="6" t="s">
        <v>92</v>
      </c>
      <c r="P173" s="6" t="s">
        <v>245</v>
      </c>
      <c r="Q173" s="6" t="s">
        <v>428</v>
      </c>
      <c r="R173" s="6" t="s">
        <v>428</v>
      </c>
      <c r="S173" s="6" t="s">
        <v>9</v>
      </c>
      <c r="T173" s="6" t="s">
        <v>248</v>
      </c>
      <c r="U173" s="6" t="s">
        <v>124</v>
      </c>
      <c r="V173" s="6" t="s">
        <v>706</v>
      </c>
      <c r="W173" s="6" t="s">
        <v>92</v>
      </c>
      <c r="X173" s="6" t="s">
        <v>92</v>
      </c>
      <c r="Y173" s="6" t="s">
        <v>92</v>
      </c>
      <c r="Z173" s="6" t="s">
        <v>75</v>
      </c>
      <c r="AA173" s="6" t="s">
        <v>92</v>
      </c>
      <c r="AB173" s="6">
        <v>185.02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748</v>
      </c>
      <c r="AJ173" s="6" t="s">
        <v>264</v>
      </c>
      <c r="AK173" s="6" t="s">
        <v>12</v>
      </c>
      <c r="AL173" s="6" t="s">
        <v>56</v>
      </c>
      <c r="AM173" s="6" t="s">
        <v>265</v>
      </c>
      <c r="AN173" s="6" t="s">
        <v>22</v>
      </c>
      <c r="AO173" s="6" t="s">
        <v>253</v>
      </c>
      <c r="AP173" s="6" t="s">
        <v>254</v>
      </c>
      <c r="AQ173" s="6" t="s">
        <v>20</v>
      </c>
    </row>
    <row r="174" spans="1:43" hidden="1" x14ac:dyDescent="0.25">
      <c r="A174" s="6">
        <v>22703761</v>
      </c>
      <c r="B174" s="6">
        <v>23505850</v>
      </c>
      <c r="C174" s="6" t="s">
        <v>241</v>
      </c>
      <c r="D174" s="14">
        <v>45876.7971412037</v>
      </c>
      <c r="E174" s="14">
        <v>45876.83452546296</v>
      </c>
      <c r="F174" s="6" t="s">
        <v>19</v>
      </c>
      <c r="G174" s="6" t="s">
        <v>19</v>
      </c>
      <c r="H174" s="6" t="s">
        <v>749</v>
      </c>
      <c r="I174" s="6" t="s">
        <v>259</v>
      </c>
      <c r="J174" s="6" t="s">
        <v>750</v>
      </c>
      <c r="K174" s="6" t="s">
        <v>665</v>
      </c>
      <c r="L174" s="6" t="s">
        <v>665</v>
      </c>
      <c r="M174" s="14">
        <v>45876.7</v>
      </c>
      <c r="N174" s="6">
        <v>76371</v>
      </c>
      <c r="O174" s="6" t="s">
        <v>751</v>
      </c>
      <c r="P174" s="6" t="s">
        <v>453</v>
      </c>
      <c r="Q174" s="6" t="s">
        <v>246</v>
      </c>
      <c r="R174" s="6" t="s">
        <v>247</v>
      </c>
      <c r="S174" s="6" t="s">
        <v>8</v>
      </c>
      <c r="T174" s="6" t="s">
        <v>248</v>
      </c>
      <c r="U174" s="6" t="s">
        <v>124</v>
      </c>
      <c r="V174" s="6" t="s">
        <v>752</v>
      </c>
      <c r="W174" s="6" t="s">
        <v>92</v>
      </c>
      <c r="X174" s="6" t="s">
        <v>92</v>
      </c>
      <c r="Y174" s="6" t="s">
        <v>92</v>
      </c>
      <c r="Z174" s="6" t="s">
        <v>75</v>
      </c>
      <c r="AA174" s="6" t="s">
        <v>92</v>
      </c>
      <c r="AB174" s="6">
        <v>666.6576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753</v>
      </c>
      <c r="AJ174" s="6" t="s">
        <v>264</v>
      </c>
      <c r="AK174" s="6" t="s">
        <v>12</v>
      </c>
      <c r="AL174" s="6" t="s">
        <v>56</v>
      </c>
      <c r="AM174" s="6" t="s">
        <v>265</v>
      </c>
      <c r="AN174" s="6" t="s">
        <v>22</v>
      </c>
      <c r="AO174" s="6" t="s">
        <v>253</v>
      </c>
      <c r="AP174" s="6" t="s">
        <v>254</v>
      </c>
      <c r="AQ174" s="6" t="s">
        <v>20</v>
      </c>
    </row>
    <row r="175" spans="1:43" hidden="1" x14ac:dyDescent="0.25">
      <c r="A175" s="6">
        <v>22703772</v>
      </c>
      <c r="B175" s="6">
        <v>23505862</v>
      </c>
      <c r="C175" s="6" t="s">
        <v>241</v>
      </c>
      <c r="D175" s="14">
        <v>45876.797835648147</v>
      </c>
      <c r="E175" s="14">
        <v>45876.834780092591</v>
      </c>
      <c r="F175" s="6" t="s">
        <v>19</v>
      </c>
      <c r="G175" s="6" t="s">
        <v>19</v>
      </c>
      <c r="H175" s="6" t="s">
        <v>754</v>
      </c>
      <c r="I175" s="6" t="s">
        <v>259</v>
      </c>
      <c r="J175" s="6" t="s">
        <v>755</v>
      </c>
      <c r="K175" s="6" t="s">
        <v>665</v>
      </c>
      <c r="L175" s="6" t="s">
        <v>665</v>
      </c>
      <c r="M175" s="14">
        <v>45876.622916666667</v>
      </c>
      <c r="N175" s="6">
        <v>76347</v>
      </c>
      <c r="O175" s="6" t="s">
        <v>756</v>
      </c>
      <c r="P175" s="6" t="s">
        <v>453</v>
      </c>
      <c r="Q175" s="6" t="s">
        <v>246</v>
      </c>
      <c r="R175" s="6" t="s">
        <v>247</v>
      </c>
      <c r="S175" s="6" t="s">
        <v>8</v>
      </c>
      <c r="T175" s="6" t="s">
        <v>248</v>
      </c>
      <c r="U175" s="6" t="s">
        <v>124</v>
      </c>
      <c r="V175" s="6" t="s">
        <v>752</v>
      </c>
      <c r="W175" s="6" t="s">
        <v>92</v>
      </c>
      <c r="X175" s="6" t="s">
        <v>92</v>
      </c>
      <c r="Y175" s="6" t="s">
        <v>92</v>
      </c>
      <c r="Z175" s="6" t="s">
        <v>75</v>
      </c>
      <c r="AA175" s="6" t="s">
        <v>92</v>
      </c>
      <c r="AB175" s="6">
        <v>1030.4112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757</v>
      </c>
      <c r="AJ175" s="6" t="s">
        <v>264</v>
      </c>
      <c r="AK175" s="6" t="s">
        <v>12</v>
      </c>
      <c r="AL175" s="6" t="s">
        <v>56</v>
      </c>
      <c r="AM175" s="6" t="s">
        <v>265</v>
      </c>
      <c r="AN175" s="6" t="s">
        <v>22</v>
      </c>
      <c r="AO175" s="6" t="s">
        <v>253</v>
      </c>
      <c r="AP175" s="6" t="s">
        <v>254</v>
      </c>
      <c r="AQ175" s="6" t="s">
        <v>20</v>
      </c>
    </row>
    <row r="176" spans="1:43" hidden="1" x14ac:dyDescent="0.25">
      <c r="A176" s="6">
        <v>22667347</v>
      </c>
      <c r="B176" s="6">
        <v>23475160</v>
      </c>
      <c r="C176" s="6" t="s">
        <v>241</v>
      </c>
      <c r="D176" s="14">
        <v>45870.78365740741</v>
      </c>
      <c r="E176" s="14">
        <v>45870.823865740742</v>
      </c>
      <c r="F176" s="6" t="s">
        <v>23</v>
      </c>
      <c r="G176" s="6" t="s">
        <v>23</v>
      </c>
      <c r="H176" s="6" t="s">
        <v>758</v>
      </c>
      <c r="I176" s="6" t="s">
        <v>259</v>
      </c>
      <c r="J176" s="6" t="s">
        <v>759</v>
      </c>
      <c r="K176" s="6" t="s">
        <v>665</v>
      </c>
      <c r="L176" s="6" t="s">
        <v>665</v>
      </c>
      <c r="M176" s="14">
        <v>45870.730555555558</v>
      </c>
      <c r="N176" s="6">
        <v>75692</v>
      </c>
      <c r="O176" s="6" t="s">
        <v>760</v>
      </c>
      <c r="P176" s="6" t="s">
        <v>453</v>
      </c>
      <c r="Q176" s="6" t="s">
        <v>246</v>
      </c>
      <c r="R176" s="6" t="s">
        <v>247</v>
      </c>
      <c r="S176" s="6" t="s">
        <v>8</v>
      </c>
      <c r="T176" s="6" t="s">
        <v>248</v>
      </c>
      <c r="U176" s="6" t="s">
        <v>124</v>
      </c>
      <c r="V176" s="6" t="s">
        <v>706</v>
      </c>
      <c r="W176" s="6" t="s">
        <v>92</v>
      </c>
      <c r="X176" s="6" t="s">
        <v>92</v>
      </c>
      <c r="Y176" s="6" t="s">
        <v>92</v>
      </c>
      <c r="Z176" s="6" t="s">
        <v>75</v>
      </c>
      <c r="AA176" s="6" t="s">
        <v>92</v>
      </c>
      <c r="AB176" s="6">
        <v>509.54399999999998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>
        <v>0</v>
      </c>
      <c r="AI176" s="6" t="s">
        <v>761</v>
      </c>
      <c r="AJ176" s="6" t="s">
        <v>264</v>
      </c>
      <c r="AK176" s="6" t="s">
        <v>12</v>
      </c>
      <c r="AL176" s="6" t="s">
        <v>56</v>
      </c>
      <c r="AM176" s="6" t="s">
        <v>265</v>
      </c>
      <c r="AN176" s="6" t="s">
        <v>22</v>
      </c>
      <c r="AO176" s="6" t="s">
        <v>253</v>
      </c>
      <c r="AP176" s="6" t="s">
        <v>254</v>
      </c>
      <c r="AQ176" s="6" t="s">
        <v>20</v>
      </c>
    </row>
    <row r="177" spans="1:43" x14ac:dyDescent="0.25">
      <c r="A177" s="6">
        <v>22615074</v>
      </c>
      <c r="B177" s="6">
        <v>23431403</v>
      </c>
      <c r="C177" s="6" t="s">
        <v>241</v>
      </c>
      <c r="D177" s="14">
        <v>45861.778761574067</v>
      </c>
      <c r="E177" s="14">
        <v>45861.816435185188</v>
      </c>
      <c r="F177" s="47" t="s">
        <v>27</v>
      </c>
      <c r="G177" s="47" t="s">
        <v>27</v>
      </c>
      <c r="H177" s="6" t="s">
        <v>762</v>
      </c>
      <c r="I177" s="6" t="s">
        <v>259</v>
      </c>
      <c r="J177" s="6" t="s">
        <v>763</v>
      </c>
      <c r="K177" s="6" t="s">
        <v>665</v>
      </c>
      <c r="L177" s="6" t="s">
        <v>665</v>
      </c>
      <c r="M177" s="14">
        <v>45861.602777777778</v>
      </c>
      <c r="N177" s="6">
        <v>74580</v>
      </c>
      <c r="O177" s="6" t="s">
        <v>92</v>
      </c>
      <c r="P177" s="6" t="s">
        <v>453</v>
      </c>
      <c r="Q177" s="6" t="s">
        <v>428</v>
      </c>
      <c r="R177" s="6" t="s">
        <v>428</v>
      </c>
      <c r="S177" s="6" t="s">
        <v>9</v>
      </c>
      <c r="T177" s="6" t="s">
        <v>248</v>
      </c>
      <c r="U177" s="6" t="s">
        <v>124</v>
      </c>
      <c r="V177" s="6" t="s">
        <v>706</v>
      </c>
      <c r="W177" s="6" t="s">
        <v>92</v>
      </c>
      <c r="X177" s="6" t="s">
        <v>92</v>
      </c>
      <c r="Y177" s="6" t="s">
        <v>92</v>
      </c>
      <c r="Z177" s="6" t="s">
        <v>75</v>
      </c>
      <c r="AA177" s="6" t="s">
        <v>92</v>
      </c>
      <c r="AB177" s="6">
        <v>717</v>
      </c>
      <c r="AC177" s="6">
        <v>0</v>
      </c>
      <c r="AD177" s="6">
        <v>0</v>
      </c>
      <c r="AE177" s="6">
        <v>0</v>
      </c>
      <c r="AF177" s="6">
        <v>0</v>
      </c>
      <c r="AG177" s="6">
        <v>14.4</v>
      </c>
      <c r="AH177" s="6">
        <v>0</v>
      </c>
      <c r="AI177" s="6" t="s">
        <v>764</v>
      </c>
      <c r="AJ177" s="6" t="s">
        <v>264</v>
      </c>
      <c r="AK177" s="6" t="s">
        <v>12</v>
      </c>
      <c r="AL177" s="6" t="s">
        <v>56</v>
      </c>
      <c r="AM177" s="6" t="s">
        <v>265</v>
      </c>
      <c r="AN177" s="6" t="s">
        <v>22</v>
      </c>
      <c r="AO177" s="6" t="s">
        <v>662</v>
      </c>
      <c r="AP177" s="6" t="s">
        <v>480</v>
      </c>
      <c r="AQ177" s="6" t="s">
        <v>39</v>
      </c>
    </row>
    <row r="178" spans="1:43" hidden="1" x14ac:dyDescent="0.25">
      <c r="A178" s="6">
        <v>22690391</v>
      </c>
      <c r="B178" s="6">
        <v>23493899</v>
      </c>
      <c r="C178" s="6" t="s">
        <v>241</v>
      </c>
      <c r="D178" s="14">
        <v>45875.011678240742</v>
      </c>
      <c r="E178" s="14">
        <v>45875.01834490741</v>
      </c>
      <c r="F178" s="6" t="s">
        <v>19</v>
      </c>
      <c r="G178" s="6" t="s">
        <v>19</v>
      </c>
      <c r="H178" s="6" t="s">
        <v>765</v>
      </c>
      <c r="I178" s="6" t="s">
        <v>259</v>
      </c>
      <c r="J178" s="6" t="s">
        <v>759</v>
      </c>
      <c r="K178" s="6" t="s">
        <v>665</v>
      </c>
      <c r="L178" s="6" t="s">
        <v>665</v>
      </c>
      <c r="M178" s="14">
        <v>45874.786805555559</v>
      </c>
      <c r="N178" s="6">
        <v>76097</v>
      </c>
      <c r="O178" s="6" t="s">
        <v>92</v>
      </c>
      <c r="P178" s="6" t="s">
        <v>453</v>
      </c>
      <c r="Q178" s="6" t="s">
        <v>428</v>
      </c>
      <c r="R178" s="6" t="s">
        <v>428</v>
      </c>
      <c r="S178" s="6" t="s">
        <v>9</v>
      </c>
      <c r="T178" s="6" t="s">
        <v>248</v>
      </c>
      <c r="U178" s="6" t="s">
        <v>124</v>
      </c>
      <c r="V178" s="6" t="s">
        <v>706</v>
      </c>
      <c r="W178" s="6" t="s">
        <v>92</v>
      </c>
      <c r="X178" s="6" t="s">
        <v>92</v>
      </c>
      <c r="Y178" s="6" t="s">
        <v>92</v>
      </c>
      <c r="Z178" s="6" t="s">
        <v>75</v>
      </c>
      <c r="AA178" s="6" t="s">
        <v>92</v>
      </c>
      <c r="AB178" s="6">
        <v>295</v>
      </c>
      <c r="AC178" s="6">
        <v>0</v>
      </c>
      <c r="AD178" s="6">
        <v>0</v>
      </c>
      <c r="AE178" s="6">
        <v>0</v>
      </c>
      <c r="AF178" s="6">
        <v>0</v>
      </c>
      <c r="AG178" s="6">
        <v>14.75</v>
      </c>
      <c r="AH178" s="6">
        <v>0</v>
      </c>
      <c r="AI178" s="6" t="s">
        <v>766</v>
      </c>
      <c r="AJ178" s="6" t="s">
        <v>264</v>
      </c>
      <c r="AK178" s="6" t="s">
        <v>12</v>
      </c>
      <c r="AL178" s="6" t="s">
        <v>56</v>
      </c>
      <c r="AM178" s="6" t="s">
        <v>265</v>
      </c>
      <c r="AN178" s="6" t="s">
        <v>22</v>
      </c>
      <c r="AO178" s="6" t="s">
        <v>662</v>
      </c>
      <c r="AP178" s="6" t="s">
        <v>480</v>
      </c>
      <c r="AQ178" s="6" t="s">
        <v>39</v>
      </c>
    </row>
    <row r="179" spans="1:43" hidden="1" x14ac:dyDescent="0.25">
      <c r="A179" s="6">
        <v>22690400</v>
      </c>
      <c r="B179" s="6">
        <v>23493908</v>
      </c>
      <c r="C179" s="6" t="s">
        <v>241</v>
      </c>
      <c r="D179" s="14">
        <v>45875.012337962973</v>
      </c>
      <c r="E179" s="14">
        <v>45875.021493055552</v>
      </c>
      <c r="F179" s="6" t="s">
        <v>19</v>
      </c>
      <c r="G179" s="6" t="s">
        <v>19</v>
      </c>
      <c r="H179" s="6" t="s">
        <v>767</v>
      </c>
      <c r="I179" s="6" t="s">
        <v>259</v>
      </c>
      <c r="J179" s="6" t="s">
        <v>768</v>
      </c>
      <c r="K179" s="6" t="s">
        <v>665</v>
      </c>
      <c r="L179" s="6" t="s">
        <v>665</v>
      </c>
      <c r="M179" s="14">
        <v>45874.787499999999</v>
      </c>
      <c r="N179" s="6">
        <v>76076</v>
      </c>
      <c r="O179" s="6" t="s">
        <v>92</v>
      </c>
      <c r="P179" s="6" t="s">
        <v>453</v>
      </c>
      <c r="Q179" s="6" t="s">
        <v>428</v>
      </c>
      <c r="R179" s="6" t="s">
        <v>428</v>
      </c>
      <c r="S179" s="6" t="s">
        <v>9</v>
      </c>
      <c r="T179" s="6" t="s">
        <v>248</v>
      </c>
      <c r="U179" s="6" t="s">
        <v>124</v>
      </c>
      <c r="V179" s="6" t="s">
        <v>706</v>
      </c>
      <c r="W179" s="6" t="s">
        <v>92</v>
      </c>
      <c r="X179" s="6" t="s">
        <v>92</v>
      </c>
      <c r="Y179" s="6" t="s">
        <v>92</v>
      </c>
      <c r="Z179" s="6" t="s">
        <v>75</v>
      </c>
      <c r="AA179" s="6" t="s">
        <v>92</v>
      </c>
      <c r="AB179" s="6">
        <v>288.14</v>
      </c>
      <c r="AC179" s="6">
        <v>0</v>
      </c>
      <c r="AD179" s="6">
        <v>0</v>
      </c>
      <c r="AE179" s="6">
        <v>0</v>
      </c>
      <c r="AF179" s="6">
        <v>0</v>
      </c>
      <c r="AG179" s="6">
        <v>8.64</v>
      </c>
      <c r="AH179" s="6">
        <v>0</v>
      </c>
      <c r="AI179" s="6" t="s">
        <v>769</v>
      </c>
      <c r="AJ179" s="6" t="s">
        <v>264</v>
      </c>
      <c r="AK179" s="6" t="s">
        <v>12</v>
      </c>
      <c r="AL179" s="6" t="s">
        <v>56</v>
      </c>
      <c r="AM179" s="6" t="s">
        <v>265</v>
      </c>
      <c r="AN179" s="6" t="s">
        <v>22</v>
      </c>
      <c r="AO179" s="6" t="s">
        <v>662</v>
      </c>
      <c r="AP179" s="6" t="s">
        <v>480</v>
      </c>
      <c r="AQ179" s="6" t="s">
        <v>39</v>
      </c>
    </row>
    <row r="180" spans="1:43" hidden="1" x14ac:dyDescent="0.25">
      <c r="A180" s="6">
        <v>22690425</v>
      </c>
      <c r="B180" s="6">
        <v>23493933</v>
      </c>
      <c r="C180" s="6" t="s">
        <v>241</v>
      </c>
      <c r="D180" s="14">
        <v>45875.014456018522</v>
      </c>
      <c r="E180" s="14">
        <v>45875.02484953704</v>
      </c>
      <c r="F180" s="6" t="s">
        <v>19</v>
      </c>
      <c r="G180" s="6" t="s">
        <v>19</v>
      </c>
      <c r="H180" s="6" t="s">
        <v>770</v>
      </c>
      <c r="I180" s="6" t="s">
        <v>259</v>
      </c>
      <c r="J180" s="6" t="s">
        <v>771</v>
      </c>
      <c r="K180" s="6" t="s">
        <v>665</v>
      </c>
      <c r="L180" s="6" t="s">
        <v>665</v>
      </c>
      <c r="M180" s="14">
        <v>45874.751388888893</v>
      </c>
      <c r="N180" s="6">
        <v>75930</v>
      </c>
      <c r="O180" s="6" t="s">
        <v>92</v>
      </c>
      <c r="P180" s="6" t="s">
        <v>453</v>
      </c>
      <c r="Q180" s="6" t="s">
        <v>428</v>
      </c>
      <c r="R180" s="6" t="s">
        <v>428</v>
      </c>
      <c r="S180" s="6" t="s">
        <v>9</v>
      </c>
      <c r="T180" s="6" t="s">
        <v>248</v>
      </c>
      <c r="U180" s="6" t="s">
        <v>124</v>
      </c>
      <c r="V180" s="6" t="s">
        <v>706</v>
      </c>
      <c r="W180" s="6" t="s">
        <v>92</v>
      </c>
      <c r="X180" s="6" t="s">
        <v>92</v>
      </c>
      <c r="Y180" s="6" t="s">
        <v>92</v>
      </c>
      <c r="Z180" s="6" t="s">
        <v>75</v>
      </c>
      <c r="AA180" s="6" t="s">
        <v>92</v>
      </c>
      <c r="AB180" s="6">
        <v>590</v>
      </c>
      <c r="AC180" s="6">
        <v>0</v>
      </c>
      <c r="AD180" s="6">
        <v>0</v>
      </c>
      <c r="AE180" s="6">
        <v>0</v>
      </c>
      <c r="AF180" s="6">
        <v>0</v>
      </c>
      <c r="AG180" s="6">
        <v>29.5</v>
      </c>
      <c r="AH180" s="6">
        <v>0</v>
      </c>
      <c r="AI180" s="6" t="s">
        <v>772</v>
      </c>
      <c r="AJ180" s="6" t="s">
        <v>264</v>
      </c>
      <c r="AK180" s="6" t="s">
        <v>12</v>
      </c>
      <c r="AL180" s="6" t="s">
        <v>56</v>
      </c>
      <c r="AM180" s="6" t="s">
        <v>265</v>
      </c>
      <c r="AN180" s="6" t="s">
        <v>22</v>
      </c>
      <c r="AO180" s="6" t="s">
        <v>662</v>
      </c>
      <c r="AP180" s="6" t="s">
        <v>480</v>
      </c>
      <c r="AQ180" s="6" t="s">
        <v>39</v>
      </c>
    </row>
    <row r="181" spans="1:43" hidden="1" x14ac:dyDescent="0.25">
      <c r="A181" s="6">
        <v>22690422</v>
      </c>
      <c r="B181" s="6">
        <v>23493930</v>
      </c>
      <c r="C181" s="6" t="s">
        <v>241</v>
      </c>
      <c r="D181" s="14">
        <v>45875.014201388891</v>
      </c>
      <c r="E181" s="14">
        <v>45875.022048611107</v>
      </c>
      <c r="F181" s="6" t="s">
        <v>19</v>
      </c>
      <c r="G181" s="6" t="s">
        <v>19</v>
      </c>
      <c r="H181" s="6" t="s">
        <v>773</v>
      </c>
      <c r="I181" s="6" t="s">
        <v>259</v>
      </c>
      <c r="J181" s="6" t="s">
        <v>774</v>
      </c>
      <c r="K181" s="6" t="s">
        <v>775</v>
      </c>
      <c r="L181" s="6" t="s">
        <v>775</v>
      </c>
      <c r="M181" s="14">
        <v>45874.787499999999</v>
      </c>
      <c r="N181" s="6">
        <v>75959</v>
      </c>
      <c r="O181" s="6" t="s">
        <v>92</v>
      </c>
      <c r="P181" s="6" t="s">
        <v>245</v>
      </c>
      <c r="Q181" s="6" t="s">
        <v>428</v>
      </c>
      <c r="R181" s="6" t="s">
        <v>428</v>
      </c>
      <c r="S181" s="6" t="s">
        <v>9</v>
      </c>
      <c r="T181" s="6" t="s">
        <v>248</v>
      </c>
      <c r="U181" s="6" t="s">
        <v>124</v>
      </c>
      <c r="V181" s="6" t="s">
        <v>776</v>
      </c>
      <c r="W181" s="6" t="s">
        <v>92</v>
      </c>
      <c r="X181" s="6" t="s">
        <v>92</v>
      </c>
      <c r="Y181" s="6" t="s">
        <v>92</v>
      </c>
      <c r="Z181" s="6" t="s">
        <v>75</v>
      </c>
      <c r="AA181" s="6" t="s">
        <v>92</v>
      </c>
      <c r="AB181" s="6">
        <v>445.96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777</v>
      </c>
      <c r="AJ181" s="6" t="s">
        <v>264</v>
      </c>
      <c r="AK181" s="6" t="s">
        <v>12</v>
      </c>
      <c r="AL181" s="6" t="s">
        <v>56</v>
      </c>
      <c r="AM181" s="6" t="s">
        <v>265</v>
      </c>
      <c r="AN181" s="6" t="s">
        <v>22</v>
      </c>
      <c r="AO181" s="6" t="s">
        <v>253</v>
      </c>
      <c r="AP181" s="6" t="s">
        <v>254</v>
      </c>
      <c r="AQ181" s="6" t="s">
        <v>20</v>
      </c>
    </row>
    <row r="182" spans="1:43" hidden="1" x14ac:dyDescent="0.25">
      <c r="A182" s="6">
        <v>22696304</v>
      </c>
      <c r="B182" s="6">
        <v>23499151</v>
      </c>
      <c r="C182" s="6" t="s">
        <v>241</v>
      </c>
      <c r="D182" s="14">
        <v>45875.789189814823</v>
      </c>
      <c r="E182" s="14">
        <v>45875.837233796286</v>
      </c>
      <c r="F182" s="6" t="s">
        <v>19</v>
      </c>
      <c r="G182" s="6" t="s">
        <v>19</v>
      </c>
      <c r="H182" s="6" t="s">
        <v>778</v>
      </c>
      <c r="I182" s="6" t="s">
        <v>259</v>
      </c>
      <c r="J182" s="6" t="s">
        <v>779</v>
      </c>
      <c r="K182" s="6" t="s">
        <v>775</v>
      </c>
      <c r="L182" s="6" t="s">
        <v>775</v>
      </c>
      <c r="M182" s="14">
        <v>45875.586111111108</v>
      </c>
      <c r="N182" s="6">
        <v>76060</v>
      </c>
      <c r="O182" s="6" t="s">
        <v>92</v>
      </c>
      <c r="P182" s="6" t="s">
        <v>245</v>
      </c>
      <c r="Q182" s="6" t="s">
        <v>428</v>
      </c>
      <c r="R182" s="6" t="s">
        <v>428</v>
      </c>
      <c r="S182" s="6" t="s">
        <v>9</v>
      </c>
      <c r="T182" s="6" t="s">
        <v>248</v>
      </c>
      <c r="U182" s="6" t="s">
        <v>124</v>
      </c>
      <c r="V182" s="6" t="s">
        <v>706</v>
      </c>
      <c r="W182" s="6" t="s">
        <v>92</v>
      </c>
      <c r="X182" s="6" t="s">
        <v>92</v>
      </c>
      <c r="Y182" s="6" t="s">
        <v>92</v>
      </c>
      <c r="Z182" s="6" t="s">
        <v>75</v>
      </c>
      <c r="AA182" s="6" t="s">
        <v>92</v>
      </c>
      <c r="AB182" s="6">
        <v>923.36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 t="s">
        <v>780</v>
      </c>
      <c r="AJ182" s="6" t="s">
        <v>264</v>
      </c>
      <c r="AK182" s="6" t="s">
        <v>12</v>
      </c>
      <c r="AL182" s="6" t="s">
        <v>56</v>
      </c>
      <c r="AM182" s="6" t="s">
        <v>265</v>
      </c>
      <c r="AN182" s="6" t="s">
        <v>22</v>
      </c>
      <c r="AO182" s="6" t="s">
        <v>253</v>
      </c>
      <c r="AP182" s="6" t="s">
        <v>254</v>
      </c>
      <c r="AQ182" s="6" t="s">
        <v>20</v>
      </c>
    </row>
    <row r="183" spans="1:43" hidden="1" x14ac:dyDescent="0.25">
      <c r="A183" s="6">
        <v>22681299</v>
      </c>
      <c r="B183" s="6">
        <v>23485774</v>
      </c>
      <c r="C183" s="6" t="s">
        <v>241</v>
      </c>
      <c r="D183" s="14">
        <v>45873.780034722222</v>
      </c>
      <c r="E183" s="14">
        <v>45873.820138888892</v>
      </c>
      <c r="F183" s="6" t="s">
        <v>21</v>
      </c>
      <c r="G183" s="6" t="s">
        <v>21</v>
      </c>
      <c r="H183" s="6" t="s">
        <v>781</v>
      </c>
      <c r="I183" s="6" t="s">
        <v>259</v>
      </c>
      <c r="J183" s="6" t="s">
        <v>782</v>
      </c>
      <c r="K183" s="6" t="s">
        <v>665</v>
      </c>
      <c r="L183" s="6" t="s">
        <v>665</v>
      </c>
      <c r="M183" s="14">
        <v>45873.609722222223</v>
      </c>
      <c r="N183" s="6">
        <v>75858</v>
      </c>
      <c r="O183" s="6" t="s">
        <v>783</v>
      </c>
      <c r="P183" s="6" t="s">
        <v>453</v>
      </c>
      <c r="Q183" s="6" t="s">
        <v>246</v>
      </c>
      <c r="R183" s="6" t="s">
        <v>247</v>
      </c>
      <c r="S183" s="6" t="s">
        <v>8</v>
      </c>
      <c r="T183" s="6" t="s">
        <v>248</v>
      </c>
      <c r="U183" s="6" t="s">
        <v>124</v>
      </c>
      <c r="V183" s="6" t="s">
        <v>752</v>
      </c>
      <c r="W183" s="6" t="s">
        <v>92</v>
      </c>
      <c r="X183" s="6" t="s">
        <v>92</v>
      </c>
      <c r="Y183" s="6" t="s">
        <v>92</v>
      </c>
      <c r="Z183" s="6" t="s">
        <v>75</v>
      </c>
      <c r="AA183" s="6" t="s">
        <v>92</v>
      </c>
      <c r="AB183" s="6">
        <v>935.14400000000001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 t="s">
        <v>784</v>
      </c>
      <c r="AJ183" s="6" t="s">
        <v>264</v>
      </c>
      <c r="AK183" s="6" t="s">
        <v>12</v>
      </c>
      <c r="AL183" s="6" t="s">
        <v>56</v>
      </c>
      <c r="AM183" s="6" t="s">
        <v>265</v>
      </c>
      <c r="AN183" s="6" t="s">
        <v>22</v>
      </c>
      <c r="AO183" s="6" t="s">
        <v>253</v>
      </c>
      <c r="AP183" s="6" t="s">
        <v>254</v>
      </c>
      <c r="AQ183" s="6" t="s">
        <v>20</v>
      </c>
    </row>
    <row r="184" spans="1:43" hidden="1" x14ac:dyDescent="0.25">
      <c r="A184" s="6">
        <v>22703292</v>
      </c>
      <c r="B184" s="6">
        <v>23505400</v>
      </c>
      <c r="C184" s="6" t="s">
        <v>241</v>
      </c>
      <c r="D184" s="14">
        <v>45876.779293981483</v>
      </c>
      <c r="E184" s="14">
        <v>45876.80327546296</v>
      </c>
      <c r="F184" s="6" t="s">
        <v>19</v>
      </c>
      <c r="G184" s="6" t="s">
        <v>19</v>
      </c>
      <c r="H184" s="6" t="s">
        <v>785</v>
      </c>
      <c r="I184" s="6" t="s">
        <v>259</v>
      </c>
      <c r="J184" s="6" t="s">
        <v>786</v>
      </c>
      <c r="K184" s="6" t="s">
        <v>665</v>
      </c>
      <c r="L184" s="6" t="s">
        <v>665</v>
      </c>
      <c r="M184" s="14">
        <v>45876.615972222222</v>
      </c>
      <c r="N184" s="6">
        <v>5306</v>
      </c>
      <c r="O184" s="6" t="s">
        <v>787</v>
      </c>
      <c r="P184" s="6" t="s">
        <v>453</v>
      </c>
      <c r="Q184" s="6" t="s">
        <v>246</v>
      </c>
      <c r="R184" s="6" t="s">
        <v>247</v>
      </c>
      <c r="S184" s="6" t="s">
        <v>8</v>
      </c>
      <c r="T184" s="6" t="s">
        <v>248</v>
      </c>
      <c r="U184" s="6" t="s">
        <v>180</v>
      </c>
      <c r="V184" s="6" t="s">
        <v>788</v>
      </c>
      <c r="W184" s="6" t="s">
        <v>92</v>
      </c>
      <c r="X184" s="6" t="s">
        <v>92</v>
      </c>
      <c r="Y184" s="6" t="s">
        <v>92</v>
      </c>
      <c r="Z184" s="6" t="s">
        <v>75</v>
      </c>
      <c r="AA184" s="6" t="s">
        <v>92</v>
      </c>
      <c r="AB184" s="6">
        <v>378.79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 t="s">
        <v>789</v>
      </c>
      <c r="AJ184" s="6" t="s">
        <v>264</v>
      </c>
      <c r="AK184" s="6" t="s">
        <v>12</v>
      </c>
      <c r="AL184" s="6" t="s">
        <v>56</v>
      </c>
      <c r="AM184" s="6" t="s">
        <v>265</v>
      </c>
      <c r="AN184" s="6" t="s">
        <v>22</v>
      </c>
      <c r="AO184" s="6" t="s">
        <v>253</v>
      </c>
      <c r="AP184" s="6" t="s">
        <v>254</v>
      </c>
      <c r="AQ184" s="6" t="s">
        <v>20</v>
      </c>
    </row>
    <row r="185" spans="1:43" x14ac:dyDescent="0.25">
      <c r="A185" s="6">
        <v>22680829</v>
      </c>
      <c r="B185" s="6">
        <v>23485310</v>
      </c>
      <c r="C185" s="6" t="s">
        <v>241</v>
      </c>
      <c r="D185" s="14">
        <v>45873.765347222223</v>
      </c>
      <c r="E185" s="14">
        <v>45873.786400462966</v>
      </c>
      <c r="F185" s="6" t="s">
        <v>21</v>
      </c>
      <c r="G185" s="6" t="s">
        <v>21</v>
      </c>
      <c r="H185" s="6" t="s">
        <v>790</v>
      </c>
      <c r="I185" s="6" t="s">
        <v>259</v>
      </c>
      <c r="J185" s="6" t="s">
        <v>791</v>
      </c>
      <c r="K185" s="6" t="s">
        <v>792</v>
      </c>
      <c r="L185" s="6" t="s">
        <v>792</v>
      </c>
      <c r="M185" s="14">
        <v>45873.730555555558</v>
      </c>
      <c r="N185" s="6">
        <v>3457</v>
      </c>
      <c r="O185" s="6" t="s">
        <v>92</v>
      </c>
      <c r="P185" s="6" t="s">
        <v>245</v>
      </c>
      <c r="Q185" s="6" t="s">
        <v>428</v>
      </c>
      <c r="R185" s="6" t="s">
        <v>428</v>
      </c>
      <c r="S185" s="6" t="s">
        <v>9</v>
      </c>
      <c r="T185" s="6" t="s">
        <v>248</v>
      </c>
      <c r="U185" s="6" t="s">
        <v>179</v>
      </c>
      <c r="V185" s="6" t="s">
        <v>793</v>
      </c>
      <c r="W185" s="6" t="s">
        <v>92</v>
      </c>
      <c r="X185" s="6" t="s">
        <v>92</v>
      </c>
      <c r="Y185" s="6" t="s">
        <v>92</v>
      </c>
      <c r="Z185" s="6" t="s">
        <v>75</v>
      </c>
      <c r="AA185" s="6" t="s">
        <v>92</v>
      </c>
      <c r="AB185" s="6">
        <v>326</v>
      </c>
      <c r="AC185" s="6">
        <v>0</v>
      </c>
      <c r="AD185" s="6">
        <v>0</v>
      </c>
      <c r="AE185" s="6">
        <v>0</v>
      </c>
      <c r="AF185" s="6">
        <v>0</v>
      </c>
      <c r="AG185" s="6">
        <v>9.7799999999999994</v>
      </c>
      <c r="AH185" s="6">
        <v>0</v>
      </c>
      <c r="AI185" s="6" t="s">
        <v>794</v>
      </c>
      <c r="AJ185" s="6" t="s">
        <v>264</v>
      </c>
      <c r="AK185" s="6" t="s">
        <v>12</v>
      </c>
      <c r="AL185" s="6" t="s">
        <v>56</v>
      </c>
      <c r="AM185" s="6" t="s">
        <v>265</v>
      </c>
      <c r="AN185" s="6" t="s">
        <v>22</v>
      </c>
      <c r="AO185" s="6" t="s">
        <v>253</v>
      </c>
      <c r="AP185" s="6" t="s">
        <v>254</v>
      </c>
      <c r="AQ185" s="6" t="s">
        <v>20</v>
      </c>
    </row>
    <row r="186" spans="1:43" hidden="1" x14ac:dyDescent="0.25">
      <c r="A186" s="6">
        <v>22703262</v>
      </c>
      <c r="B186" s="6">
        <v>23505368</v>
      </c>
      <c r="C186" s="6" t="s">
        <v>241</v>
      </c>
      <c r="D186" s="14">
        <v>45876.778078703697</v>
      </c>
      <c r="E186" s="14">
        <v>45876.802569444437</v>
      </c>
      <c r="F186" s="6" t="s">
        <v>19</v>
      </c>
      <c r="G186" s="6" t="s">
        <v>19</v>
      </c>
      <c r="H186" s="6" t="s">
        <v>795</v>
      </c>
      <c r="I186" s="6" t="s">
        <v>259</v>
      </c>
      <c r="J186" s="6" t="s">
        <v>796</v>
      </c>
      <c r="K186" s="6" t="s">
        <v>665</v>
      </c>
      <c r="L186" s="6" t="s">
        <v>665</v>
      </c>
      <c r="M186" s="14">
        <v>45876.724999999999</v>
      </c>
      <c r="N186" s="6">
        <v>3498</v>
      </c>
      <c r="O186" s="6" t="s">
        <v>797</v>
      </c>
      <c r="P186" s="6" t="s">
        <v>453</v>
      </c>
      <c r="Q186" s="6" t="s">
        <v>246</v>
      </c>
      <c r="R186" s="6" t="s">
        <v>247</v>
      </c>
      <c r="S186" s="6" t="s">
        <v>8</v>
      </c>
      <c r="T186" s="6" t="s">
        <v>248</v>
      </c>
      <c r="U186" s="6" t="s">
        <v>179</v>
      </c>
      <c r="V186" s="6" t="s">
        <v>793</v>
      </c>
      <c r="W186" s="6" t="s">
        <v>92</v>
      </c>
      <c r="X186" s="6" t="s">
        <v>92</v>
      </c>
      <c r="Y186" s="6" t="s">
        <v>92</v>
      </c>
      <c r="Z186" s="6" t="s">
        <v>75</v>
      </c>
      <c r="AA186" s="6" t="s">
        <v>92</v>
      </c>
      <c r="AB186" s="6">
        <v>176.435</v>
      </c>
      <c r="AC186" s="6">
        <v>0</v>
      </c>
      <c r="AD186" s="6">
        <v>0</v>
      </c>
      <c r="AE186" s="6">
        <v>0</v>
      </c>
      <c r="AF186" s="6">
        <v>0</v>
      </c>
      <c r="AG186" s="6">
        <v>0</v>
      </c>
      <c r="AH186" s="6">
        <v>0</v>
      </c>
      <c r="AI186" s="6" t="s">
        <v>798</v>
      </c>
      <c r="AJ186" s="6" t="s">
        <v>264</v>
      </c>
      <c r="AK186" s="6" t="s">
        <v>12</v>
      </c>
      <c r="AL186" s="6" t="s">
        <v>56</v>
      </c>
      <c r="AM186" s="6" t="s">
        <v>265</v>
      </c>
      <c r="AN186" s="6" t="s">
        <v>22</v>
      </c>
      <c r="AO186" s="6" t="s">
        <v>253</v>
      </c>
      <c r="AP186" s="6" t="s">
        <v>254</v>
      </c>
      <c r="AQ186" s="6" t="s">
        <v>20</v>
      </c>
    </row>
    <row r="187" spans="1:43" hidden="1" x14ac:dyDescent="0.25">
      <c r="A187" s="6">
        <v>22703284</v>
      </c>
      <c r="B187" s="6">
        <v>23505390</v>
      </c>
      <c r="C187" s="6" t="s">
        <v>241</v>
      </c>
      <c r="D187" s="14">
        <v>45876.778981481482</v>
      </c>
      <c r="E187" s="14">
        <v>45876.796875</v>
      </c>
      <c r="F187" s="6" t="s">
        <v>19</v>
      </c>
      <c r="G187" s="6" t="s">
        <v>19</v>
      </c>
      <c r="H187" s="6" t="s">
        <v>799</v>
      </c>
      <c r="I187" s="6" t="s">
        <v>259</v>
      </c>
      <c r="J187" s="6" t="s">
        <v>800</v>
      </c>
      <c r="K187" s="6" t="s">
        <v>611</v>
      </c>
      <c r="L187" s="6" t="s">
        <v>611</v>
      </c>
      <c r="M187" s="14">
        <v>45876.680555555547</v>
      </c>
      <c r="N187" s="6">
        <v>3468</v>
      </c>
      <c r="O187" s="6" t="s">
        <v>92</v>
      </c>
      <c r="P187" s="6" t="s">
        <v>245</v>
      </c>
      <c r="Q187" s="6" t="s">
        <v>428</v>
      </c>
      <c r="R187" s="6" t="s">
        <v>428</v>
      </c>
      <c r="S187" s="6" t="s">
        <v>7</v>
      </c>
      <c r="T187" s="6" t="s">
        <v>248</v>
      </c>
      <c r="U187" s="6" t="s">
        <v>181</v>
      </c>
      <c r="V187" s="6" t="s">
        <v>801</v>
      </c>
      <c r="W187" s="6" t="s">
        <v>92</v>
      </c>
      <c r="X187" s="6" t="s">
        <v>285</v>
      </c>
      <c r="Y187" s="6">
        <v>2971489133</v>
      </c>
      <c r="Z187" s="6" t="s">
        <v>75</v>
      </c>
      <c r="AA187" s="6" t="s">
        <v>92</v>
      </c>
      <c r="AB187" s="6">
        <v>85.08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802</v>
      </c>
      <c r="AJ187" s="6" t="s">
        <v>803</v>
      </c>
      <c r="AK187" s="6" t="s">
        <v>12</v>
      </c>
      <c r="AL187" s="6" t="s">
        <v>804</v>
      </c>
      <c r="AM187" s="6" t="s">
        <v>67</v>
      </c>
      <c r="AN187" s="6" t="s">
        <v>22</v>
      </c>
      <c r="AO187" s="6" t="s">
        <v>253</v>
      </c>
      <c r="AP187" s="6" t="s">
        <v>254</v>
      </c>
      <c r="AQ187" s="6" t="s">
        <v>45</v>
      </c>
    </row>
    <row r="188" spans="1:43" hidden="1" x14ac:dyDescent="0.25">
      <c r="A188" s="6">
        <v>22703284</v>
      </c>
      <c r="B188" s="6">
        <v>23505391</v>
      </c>
      <c r="C188" s="6" t="s">
        <v>255</v>
      </c>
      <c r="D188" s="14">
        <v>45876.778981481482</v>
      </c>
      <c r="E188" s="14">
        <v>45876.796875</v>
      </c>
      <c r="F188" s="6" t="s">
        <v>19</v>
      </c>
      <c r="G188" s="6" t="s">
        <v>19</v>
      </c>
      <c r="H188" s="6" t="s">
        <v>799</v>
      </c>
      <c r="I188" s="6" t="s">
        <v>259</v>
      </c>
      <c r="J188" s="6" t="s">
        <v>800</v>
      </c>
      <c r="K188" s="6" t="s">
        <v>611</v>
      </c>
      <c r="L188" s="6" t="s">
        <v>611</v>
      </c>
      <c r="M188" s="14">
        <v>45876.680555555547</v>
      </c>
      <c r="N188" s="6">
        <v>3468</v>
      </c>
      <c r="O188" s="6" t="s">
        <v>92</v>
      </c>
      <c r="P188" s="6" t="s">
        <v>245</v>
      </c>
      <c r="Q188" s="6" t="s">
        <v>428</v>
      </c>
      <c r="R188" s="6" t="s">
        <v>428</v>
      </c>
      <c r="S188" s="6" t="s">
        <v>7</v>
      </c>
      <c r="T188" s="6" t="s">
        <v>248</v>
      </c>
      <c r="U188" s="6" t="s">
        <v>181</v>
      </c>
      <c r="V188" s="6" t="s">
        <v>801</v>
      </c>
      <c r="W188" s="6" t="s">
        <v>92</v>
      </c>
      <c r="X188" s="6" t="s">
        <v>285</v>
      </c>
      <c r="Y188" s="6">
        <v>2971489108</v>
      </c>
      <c r="Z188" s="6" t="s">
        <v>75</v>
      </c>
      <c r="AA188" s="6" t="s">
        <v>92</v>
      </c>
      <c r="AB188" s="6">
        <v>0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0</v>
      </c>
      <c r="AI188" s="6" t="s">
        <v>802</v>
      </c>
      <c r="AJ188" s="6" t="s">
        <v>803</v>
      </c>
      <c r="AK188" s="6" t="s">
        <v>12</v>
      </c>
      <c r="AL188" s="6" t="s">
        <v>804</v>
      </c>
      <c r="AM188" s="6" t="s">
        <v>67</v>
      </c>
      <c r="AN188" s="6" t="s">
        <v>22</v>
      </c>
      <c r="AO188" s="6" t="s">
        <v>253</v>
      </c>
      <c r="AP188" s="6" t="s">
        <v>254</v>
      </c>
      <c r="AQ188" s="6" t="s">
        <v>45</v>
      </c>
    </row>
    <row r="189" spans="1:43" hidden="1" x14ac:dyDescent="0.25">
      <c r="A189" s="6">
        <v>22688330</v>
      </c>
      <c r="B189" s="6">
        <v>23491973</v>
      </c>
      <c r="C189" s="6" t="s">
        <v>241</v>
      </c>
      <c r="D189" s="14">
        <v>45874.766747685193</v>
      </c>
      <c r="E189" s="14">
        <v>45874.802465277768</v>
      </c>
      <c r="F189" s="6" t="s">
        <v>21</v>
      </c>
      <c r="G189" s="6" t="s">
        <v>21</v>
      </c>
      <c r="H189" s="6" t="s">
        <v>805</v>
      </c>
      <c r="I189" s="6" t="s">
        <v>259</v>
      </c>
      <c r="J189" s="6" t="s">
        <v>806</v>
      </c>
      <c r="K189" s="6" t="s">
        <v>807</v>
      </c>
      <c r="L189" s="6" t="s">
        <v>807</v>
      </c>
      <c r="M189" s="14">
        <v>45874.543055555558</v>
      </c>
      <c r="N189" s="6">
        <v>3425</v>
      </c>
      <c r="O189" s="6" t="s">
        <v>92</v>
      </c>
      <c r="P189" s="6" t="s">
        <v>245</v>
      </c>
      <c r="Q189" s="6" t="s">
        <v>246</v>
      </c>
      <c r="R189" s="6" t="s">
        <v>247</v>
      </c>
      <c r="S189" s="6" t="s">
        <v>9</v>
      </c>
      <c r="T189" s="6" t="s">
        <v>248</v>
      </c>
      <c r="U189" s="6" t="s">
        <v>181</v>
      </c>
      <c r="V189" s="6" t="s">
        <v>801</v>
      </c>
      <c r="W189" s="6" t="s">
        <v>92</v>
      </c>
      <c r="X189" s="6" t="s">
        <v>92</v>
      </c>
      <c r="Y189" s="6" t="s">
        <v>92</v>
      </c>
      <c r="Z189" s="6" t="s">
        <v>75</v>
      </c>
      <c r="AA189" s="6" t="s">
        <v>92</v>
      </c>
      <c r="AB189" s="6">
        <v>1639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808</v>
      </c>
      <c r="AJ189" s="6" t="s">
        <v>264</v>
      </c>
      <c r="AK189" s="6" t="s">
        <v>12</v>
      </c>
      <c r="AL189" s="6" t="s">
        <v>56</v>
      </c>
      <c r="AM189" s="6" t="s">
        <v>265</v>
      </c>
      <c r="AN189" s="6" t="s">
        <v>22</v>
      </c>
      <c r="AO189" s="6" t="s">
        <v>253</v>
      </c>
      <c r="AP189" s="6" t="s">
        <v>254</v>
      </c>
      <c r="AQ189" s="6" t="s">
        <v>20</v>
      </c>
    </row>
    <row r="190" spans="1:43" x14ac:dyDescent="0.25">
      <c r="A190" s="6">
        <v>22680752</v>
      </c>
      <c r="B190" s="6">
        <v>23485233</v>
      </c>
      <c r="C190" s="6" t="s">
        <v>241</v>
      </c>
      <c r="D190" s="14">
        <v>45873.762569444443</v>
      </c>
      <c r="E190" s="14">
        <v>45874.299085648148</v>
      </c>
      <c r="F190" s="6" t="s">
        <v>21</v>
      </c>
      <c r="G190" s="6" t="s">
        <v>21</v>
      </c>
      <c r="H190" s="6" t="s">
        <v>809</v>
      </c>
      <c r="I190" s="6" t="s">
        <v>259</v>
      </c>
      <c r="J190" s="6" t="s">
        <v>810</v>
      </c>
      <c r="K190" s="6" t="s">
        <v>665</v>
      </c>
      <c r="L190" s="6" t="s">
        <v>665</v>
      </c>
      <c r="M190" s="14">
        <v>45873.605555555558</v>
      </c>
      <c r="N190" s="6">
        <v>110580</v>
      </c>
      <c r="O190" s="6" t="s">
        <v>92</v>
      </c>
      <c r="P190" s="6" t="s">
        <v>453</v>
      </c>
      <c r="Q190" s="6" t="s">
        <v>428</v>
      </c>
      <c r="R190" s="6" t="s">
        <v>428</v>
      </c>
      <c r="S190" s="6" t="s">
        <v>9</v>
      </c>
      <c r="T190" s="6" t="s">
        <v>248</v>
      </c>
      <c r="U190" s="6" t="s">
        <v>150</v>
      </c>
      <c r="V190" s="6" t="s">
        <v>811</v>
      </c>
      <c r="W190" s="6" t="s">
        <v>92</v>
      </c>
      <c r="X190" s="6" t="s">
        <v>812</v>
      </c>
      <c r="Y190" s="6" t="s">
        <v>92</v>
      </c>
      <c r="Z190" s="6" t="s">
        <v>105</v>
      </c>
      <c r="AA190" s="6" t="s">
        <v>92</v>
      </c>
      <c r="AB190" s="6">
        <v>2495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813</v>
      </c>
      <c r="AJ190" s="6" t="s">
        <v>814</v>
      </c>
      <c r="AK190" s="6" t="s">
        <v>12</v>
      </c>
      <c r="AL190" s="6" t="s">
        <v>59</v>
      </c>
      <c r="AM190" s="6" t="s">
        <v>252</v>
      </c>
      <c r="AN190" s="6" t="s">
        <v>22</v>
      </c>
      <c r="AO190" s="6" t="s">
        <v>253</v>
      </c>
      <c r="AP190" s="6" t="s">
        <v>254</v>
      </c>
      <c r="AQ190" s="6" t="s">
        <v>20</v>
      </c>
    </row>
    <row r="191" spans="1:43" x14ac:dyDescent="0.25">
      <c r="A191" s="6">
        <v>22640232</v>
      </c>
      <c r="B191" s="6">
        <v>23451217</v>
      </c>
      <c r="C191" s="6" t="s">
        <v>241</v>
      </c>
      <c r="D191" s="14">
        <v>45866.766388888893</v>
      </c>
      <c r="E191" s="14">
        <v>45873.548842592587</v>
      </c>
      <c r="F191" s="6" t="s">
        <v>21</v>
      </c>
      <c r="G191" s="6" t="s">
        <v>25</v>
      </c>
      <c r="H191" s="6" t="s">
        <v>815</v>
      </c>
      <c r="I191" s="6" t="s">
        <v>259</v>
      </c>
      <c r="J191" s="6" t="s">
        <v>816</v>
      </c>
      <c r="K191" s="6" t="s">
        <v>665</v>
      </c>
      <c r="L191" s="6" t="s">
        <v>665</v>
      </c>
      <c r="M191" s="14">
        <v>45866.577777777777</v>
      </c>
      <c r="N191" s="6">
        <v>110165</v>
      </c>
      <c r="O191" s="6" t="s">
        <v>92</v>
      </c>
      <c r="P191" s="6" t="s">
        <v>453</v>
      </c>
      <c r="Q191" s="6" t="s">
        <v>428</v>
      </c>
      <c r="R191" s="6" t="s">
        <v>428</v>
      </c>
      <c r="S191" s="6" t="s">
        <v>9</v>
      </c>
      <c r="T191" s="6" t="s">
        <v>248</v>
      </c>
      <c r="U191" s="6" t="s">
        <v>150</v>
      </c>
      <c r="V191" s="6" t="s">
        <v>817</v>
      </c>
      <c r="W191" s="6" t="s">
        <v>92</v>
      </c>
      <c r="X191" s="6" t="s">
        <v>812</v>
      </c>
      <c r="Y191" s="6" t="s">
        <v>92</v>
      </c>
      <c r="Z191" s="6" t="s">
        <v>105</v>
      </c>
      <c r="AA191" s="6" t="s">
        <v>92</v>
      </c>
      <c r="AB191" s="6">
        <v>998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818</v>
      </c>
      <c r="AJ191" s="6" t="s">
        <v>814</v>
      </c>
      <c r="AK191" s="6" t="s">
        <v>12</v>
      </c>
      <c r="AL191" s="6" t="s">
        <v>59</v>
      </c>
      <c r="AM191" s="6" t="s">
        <v>252</v>
      </c>
      <c r="AN191" s="6" t="s">
        <v>22</v>
      </c>
      <c r="AO191" s="6" t="s">
        <v>253</v>
      </c>
      <c r="AP191" s="6" t="s">
        <v>254</v>
      </c>
      <c r="AQ191" s="6" t="s">
        <v>20</v>
      </c>
    </row>
    <row r="192" spans="1:43" hidden="1" x14ac:dyDescent="0.25">
      <c r="A192" s="6">
        <v>22620713</v>
      </c>
      <c r="B192" s="6">
        <v>23436166</v>
      </c>
      <c r="C192" s="6" t="s">
        <v>241</v>
      </c>
      <c r="D192" s="14">
        <v>45862.762638888889</v>
      </c>
      <c r="E192" s="14">
        <v>45868.339780092603</v>
      </c>
      <c r="F192" s="6" t="s">
        <v>25</v>
      </c>
      <c r="G192" s="6" t="s">
        <v>25</v>
      </c>
      <c r="H192" s="6" t="s">
        <v>819</v>
      </c>
      <c r="I192" s="6" t="s">
        <v>259</v>
      </c>
      <c r="J192" s="6" t="s">
        <v>820</v>
      </c>
      <c r="K192" s="6" t="s">
        <v>821</v>
      </c>
      <c r="L192" s="6" t="s">
        <v>821</v>
      </c>
      <c r="M192" s="14">
        <v>45862.736805555563</v>
      </c>
      <c r="N192" s="6">
        <v>109945</v>
      </c>
      <c r="O192" s="6" t="s">
        <v>92</v>
      </c>
      <c r="P192" s="6" t="s">
        <v>245</v>
      </c>
      <c r="Q192" s="6" t="s">
        <v>659</v>
      </c>
      <c r="R192" s="6" t="s">
        <v>659</v>
      </c>
      <c r="S192" s="6" t="s">
        <v>9</v>
      </c>
      <c r="T192" s="6" t="s">
        <v>248</v>
      </c>
      <c r="U192" s="6" t="s">
        <v>150</v>
      </c>
      <c r="V192" s="6" t="s">
        <v>822</v>
      </c>
      <c r="W192" s="6" t="s">
        <v>92</v>
      </c>
      <c r="X192" s="6" t="s">
        <v>823</v>
      </c>
      <c r="Y192" s="6" t="s">
        <v>92</v>
      </c>
      <c r="Z192" s="6" t="s">
        <v>105</v>
      </c>
      <c r="AA192" s="6" t="s">
        <v>92</v>
      </c>
      <c r="AB192" s="6">
        <v>1694.54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824</v>
      </c>
      <c r="AJ192" s="6" t="s">
        <v>825</v>
      </c>
      <c r="AK192" s="6" t="s">
        <v>12</v>
      </c>
      <c r="AL192" s="6" t="s">
        <v>59</v>
      </c>
      <c r="AM192" s="6" t="s">
        <v>252</v>
      </c>
      <c r="AN192" s="6" t="s">
        <v>22</v>
      </c>
      <c r="AO192" s="6" t="s">
        <v>253</v>
      </c>
      <c r="AP192" s="6" t="s">
        <v>254</v>
      </c>
      <c r="AQ192" s="6" t="s">
        <v>20</v>
      </c>
    </row>
    <row r="193" spans="1:43" hidden="1" x14ac:dyDescent="0.25">
      <c r="A193" s="6">
        <v>22620719</v>
      </c>
      <c r="B193" s="6">
        <v>23436172</v>
      </c>
      <c r="C193" s="6" t="s">
        <v>241</v>
      </c>
      <c r="D193" s="14">
        <v>45862.762824074067</v>
      </c>
      <c r="E193" s="14">
        <v>45868.339803240742</v>
      </c>
      <c r="F193" s="6" t="s">
        <v>25</v>
      </c>
      <c r="G193" s="6" t="s">
        <v>25</v>
      </c>
      <c r="H193" s="6" t="s">
        <v>826</v>
      </c>
      <c r="I193" s="6" t="s">
        <v>259</v>
      </c>
      <c r="J193" s="6" t="s">
        <v>820</v>
      </c>
      <c r="K193" s="6" t="s">
        <v>821</v>
      </c>
      <c r="L193" s="6" t="s">
        <v>821</v>
      </c>
      <c r="M193" s="14">
        <v>45862.739583333343</v>
      </c>
      <c r="N193" s="6">
        <v>109907</v>
      </c>
      <c r="O193" s="6" t="s">
        <v>92</v>
      </c>
      <c r="P193" s="6" t="s">
        <v>245</v>
      </c>
      <c r="Q193" s="6" t="s">
        <v>659</v>
      </c>
      <c r="R193" s="6" t="s">
        <v>659</v>
      </c>
      <c r="S193" s="6" t="s">
        <v>9</v>
      </c>
      <c r="T193" s="6" t="s">
        <v>248</v>
      </c>
      <c r="U193" s="6" t="s">
        <v>150</v>
      </c>
      <c r="V193" s="6" t="s">
        <v>822</v>
      </c>
      <c r="W193" s="6" t="s">
        <v>92</v>
      </c>
      <c r="X193" s="6" t="s">
        <v>823</v>
      </c>
      <c r="Y193" s="6" t="s">
        <v>92</v>
      </c>
      <c r="Z193" s="6" t="s">
        <v>105</v>
      </c>
      <c r="AA193" s="6" t="s">
        <v>92</v>
      </c>
      <c r="AB193" s="6">
        <v>1593.07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827</v>
      </c>
      <c r="AJ193" s="6" t="s">
        <v>825</v>
      </c>
      <c r="AK193" s="6" t="s">
        <v>12</v>
      </c>
      <c r="AL193" s="6" t="s">
        <v>59</v>
      </c>
      <c r="AM193" s="6" t="s">
        <v>252</v>
      </c>
      <c r="AN193" s="6" t="s">
        <v>22</v>
      </c>
      <c r="AO193" s="6" t="s">
        <v>253</v>
      </c>
      <c r="AP193" s="6" t="s">
        <v>254</v>
      </c>
      <c r="AQ193" s="6" t="s">
        <v>20</v>
      </c>
    </row>
    <row r="194" spans="1:43" hidden="1" x14ac:dyDescent="0.25">
      <c r="A194" s="6">
        <v>22703221</v>
      </c>
      <c r="B194" s="6">
        <v>23505325</v>
      </c>
      <c r="C194" s="6" t="s">
        <v>241</v>
      </c>
      <c r="D194" s="14">
        <v>45876.776446759257</v>
      </c>
      <c r="E194" s="14">
        <v>45876.798113425917</v>
      </c>
      <c r="F194" s="6" t="s">
        <v>19</v>
      </c>
      <c r="G194" s="6" t="s">
        <v>19</v>
      </c>
      <c r="H194" s="6" t="s">
        <v>828</v>
      </c>
      <c r="I194" s="6" t="s">
        <v>259</v>
      </c>
      <c r="J194" s="6" t="s">
        <v>829</v>
      </c>
      <c r="K194" s="6" t="s">
        <v>821</v>
      </c>
      <c r="L194" s="6" t="s">
        <v>821</v>
      </c>
      <c r="M194" s="14">
        <v>45876.670138888891</v>
      </c>
      <c r="N194" s="6">
        <v>110884</v>
      </c>
      <c r="O194" s="6" t="s">
        <v>830</v>
      </c>
      <c r="P194" s="6" t="s">
        <v>245</v>
      </c>
      <c r="Q194" s="6" t="s">
        <v>659</v>
      </c>
      <c r="R194" s="6" t="s">
        <v>659</v>
      </c>
      <c r="S194" s="6" t="s">
        <v>8</v>
      </c>
      <c r="T194" s="6" t="s">
        <v>248</v>
      </c>
      <c r="U194" s="6" t="s">
        <v>150</v>
      </c>
      <c r="V194" s="6" t="s">
        <v>831</v>
      </c>
      <c r="W194" s="6" t="s">
        <v>92</v>
      </c>
      <c r="X194" s="6" t="s">
        <v>92</v>
      </c>
      <c r="Y194" s="6" t="s">
        <v>92</v>
      </c>
      <c r="Z194" s="6" t="s">
        <v>105</v>
      </c>
      <c r="AA194" s="6" t="s">
        <v>92</v>
      </c>
      <c r="AB194" s="6">
        <v>1092.3900000000001</v>
      </c>
      <c r="AC194" s="6">
        <v>0</v>
      </c>
      <c r="AD194" s="6">
        <v>1582.31</v>
      </c>
      <c r="AE194" s="6">
        <v>0</v>
      </c>
      <c r="AF194" s="6">
        <v>0</v>
      </c>
      <c r="AG194" s="6">
        <v>0</v>
      </c>
      <c r="AH194" s="6">
        <v>0</v>
      </c>
      <c r="AI194" s="6" t="s">
        <v>832</v>
      </c>
      <c r="AJ194" s="6" t="s">
        <v>264</v>
      </c>
      <c r="AK194" s="6" t="s">
        <v>12</v>
      </c>
      <c r="AL194" s="6" t="s">
        <v>56</v>
      </c>
      <c r="AM194" s="6" t="s">
        <v>265</v>
      </c>
      <c r="AN194" s="6" t="s">
        <v>22</v>
      </c>
      <c r="AO194" s="6" t="s">
        <v>253</v>
      </c>
      <c r="AP194" s="6" t="s">
        <v>254</v>
      </c>
      <c r="AQ194" s="6" t="s">
        <v>20</v>
      </c>
    </row>
    <row r="195" spans="1:43" x14ac:dyDescent="0.25">
      <c r="A195" s="6">
        <v>22657813</v>
      </c>
      <c r="B195" s="6">
        <v>23466661</v>
      </c>
      <c r="C195" s="6" t="s">
        <v>241</v>
      </c>
      <c r="D195" s="14">
        <v>45869.515185185177</v>
      </c>
      <c r="E195" s="14">
        <v>45870.257187499999</v>
      </c>
      <c r="F195" s="6" t="s">
        <v>23</v>
      </c>
      <c r="G195" s="6" t="s">
        <v>23</v>
      </c>
      <c r="H195" s="6" t="s">
        <v>833</v>
      </c>
      <c r="I195" s="6" t="s">
        <v>259</v>
      </c>
      <c r="J195" s="6" t="s">
        <v>834</v>
      </c>
      <c r="K195" s="6" t="s">
        <v>792</v>
      </c>
      <c r="L195" s="6" t="s">
        <v>792</v>
      </c>
      <c r="M195" s="14">
        <v>45869.462500000001</v>
      </c>
      <c r="N195" s="6">
        <v>45950</v>
      </c>
      <c r="O195" s="6" t="s">
        <v>92</v>
      </c>
      <c r="P195" s="6" t="s">
        <v>245</v>
      </c>
      <c r="Q195" s="6" t="s">
        <v>246</v>
      </c>
      <c r="R195" s="6" t="s">
        <v>247</v>
      </c>
      <c r="S195" s="6" t="s">
        <v>3</v>
      </c>
      <c r="T195" s="6" t="s">
        <v>248</v>
      </c>
      <c r="U195" s="6" t="s">
        <v>151</v>
      </c>
      <c r="V195" s="6" t="s">
        <v>835</v>
      </c>
      <c r="W195" s="6" t="s">
        <v>92</v>
      </c>
      <c r="X195" s="6" t="s">
        <v>836</v>
      </c>
      <c r="Y195" s="6" t="s">
        <v>92</v>
      </c>
      <c r="Z195" s="6" t="s">
        <v>99</v>
      </c>
      <c r="AA195" s="6" t="s">
        <v>92</v>
      </c>
      <c r="AB195" s="6">
        <v>501.93</v>
      </c>
      <c r="AC195" s="6">
        <v>0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837</v>
      </c>
      <c r="AJ195" s="6" t="s">
        <v>838</v>
      </c>
      <c r="AK195" s="6" t="s">
        <v>12</v>
      </c>
      <c r="AL195" s="6" t="s">
        <v>59</v>
      </c>
      <c r="AM195" s="6" t="s">
        <v>252</v>
      </c>
      <c r="AN195" s="6" t="s">
        <v>22</v>
      </c>
      <c r="AO195" s="6" t="s">
        <v>253</v>
      </c>
      <c r="AP195" s="6" t="s">
        <v>254</v>
      </c>
      <c r="AQ195" s="6" t="s">
        <v>20</v>
      </c>
    </row>
    <row r="196" spans="1:43" hidden="1" x14ac:dyDescent="0.25">
      <c r="A196" s="6">
        <v>22694619</v>
      </c>
      <c r="B196" s="6">
        <v>23497465</v>
      </c>
      <c r="C196" s="6" t="s">
        <v>241</v>
      </c>
      <c r="D196" s="14">
        <v>45875.685567129629</v>
      </c>
      <c r="E196" s="14">
        <v>45875.697546296287</v>
      </c>
      <c r="F196" s="6" t="s">
        <v>19</v>
      </c>
      <c r="G196" s="6" t="s">
        <v>19</v>
      </c>
      <c r="H196" s="6" t="s">
        <v>839</v>
      </c>
      <c r="I196" s="6" t="s">
        <v>259</v>
      </c>
      <c r="J196" s="6" t="s">
        <v>840</v>
      </c>
      <c r="K196" s="6" t="s">
        <v>841</v>
      </c>
      <c r="L196" s="6" t="s">
        <v>841</v>
      </c>
      <c r="M196" s="14">
        <v>45875.616666666669</v>
      </c>
      <c r="N196" s="6">
        <v>224772</v>
      </c>
      <c r="O196" s="6" t="s">
        <v>92</v>
      </c>
      <c r="P196" s="6" t="s">
        <v>245</v>
      </c>
      <c r="Q196" s="6" t="s">
        <v>428</v>
      </c>
      <c r="R196" s="6" t="s">
        <v>428</v>
      </c>
      <c r="S196" s="6" t="s">
        <v>9</v>
      </c>
      <c r="T196" s="6" t="s">
        <v>248</v>
      </c>
      <c r="U196" s="6" t="s">
        <v>143</v>
      </c>
      <c r="V196" s="6" t="s">
        <v>842</v>
      </c>
      <c r="W196" s="6" t="s">
        <v>92</v>
      </c>
      <c r="X196" s="6" t="s">
        <v>92</v>
      </c>
      <c r="Y196" s="6" t="s">
        <v>92</v>
      </c>
      <c r="Z196" s="6" t="s">
        <v>93</v>
      </c>
      <c r="AA196" s="6" t="s">
        <v>92</v>
      </c>
      <c r="AB196" s="6">
        <v>978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843</v>
      </c>
      <c r="AJ196" s="6" t="s">
        <v>264</v>
      </c>
      <c r="AK196" s="6" t="s">
        <v>12</v>
      </c>
      <c r="AL196" s="6" t="s">
        <v>56</v>
      </c>
      <c r="AM196" s="6" t="s">
        <v>265</v>
      </c>
      <c r="AN196" s="6" t="s">
        <v>22</v>
      </c>
      <c r="AO196" s="6" t="s">
        <v>253</v>
      </c>
      <c r="AP196" s="6" t="s">
        <v>254</v>
      </c>
      <c r="AQ196" s="6" t="s">
        <v>20</v>
      </c>
    </row>
    <row r="197" spans="1:43" hidden="1" x14ac:dyDescent="0.25">
      <c r="A197" s="6">
        <v>22694620</v>
      </c>
      <c r="B197" s="6">
        <v>23497467</v>
      </c>
      <c r="C197" s="6" t="s">
        <v>241</v>
      </c>
      <c r="D197" s="14">
        <v>45875.685729166667</v>
      </c>
      <c r="E197" s="14">
        <v>45875.697546296287</v>
      </c>
      <c r="F197" s="6" t="s">
        <v>19</v>
      </c>
      <c r="G197" s="6" t="s">
        <v>19</v>
      </c>
      <c r="H197" s="6" t="s">
        <v>844</v>
      </c>
      <c r="I197" s="6" t="s">
        <v>259</v>
      </c>
      <c r="J197" s="6" t="s">
        <v>845</v>
      </c>
      <c r="K197" s="6" t="s">
        <v>841</v>
      </c>
      <c r="L197" s="6" t="s">
        <v>841</v>
      </c>
      <c r="M197" s="14">
        <v>45875.613888888889</v>
      </c>
      <c r="N197" s="6">
        <v>224770</v>
      </c>
      <c r="O197" s="6" t="s">
        <v>92</v>
      </c>
      <c r="P197" s="6" t="s">
        <v>245</v>
      </c>
      <c r="Q197" s="6" t="s">
        <v>428</v>
      </c>
      <c r="R197" s="6" t="s">
        <v>428</v>
      </c>
      <c r="S197" s="6" t="s">
        <v>9</v>
      </c>
      <c r="T197" s="6" t="s">
        <v>248</v>
      </c>
      <c r="U197" s="6" t="s">
        <v>143</v>
      </c>
      <c r="V197" s="6" t="s">
        <v>842</v>
      </c>
      <c r="W197" s="6" t="s">
        <v>92</v>
      </c>
      <c r="X197" s="6" t="s">
        <v>92</v>
      </c>
      <c r="Y197" s="6" t="s">
        <v>92</v>
      </c>
      <c r="Z197" s="6" t="s">
        <v>93</v>
      </c>
      <c r="AA197" s="6" t="s">
        <v>92</v>
      </c>
      <c r="AB197" s="6">
        <v>978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0</v>
      </c>
      <c r="AI197" s="6" t="s">
        <v>846</v>
      </c>
      <c r="AJ197" s="6" t="s">
        <v>264</v>
      </c>
      <c r="AK197" s="6" t="s">
        <v>12</v>
      </c>
      <c r="AL197" s="6" t="s">
        <v>56</v>
      </c>
      <c r="AM197" s="6" t="s">
        <v>265</v>
      </c>
      <c r="AN197" s="6" t="s">
        <v>22</v>
      </c>
      <c r="AO197" s="6" t="s">
        <v>253</v>
      </c>
      <c r="AP197" s="6" t="s">
        <v>254</v>
      </c>
      <c r="AQ197" s="6" t="s">
        <v>20</v>
      </c>
    </row>
    <row r="198" spans="1:43" hidden="1" x14ac:dyDescent="0.25">
      <c r="A198" s="6">
        <v>22693497</v>
      </c>
      <c r="B198" s="6">
        <v>23496423</v>
      </c>
      <c r="C198" s="6" t="s">
        <v>241</v>
      </c>
      <c r="D198" s="14">
        <v>45875.532731481479</v>
      </c>
      <c r="E198" s="14">
        <v>45875.575833333343</v>
      </c>
      <c r="F198" s="6" t="s">
        <v>19</v>
      </c>
      <c r="G198" s="6" t="s">
        <v>19</v>
      </c>
      <c r="H198" s="6" t="s">
        <v>847</v>
      </c>
      <c r="I198" s="6" t="s">
        <v>259</v>
      </c>
      <c r="J198" s="6" t="s">
        <v>848</v>
      </c>
      <c r="K198" s="6" t="s">
        <v>841</v>
      </c>
      <c r="L198" s="6" t="s">
        <v>841</v>
      </c>
      <c r="M198" s="14">
        <v>45875.518055555563</v>
      </c>
      <c r="N198" s="6">
        <v>224777</v>
      </c>
      <c r="O198" s="6" t="s">
        <v>92</v>
      </c>
      <c r="P198" s="6" t="s">
        <v>245</v>
      </c>
      <c r="Q198" s="6" t="s">
        <v>428</v>
      </c>
      <c r="R198" s="6" t="s">
        <v>428</v>
      </c>
      <c r="S198" s="6" t="s">
        <v>9</v>
      </c>
      <c r="T198" s="6" t="s">
        <v>248</v>
      </c>
      <c r="U198" s="6" t="s">
        <v>143</v>
      </c>
      <c r="V198" s="6" t="s">
        <v>842</v>
      </c>
      <c r="W198" s="6" t="s">
        <v>92</v>
      </c>
      <c r="X198" s="6" t="s">
        <v>92</v>
      </c>
      <c r="Y198" s="6" t="s">
        <v>92</v>
      </c>
      <c r="Z198" s="6" t="s">
        <v>93</v>
      </c>
      <c r="AA198" s="6" t="s">
        <v>92</v>
      </c>
      <c r="AB198" s="6">
        <v>489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849</v>
      </c>
      <c r="AJ198" s="6" t="s">
        <v>264</v>
      </c>
      <c r="AK198" s="6" t="s">
        <v>12</v>
      </c>
      <c r="AL198" s="6" t="s">
        <v>56</v>
      </c>
      <c r="AM198" s="6" t="s">
        <v>265</v>
      </c>
      <c r="AN198" s="6" t="s">
        <v>22</v>
      </c>
      <c r="AO198" s="6" t="s">
        <v>253</v>
      </c>
      <c r="AP198" s="6" t="s">
        <v>254</v>
      </c>
      <c r="AQ198" s="6" t="s">
        <v>20</v>
      </c>
    </row>
    <row r="199" spans="1:43" hidden="1" x14ac:dyDescent="0.25">
      <c r="A199" s="6">
        <v>22703932</v>
      </c>
      <c r="B199" s="6">
        <v>23506015</v>
      </c>
      <c r="C199" s="6" t="s">
        <v>241</v>
      </c>
      <c r="D199" s="14">
        <v>45876.806527777779</v>
      </c>
      <c r="E199" s="14">
        <v>45876.850995370369</v>
      </c>
      <c r="F199" s="6" t="s">
        <v>19</v>
      </c>
      <c r="G199" s="6" t="s">
        <v>19</v>
      </c>
      <c r="H199" s="6" t="s">
        <v>850</v>
      </c>
      <c r="I199" s="6" t="s">
        <v>259</v>
      </c>
      <c r="J199" s="6" t="s">
        <v>851</v>
      </c>
      <c r="K199" s="6" t="s">
        <v>852</v>
      </c>
      <c r="L199" s="6" t="s">
        <v>852</v>
      </c>
      <c r="M199" s="14">
        <v>45876.772916666669</v>
      </c>
      <c r="N199" s="6">
        <v>225137</v>
      </c>
      <c r="O199" s="6" t="s">
        <v>853</v>
      </c>
      <c r="P199" s="6" t="s">
        <v>245</v>
      </c>
      <c r="Q199" s="6" t="s">
        <v>246</v>
      </c>
      <c r="R199" s="6" t="s">
        <v>247</v>
      </c>
      <c r="S199" s="6" t="s">
        <v>8</v>
      </c>
      <c r="T199" s="6" t="s">
        <v>248</v>
      </c>
      <c r="U199" s="6" t="s">
        <v>143</v>
      </c>
      <c r="V199" s="6" t="s">
        <v>854</v>
      </c>
      <c r="W199" s="6" t="s">
        <v>92</v>
      </c>
      <c r="X199" s="6" t="s">
        <v>92</v>
      </c>
      <c r="Y199" s="6" t="s">
        <v>92</v>
      </c>
      <c r="Z199" s="6" t="s">
        <v>93</v>
      </c>
      <c r="AA199" s="6" t="s">
        <v>92</v>
      </c>
      <c r="AB199" s="6">
        <v>1911.28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855</v>
      </c>
      <c r="AJ199" s="6" t="s">
        <v>264</v>
      </c>
      <c r="AK199" s="6" t="s">
        <v>12</v>
      </c>
      <c r="AL199" s="6" t="s">
        <v>56</v>
      </c>
      <c r="AM199" s="6" t="s">
        <v>265</v>
      </c>
      <c r="AN199" s="6" t="s">
        <v>22</v>
      </c>
      <c r="AO199" s="6" t="s">
        <v>253</v>
      </c>
      <c r="AP199" s="6" t="s">
        <v>254</v>
      </c>
      <c r="AQ199" s="6" t="s">
        <v>45</v>
      </c>
    </row>
    <row r="200" spans="1:43" hidden="1" x14ac:dyDescent="0.25">
      <c r="A200" s="6">
        <v>22687220</v>
      </c>
      <c r="B200" s="6">
        <v>23490909</v>
      </c>
      <c r="C200" s="6" t="s">
        <v>241</v>
      </c>
      <c r="D200" s="14">
        <v>45874.674409722233</v>
      </c>
      <c r="E200" s="14">
        <v>45874.678668981483</v>
      </c>
      <c r="F200" s="6" t="s">
        <v>21</v>
      </c>
      <c r="G200" s="6" t="s">
        <v>21</v>
      </c>
      <c r="H200" s="6" t="s">
        <v>856</v>
      </c>
      <c r="I200" s="6" t="s">
        <v>259</v>
      </c>
      <c r="J200" s="6" t="s">
        <v>857</v>
      </c>
      <c r="K200" s="6" t="s">
        <v>858</v>
      </c>
      <c r="L200" s="6" t="s">
        <v>858</v>
      </c>
      <c r="M200" s="14">
        <v>45874.673611111109</v>
      </c>
      <c r="N200" s="6">
        <v>224403</v>
      </c>
      <c r="O200" s="6" t="s">
        <v>92</v>
      </c>
      <c r="P200" s="6" t="s">
        <v>245</v>
      </c>
      <c r="Q200" s="6" t="s">
        <v>428</v>
      </c>
      <c r="R200" s="6" t="s">
        <v>428</v>
      </c>
      <c r="S200" s="6" t="s">
        <v>9</v>
      </c>
      <c r="T200" s="6" t="s">
        <v>248</v>
      </c>
      <c r="U200" s="6" t="s">
        <v>143</v>
      </c>
      <c r="V200" s="6" t="s">
        <v>859</v>
      </c>
      <c r="W200" s="6" t="s">
        <v>92</v>
      </c>
      <c r="X200" s="6" t="s">
        <v>860</v>
      </c>
      <c r="Y200" s="6" t="s">
        <v>92</v>
      </c>
      <c r="Z200" s="6" t="s">
        <v>93</v>
      </c>
      <c r="AA200" s="6" t="s">
        <v>92</v>
      </c>
      <c r="AB200" s="6">
        <v>1175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861</v>
      </c>
      <c r="AJ200" s="6" t="s">
        <v>462</v>
      </c>
      <c r="AK200" s="6" t="s">
        <v>12</v>
      </c>
      <c r="AL200" s="6" t="s">
        <v>69</v>
      </c>
      <c r="AM200" s="6" t="s">
        <v>67</v>
      </c>
      <c r="AN200" s="6" t="s">
        <v>22</v>
      </c>
      <c r="AO200" s="6" t="s">
        <v>253</v>
      </c>
      <c r="AP200" s="6" t="s">
        <v>254</v>
      </c>
      <c r="AQ200" s="6" t="s">
        <v>45</v>
      </c>
    </row>
    <row r="201" spans="1:43" hidden="1" x14ac:dyDescent="0.25">
      <c r="A201" s="6">
        <v>22702112</v>
      </c>
      <c r="B201" s="6">
        <v>23504253</v>
      </c>
      <c r="C201" s="6" t="s">
        <v>241</v>
      </c>
      <c r="D201" s="14">
        <v>45876.69940972222</v>
      </c>
      <c r="E201" s="14">
        <v>45876.703032407408</v>
      </c>
      <c r="F201" s="6" t="s">
        <v>19</v>
      </c>
      <c r="G201" s="6" t="s">
        <v>19</v>
      </c>
      <c r="H201" s="6" t="s">
        <v>862</v>
      </c>
      <c r="I201" s="6" t="s">
        <v>259</v>
      </c>
      <c r="J201" s="6" t="s">
        <v>863</v>
      </c>
      <c r="K201" s="6" t="s">
        <v>864</v>
      </c>
      <c r="L201" s="6" t="s">
        <v>864</v>
      </c>
      <c r="M201" s="14">
        <v>45876.669444444437</v>
      </c>
      <c r="N201" s="6">
        <v>225008</v>
      </c>
      <c r="O201" s="6" t="s">
        <v>92</v>
      </c>
      <c r="P201" s="6" t="s">
        <v>245</v>
      </c>
      <c r="Q201" s="6" t="s">
        <v>246</v>
      </c>
      <c r="R201" s="6" t="s">
        <v>247</v>
      </c>
      <c r="S201" s="6" t="s">
        <v>3</v>
      </c>
      <c r="T201" s="6" t="s">
        <v>248</v>
      </c>
      <c r="U201" s="6" t="s">
        <v>143</v>
      </c>
      <c r="V201" s="6" t="s">
        <v>859</v>
      </c>
      <c r="W201" s="6" t="s">
        <v>92</v>
      </c>
      <c r="X201" s="6" t="s">
        <v>92</v>
      </c>
      <c r="Y201" s="6" t="s">
        <v>92</v>
      </c>
      <c r="Z201" s="6" t="s">
        <v>93</v>
      </c>
      <c r="AA201" s="6" t="s">
        <v>92</v>
      </c>
      <c r="AB201" s="6">
        <v>350.74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0</v>
      </c>
      <c r="AI201" s="6" t="s">
        <v>865</v>
      </c>
      <c r="AJ201" s="6" t="s">
        <v>264</v>
      </c>
      <c r="AK201" s="6" t="s">
        <v>12</v>
      </c>
      <c r="AL201" s="6" t="s">
        <v>56</v>
      </c>
      <c r="AM201" s="6" t="s">
        <v>265</v>
      </c>
      <c r="AN201" s="6" t="s">
        <v>22</v>
      </c>
      <c r="AO201" s="6" t="s">
        <v>253</v>
      </c>
      <c r="AP201" s="6" t="s">
        <v>254</v>
      </c>
      <c r="AQ201" s="6" t="s">
        <v>20</v>
      </c>
    </row>
    <row r="202" spans="1:43" hidden="1" x14ac:dyDescent="0.25">
      <c r="A202" s="6">
        <v>22703935</v>
      </c>
      <c r="B202" s="6">
        <v>23506018</v>
      </c>
      <c r="C202" s="6" t="s">
        <v>241</v>
      </c>
      <c r="D202" s="14">
        <v>45876.80672453704</v>
      </c>
      <c r="E202" s="14">
        <v>45876.816377314812</v>
      </c>
      <c r="F202" s="6" t="s">
        <v>19</v>
      </c>
      <c r="G202" s="6" t="s">
        <v>19</v>
      </c>
      <c r="H202" s="6" t="s">
        <v>866</v>
      </c>
      <c r="I202" s="6" t="s">
        <v>259</v>
      </c>
      <c r="J202" s="6" t="s">
        <v>867</v>
      </c>
      <c r="K202" s="6" t="s">
        <v>864</v>
      </c>
      <c r="L202" s="6" t="s">
        <v>864</v>
      </c>
      <c r="M202" s="14">
        <v>45876.711111111108</v>
      </c>
      <c r="N202" s="6">
        <v>224799</v>
      </c>
      <c r="O202" s="6" t="s">
        <v>92</v>
      </c>
      <c r="P202" s="6" t="s">
        <v>245</v>
      </c>
      <c r="Q202" s="6" t="s">
        <v>428</v>
      </c>
      <c r="R202" s="6" t="s">
        <v>428</v>
      </c>
      <c r="S202" s="6" t="s">
        <v>7</v>
      </c>
      <c r="T202" s="6" t="s">
        <v>248</v>
      </c>
      <c r="U202" s="6" t="s">
        <v>143</v>
      </c>
      <c r="V202" s="6" t="s">
        <v>868</v>
      </c>
      <c r="W202" s="6" t="s">
        <v>92</v>
      </c>
      <c r="X202" s="6" t="s">
        <v>285</v>
      </c>
      <c r="Y202" s="6">
        <v>2971569341</v>
      </c>
      <c r="Z202" s="6" t="s">
        <v>93</v>
      </c>
      <c r="AA202" s="6" t="s">
        <v>92</v>
      </c>
      <c r="AB202" s="6">
        <v>1545.41</v>
      </c>
      <c r="AC202" s="6">
        <v>5.49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869</v>
      </c>
      <c r="AJ202" s="6" t="s">
        <v>870</v>
      </c>
      <c r="AK202" s="6" t="s">
        <v>12</v>
      </c>
      <c r="AL202" s="6" t="s">
        <v>57</v>
      </c>
      <c r="AM202" s="6" t="s">
        <v>288</v>
      </c>
      <c r="AN202" s="6" t="s">
        <v>28</v>
      </c>
      <c r="AO202" s="6" t="s">
        <v>253</v>
      </c>
      <c r="AP202" s="6" t="s">
        <v>480</v>
      </c>
      <c r="AQ202" s="6" t="s">
        <v>43</v>
      </c>
    </row>
    <row r="203" spans="1:43" hidden="1" x14ac:dyDescent="0.25">
      <c r="A203" s="6">
        <v>22664778</v>
      </c>
      <c r="B203" s="6">
        <v>23472774</v>
      </c>
      <c r="C203" s="6" t="s">
        <v>241</v>
      </c>
      <c r="D203" s="14">
        <v>45870.527939814812</v>
      </c>
      <c r="E203" s="14">
        <v>45870.556817129633</v>
      </c>
      <c r="F203" s="6" t="s">
        <v>23</v>
      </c>
      <c r="G203" s="6" t="s">
        <v>23</v>
      </c>
      <c r="H203" s="6" t="s">
        <v>871</v>
      </c>
      <c r="I203" s="6" t="s">
        <v>259</v>
      </c>
      <c r="J203" s="6" t="s">
        <v>872</v>
      </c>
      <c r="K203" s="6" t="s">
        <v>864</v>
      </c>
      <c r="L203" s="6" t="s">
        <v>864</v>
      </c>
      <c r="M203" s="14">
        <v>45870.443749999999</v>
      </c>
      <c r="N203" s="6">
        <v>223634</v>
      </c>
      <c r="O203" s="6" t="s">
        <v>92</v>
      </c>
      <c r="P203" s="6" t="s">
        <v>245</v>
      </c>
      <c r="Q203" s="6" t="s">
        <v>246</v>
      </c>
      <c r="R203" s="6" t="s">
        <v>247</v>
      </c>
      <c r="S203" s="6" t="s">
        <v>3</v>
      </c>
      <c r="T203" s="6" t="s">
        <v>248</v>
      </c>
      <c r="U203" s="6" t="s">
        <v>143</v>
      </c>
      <c r="V203" s="6" t="s">
        <v>854</v>
      </c>
      <c r="W203" s="6" t="s">
        <v>92</v>
      </c>
      <c r="X203" s="6" t="s">
        <v>92</v>
      </c>
      <c r="Y203" s="6" t="s">
        <v>92</v>
      </c>
      <c r="Z203" s="6" t="s">
        <v>93</v>
      </c>
      <c r="AA203" s="6" t="s">
        <v>92</v>
      </c>
      <c r="AB203" s="6">
        <v>679.14</v>
      </c>
      <c r="AC203" s="6">
        <v>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873</v>
      </c>
      <c r="AJ203" s="6" t="s">
        <v>264</v>
      </c>
      <c r="AK203" s="6" t="s">
        <v>12</v>
      </c>
      <c r="AL203" s="6" t="s">
        <v>56</v>
      </c>
      <c r="AM203" s="6" t="s">
        <v>265</v>
      </c>
      <c r="AN203" s="6" t="s">
        <v>22</v>
      </c>
      <c r="AO203" s="6" t="s">
        <v>253</v>
      </c>
      <c r="AP203" s="6" t="s">
        <v>254</v>
      </c>
      <c r="AQ203" s="6" t="s">
        <v>20</v>
      </c>
    </row>
    <row r="204" spans="1:43" hidden="1" x14ac:dyDescent="0.25">
      <c r="A204" s="6">
        <v>22693765</v>
      </c>
      <c r="B204" s="6">
        <v>23496669</v>
      </c>
      <c r="C204" s="6" t="s">
        <v>241</v>
      </c>
      <c r="D204" s="14">
        <v>45875.566770833328</v>
      </c>
      <c r="E204" s="14">
        <v>45875.58090277778</v>
      </c>
      <c r="F204" s="6" t="s">
        <v>19</v>
      </c>
      <c r="G204" s="6" t="s">
        <v>19</v>
      </c>
      <c r="H204" s="6" t="s">
        <v>874</v>
      </c>
      <c r="I204" s="6" t="s">
        <v>13</v>
      </c>
      <c r="J204" s="6" t="s">
        <v>875</v>
      </c>
      <c r="K204" s="6" t="s">
        <v>876</v>
      </c>
      <c r="L204" s="6" t="s">
        <v>876</v>
      </c>
      <c r="M204" s="14">
        <v>45875.547222222223</v>
      </c>
      <c r="N204" s="6">
        <v>4577469</v>
      </c>
      <c r="O204" s="6" t="s">
        <v>92</v>
      </c>
      <c r="P204" s="6" t="s">
        <v>245</v>
      </c>
      <c r="Q204" s="6" t="s">
        <v>428</v>
      </c>
      <c r="R204" s="6" t="s">
        <v>477</v>
      </c>
      <c r="S204" s="6" t="s">
        <v>7</v>
      </c>
      <c r="T204" s="6" t="s">
        <v>248</v>
      </c>
      <c r="U204" s="6" t="s">
        <v>189</v>
      </c>
      <c r="V204" s="6" t="s">
        <v>877</v>
      </c>
      <c r="W204" s="6" t="s">
        <v>92</v>
      </c>
      <c r="X204" s="6" t="s">
        <v>420</v>
      </c>
      <c r="Y204" s="6">
        <v>3023496660</v>
      </c>
      <c r="Z204" s="6" t="s">
        <v>95</v>
      </c>
      <c r="AA204" s="6" t="s">
        <v>92</v>
      </c>
      <c r="AB204" s="6">
        <v>2520.9299999999998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878</v>
      </c>
      <c r="AJ204" s="6" t="s">
        <v>436</v>
      </c>
      <c r="AK204" s="6" t="s">
        <v>13</v>
      </c>
      <c r="AL204" s="6" t="s">
        <v>60</v>
      </c>
      <c r="AM204" s="6" t="s">
        <v>437</v>
      </c>
      <c r="AN204" s="6" t="s">
        <v>28</v>
      </c>
      <c r="AO204" s="6" t="s">
        <v>253</v>
      </c>
      <c r="AP204" s="6" t="s">
        <v>480</v>
      </c>
      <c r="AQ204" s="6" t="s">
        <v>43</v>
      </c>
    </row>
    <row r="205" spans="1:43" hidden="1" x14ac:dyDescent="0.25">
      <c r="A205" s="6">
        <v>22694909</v>
      </c>
      <c r="B205" s="6">
        <v>23497758</v>
      </c>
      <c r="C205" s="6" t="s">
        <v>241</v>
      </c>
      <c r="D205" s="14">
        <v>45875.712650462963</v>
      </c>
      <c r="E205" s="14">
        <v>45875.715648148151</v>
      </c>
      <c r="F205" s="6" t="s">
        <v>19</v>
      </c>
      <c r="G205" s="6" t="s">
        <v>19</v>
      </c>
      <c r="H205" s="6">
        <v>19467607</v>
      </c>
      <c r="I205" s="6" t="s">
        <v>13</v>
      </c>
      <c r="J205" s="6" t="s">
        <v>879</v>
      </c>
      <c r="K205" s="6" t="s">
        <v>648</v>
      </c>
      <c r="L205" s="6" t="s">
        <v>648</v>
      </c>
      <c r="M205" s="14">
        <v>45875.65347222222</v>
      </c>
      <c r="N205" s="6">
        <v>4578096</v>
      </c>
      <c r="O205" s="6" t="s">
        <v>92</v>
      </c>
      <c r="P205" s="6" t="s">
        <v>453</v>
      </c>
      <c r="Q205" s="6" t="s">
        <v>428</v>
      </c>
      <c r="R205" s="6" t="s">
        <v>428</v>
      </c>
      <c r="S205" s="6" t="s">
        <v>9</v>
      </c>
      <c r="T205" s="6" t="s">
        <v>248</v>
      </c>
      <c r="U205" s="6" t="s">
        <v>185</v>
      </c>
      <c r="V205" s="6" t="s">
        <v>880</v>
      </c>
      <c r="W205" s="6" t="s">
        <v>92</v>
      </c>
      <c r="X205" s="6" t="s">
        <v>92</v>
      </c>
      <c r="Y205" s="6" t="s">
        <v>92</v>
      </c>
      <c r="Z205" s="6" t="s">
        <v>95</v>
      </c>
      <c r="AA205" s="6" t="s">
        <v>92</v>
      </c>
      <c r="AB205" s="6">
        <v>154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 t="s">
        <v>881</v>
      </c>
      <c r="AJ205" s="6" t="s">
        <v>264</v>
      </c>
      <c r="AK205" s="6" t="s">
        <v>13</v>
      </c>
      <c r="AL205" s="6" t="s">
        <v>56</v>
      </c>
      <c r="AM205" s="6" t="s">
        <v>265</v>
      </c>
      <c r="AN205" s="6" t="s">
        <v>22</v>
      </c>
      <c r="AO205" s="6" t="s">
        <v>662</v>
      </c>
      <c r="AP205" s="6" t="s">
        <v>480</v>
      </c>
      <c r="AQ205" s="6" t="s">
        <v>39</v>
      </c>
    </row>
    <row r="206" spans="1:43" hidden="1" x14ac:dyDescent="0.25">
      <c r="A206" s="6">
        <v>22681821</v>
      </c>
      <c r="B206" s="6">
        <v>23486261</v>
      </c>
      <c r="C206" s="6" t="s">
        <v>241</v>
      </c>
      <c r="D206" s="14">
        <v>45873.822870370372</v>
      </c>
      <c r="E206" s="14">
        <v>45874.926064814812</v>
      </c>
      <c r="F206" s="6" t="s">
        <v>21</v>
      </c>
      <c r="G206" s="6" t="s">
        <v>21</v>
      </c>
      <c r="H206" s="6" t="s">
        <v>882</v>
      </c>
      <c r="I206" s="6" t="s">
        <v>13</v>
      </c>
      <c r="J206" s="6" t="s">
        <v>883</v>
      </c>
      <c r="K206" s="6" t="s">
        <v>884</v>
      </c>
      <c r="L206" s="6" t="s">
        <v>884</v>
      </c>
      <c r="M206" s="14">
        <v>45873.813194444447</v>
      </c>
      <c r="N206" s="6">
        <v>4575654</v>
      </c>
      <c r="O206" s="6" t="s">
        <v>92</v>
      </c>
      <c r="P206" s="6" t="s">
        <v>245</v>
      </c>
      <c r="Q206" s="6" t="s">
        <v>428</v>
      </c>
      <c r="R206" s="6" t="s">
        <v>477</v>
      </c>
      <c r="S206" s="6" t="s">
        <v>7</v>
      </c>
      <c r="T206" s="6" t="s">
        <v>248</v>
      </c>
      <c r="U206" s="6" t="s">
        <v>188</v>
      </c>
      <c r="V206" s="6" t="s">
        <v>885</v>
      </c>
      <c r="W206" s="6" t="s">
        <v>92</v>
      </c>
      <c r="X206" s="6" t="s">
        <v>455</v>
      </c>
      <c r="Y206" s="6">
        <v>2142700013</v>
      </c>
      <c r="Z206" s="6" t="s">
        <v>121</v>
      </c>
      <c r="AA206" s="6" t="s">
        <v>92</v>
      </c>
      <c r="AB206" s="6">
        <v>863.09</v>
      </c>
      <c r="AC206" s="6">
        <v>773.91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 t="s">
        <v>886</v>
      </c>
      <c r="AJ206" s="6" t="s">
        <v>436</v>
      </c>
      <c r="AK206" s="6" t="s">
        <v>13</v>
      </c>
      <c r="AL206" s="6" t="s">
        <v>60</v>
      </c>
      <c r="AM206" s="6" t="s">
        <v>437</v>
      </c>
      <c r="AN206" s="6" t="s">
        <v>28</v>
      </c>
      <c r="AO206" s="6" t="s">
        <v>253</v>
      </c>
      <c r="AP206" s="6" t="s">
        <v>480</v>
      </c>
      <c r="AQ206" s="6" t="s">
        <v>43</v>
      </c>
    </row>
    <row r="207" spans="1:43" hidden="1" x14ac:dyDescent="0.25">
      <c r="A207" s="6">
        <v>22702981</v>
      </c>
      <c r="B207" s="6">
        <v>23505100</v>
      </c>
      <c r="C207" s="6" t="s">
        <v>241</v>
      </c>
      <c r="D207" s="14">
        <v>45876.764594907407</v>
      </c>
      <c r="E207" s="14">
        <v>45876.765266203707</v>
      </c>
      <c r="F207" s="6" t="s">
        <v>19</v>
      </c>
      <c r="G207" s="6" t="s">
        <v>19</v>
      </c>
      <c r="H207" s="6" t="s">
        <v>887</v>
      </c>
      <c r="I207" s="6" t="s">
        <v>17</v>
      </c>
      <c r="J207" s="6" t="s">
        <v>888</v>
      </c>
      <c r="K207" s="6" t="s">
        <v>476</v>
      </c>
      <c r="L207" s="6" t="s">
        <v>476</v>
      </c>
      <c r="M207" s="14">
        <v>45876.597222222219</v>
      </c>
      <c r="N207" s="6" t="s">
        <v>887</v>
      </c>
      <c r="O207" s="6" t="s">
        <v>92</v>
      </c>
      <c r="P207" s="6" t="s">
        <v>453</v>
      </c>
      <c r="Q207" s="6" t="s">
        <v>557</v>
      </c>
      <c r="R207" s="6" t="s">
        <v>617</v>
      </c>
      <c r="S207" s="6" t="s">
        <v>7</v>
      </c>
      <c r="T207" s="6" t="s">
        <v>248</v>
      </c>
      <c r="U207" s="6" t="s">
        <v>155</v>
      </c>
      <c r="V207" s="6" t="s">
        <v>889</v>
      </c>
      <c r="W207" s="6" t="s">
        <v>92</v>
      </c>
      <c r="X207" s="6" t="s">
        <v>890</v>
      </c>
      <c r="Y207" s="6">
        <v>2971604109</v>
      </c>
      <c r="Z207" s="6" t="s">
        <v>104</v>
      </c>
      <c r="AA207" s="6" t="s">
        <v>92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456</v>
      </c>
      <c r="AJ207" s="6" t="s">
        <v>891</v>
      </c>
      <c r="AK207" s="6" t="s">
        <v>17</v>
      </c>
      <c r="AL207" s="6" t="s">
        <v>61</v>
      </c>
      <c r="AM207" s="6" t="s">
        <v>67</v>
      </c>
      <c r="AN207" s="6" t="s">
        <v>22</v>
      </c>
      <c r="AO207" s="6" t="s">
        <v>253</v>
      </c>
      <c r="AP207" s="6" t="s">
        <v>254</v>
      </c>
      <c r="AQ207" s="6" t="s">
        <v>41</v>
      </c>
    </row>
    <row r="208" spans="1:43" hidden="1" x14ac:dyDescent="0.25">
      <c r="A208" s="6">
        <v>22699633</v>
      </c>
      <c r="B208" s="6">
        <v>23501906</v>
      </c>
      <c r="C208" s="6" t="s">
        <v>241</v>
      </c>
      <c r="D208" s="14">
        <v>45876.441331018519</v>
      </c>
      <c r="E208" s="14">
        <v>45877.221226851849</v>
      </c>
      <c r="F208" s="6" t="s">
        <v>19</v>
      </c>
      <c r="G208" s="6" t="s">
        <v>19</v>
      </c>
      <c r="H208" s="6" t="s">
        <v>892</v>
      </c>
      <c r="I208" s="6" t="s">
        <v>17</v>
      </c>
      <c r="J208" s="6" t="s">
        <v>893</v>
      </c>
      <c r="K208" s="6" t="s">
        <v>894</v>
      </c>
      <c r="L208" s="6" t="s">
        <v>894</v>
      </c>
      <c r="M208" s="14">
        <v>45876.333333333343</v>
      </c>
      <c r="N208" s="6" t="s">
        <v>895</v>
      </c>
      <c r="O208" s="6" t="s">
        <v>92</v>
      </c>
      <c r="P208" s="6" t="s">
        <v>453</v>
      </c>
      <c r="Q208" s="6" t="s">
        <v>428</v>
      </c>
      <c r="R208" s="6" t="s">
        <v>477</v>
      </c>
      <c r="S208" s="6" t="s">
        <v>7</v>
      </c>
      <c r="T208" s="6" t="s">
        <v>248</v>
      </c>
      <c r="U208" s="6" t="s">
        <v>155</v>
      </c>
      <c r="V208" s="6" t="s">
        <v>896</v>
      </c>
      <c r="W208" s="6" t="s">
        <v>284</v>
      </c>
      <c r="X208" s="6" t="s">
        <v>455</v>
      </c>
      <c r="Y208" s="6">
        <v>7700075060</v>
      </c>
      <c r="Z208" s="6" t="s">
        <v>104</v>
      </c>
      <c r="AA208" s="6" t="s">
        <v>92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19.18</v>
      </c>
      <c r="AI208" s="6" t="s">
        <v>456</v>
      </c>
      <c r="AJ208" s="6" t="s">
        <v>897</v>
      </c>
      <c r="AK208" s="6" t="s">
        <v>17</v>
      </c>
      <c r="AL208" s="6" t="s">
        <v>68</v>
      </c>
      <c r="AM208" s="6" t="s">
        <v>67</v>
      </c>
      <c r="AN208" s="6" t="s">
        <v>22</v>
      </c>
      <c r="AO208" s="6" t="s">
        <v>253</v>
      </c>
      <c r="AP208" s="6" t="s">
        <v>254</v>
      </c>
      <c r="AQ208" s="6" t="s">
        <v>20</v>
      </c>
    </row>
    <row r="209" spans="1:43" hidden="1" x14ac:dyDescent="0.25">
      <c r="A209" s="6">
        <v>22694499</v>
      </c>
      <c r="B209" s="6">
        <v>23497347</v>
      </c>
      <c r="C209" s="6" t="s">
        <v>241</v>
      </c>
      <c r="D209" s="14">
        <v>45875.67083333333</v>
      </c>
      <c r="E209" s="14">
        <v>45876.226736111108</v>
      </c>
      <c r="F209" s="6" t="s">
        <v>19</v>
      </c>
      <c r="G209" s="6" t="s">
        <v>19</v>
      </c>
      <c r="H209" s="6" t="s">
        <v>898</v>
      </c>
      <c r="I209" s="6" t="s">
        <v>17</v>
      </c>
      <c r="J209" s="6" t="s">
        <v>899</v>
      </c>
      <c r="K209" s="6" t="s">
        <v>894</v>
      </c>
      <c r="L209" s="6" t="s">
        <v>894</v>
      </c>
      <c r="M209" s="14">
        <v>45875.539583333331</v>
      </c>
      <c r="N209" s="6" t="s">
        <v>900</v>
      </c>
      <c r="O209" s="6" t="s">
        <v>92</v>
      </c>
      <c r="P209" s="6" t="s">
        <v>453</v>
      </c>
      <c r="Q209" s="6" t="s">
        <v>428</v>
      </c>
      <c r="R209" s="6" t="s">
        <v>477</v>
      </c>
      <c r="S209" s="6" t="s">
        <v>7</v>
      </c>
      <c r="T209" s="6" t="s">
        <v>248</v>
      </c>
      <c r="U209" s="6" t="s">
        <v>155</v>
      </c>
      <c r="V209" s="6" t="s">
        <v>896</v>
      </c>
      <c r="W209" s="6" t="s">
        <v>284</v>
      </c>
      <c r="X209" s="6" t="s">
        <v>455</v>
      </c>
      <c r="Y209" s="6">
        <v>7700074992</v>
      </c>
      <c r="Z209" s="6" t="s">
        <v>104</v>
      </c>
      <c r="AA209" s="6" t="s">
        <v>92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19.29</v>
      </c>
      <c r="AI209" s="6" t="s">
        <v>456</v>
      </c>
      <c r="AJ209" s="6" t="s">
        <v>897</v>
      </c>
      <c r="AK209" s="6" t="s">
        <v>17</v>
      </c>
      <c r="AL209" s="6" t="s">
        <v>68</v>
      </c>
      <c r="AM209" s="6" t="s">
        <v>67</v>
      </c>
      <c r="AN209" s="6" t="s">
        <v>22</v>
      </c>
      <c r="AO209" s="6" t="s">
        <v>253</v>
      </c>
      <c r="AP209" s="6" t="s">
        <v>254</v>
      </c>
      <c r="AQ209" s="6" t="s">
        <v>20</v>
      </c>
    </row>
    <row r="210" spans="1:43" hidden="1" x14ac:dyDescent="0.25">
      <c r="A210" s="6">
        <v>22680532</v>
      </c>
      <c r="B210" s="6">
        <v>23485002</v>
      </c>
      <c r="C210" s="6" t="s">
        <v>241</v>
      </c>
      <c r="D210" s="14">
        <v>45873.755358796298</v>
      </c>
      <c r="E210" s="14">
        <v>45874.315393518518</v>
      </c>
      <c r="F210" s="6" t="s">
        <v>21</v>
      </c>
      <c r="G210" s="6" t="s">
        <v>21</v>
      </c>
      <c r="H210" s="6" t="s">
        <v>901</v>
      </c>
      <c r="I210" s="6" t="s">
        <v>17</v>
      </c>
      <c r="J210" s="6" t="s">
        <v>902</v>
      </c>
      <c r="K210" s="6" t="s">
        <v>894</v>
      </c>
      <c r="L210" s="6" t="s">
        <v>894</v>
      </c>
      <c r="M210" s="14">
        <v>45873.416666666657</v>
      </c>
      <c r="N210" s="6" t="s">
        <v>901</v>
      </c>
      <c r="O210" s="6" t="s">
        <v>92</v>
      </c>
      <c r="P210" s="6" t="s">
        <v>453</v>
      </c>
      <c r="Q210" s="6" t="s">
        <v>428</v>
      </c>
      <c r="R210" s="6" t="s">
        <v>477</v>
      </c>
      <c r="S210" s="6" t="s">
        <v>7</v>
      </c>
      <c r="T210" s="6" t="s">
        <v>248</v>
      </c>
      <c r="U210" s="6" t="s">
        <v>155</v>
      </c>
      <c r="V210" s="6" t="s">
        <v>903</v>
      </c>
      <c r="W210" s="6" t="s">
        <v>284</v>
      </c>
      <c r="X210" s="6" t="s">
        <v>455</v>
      </c>
      <c r="Y210" s="6">
        <v>7700074850</v>
      </c>
      <c r="Z210" s="6" t="s">
        <v>104</v>
      </c>
      <c r="AA210" s="6" t="s">
        <v>92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19.399999999999999</v>
      </c>
      <c r="AI210" s="6" t="s">
        <v>456</v>
      </c>
      <c r="AJ210" s="6" t="s">
        <v>897</v>
      </c>
      <c r="AK210" s="6" t="s">
        <v>17</v>
      </c>
      <c r="AL210" s="6" t="s">
        <v>68</v>
      </c>
      <c r="AM210" s="6" t="s">
        <v>67</v>
      </c>
      <c r="AN210" s="6" t="s">
        <v>22</v>
      </c>
      <c r="AO210" s="6" t="s">
        <v>253</v>
      </c>
      <c r="AP210" s="6" t="s">
        <v>254</v>
      </c>
      <c r="AQ210" s="6" t="s">
        <v>20</v>
      </c>
    </row>
    <row r="211" spans="1:43" hidden="1" x14ac:dyDescent="0.25">
      <c r="A211" s="6">
        <v>22701545</v>
      </c>
      <c r="B211" s="6">
        <v>23503699</v>
      </c>
      <c r="C211" s="6" t="s">
        <v>241</v>
      </c>
      <c r="D211" s="14">
        <v>45876.629710648151</v>
      </c>
      <c r="E211" s="14">
        <v>45877.227824074071</v>
      </c>
      <c r="F211" s="6" t="s">
        <v>19</v>
      </c>
      <c r="G211" s="6" t="s">
        <v>19</v>
      </c>
      <c r="H211" s="6" t="s">
        <v>904</v>
      </c>
      <c r="I211" s="6" t="s">
        <v>17</v>
      </c>
      <c r="J211" s="6" t="s">
        <v>905</v>
      </c>
      <c r="K211" s="6" t="s">
        <v>894</v>
      </c>
      <c r="L211" s="6" t="s">
        <v>894</v>
      </c>
      <c r="M211" s="14">
        <v>45876.486805555563</v>
      </c>
      <c r="N211" s="6" t="s">
        <v>906</v>
      </c>
      <c r="O211" s="6" t="s">
        <v>92</v>
      </c>
      <c r="P211" s="6" t="s">
        <v>453</v>
      </c>
      <c r="Q211" s="6" t="s">
        <v>428</v>
      </c>
      <c r="R211" s="6" t="s">
        <v>477</v>
      </c>
      <c r="S211" s="6" t="s">
        <v>7</v>
      </c>
      <c r="T211" s="6" t="s">
        <v>248</v>
      </c>
      <c r="U211" s="6" t="s">
        <v>155</v>
      </c>
      <c r="V211" s="6" t="s">
        <v>907</v>
      </c>
      <c r="W211" s="6" t="s">
        <v>284</v>
      </c>
      <c r="X211" s="6" t="s">
        <v>420</v>
      </c>
      <c r="Y211" s="6">
        <v>7700075068</v>
      </c>
      <c r="Z211" s="6" t="s">
        <v>104</v>
      </c>
      <c r="AA211" s="6" t="s">
        <v>92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19.18</v>
      </c>
      <c r="AI211" s="6" t="s">
        <v>456</v>
      </c>
      <c r="AJ211" s="6" t="s">
        <v>897</v>
      </c>
      <c r="AK211" s="6" t="s">
        <v>17</v>
      </c>
      <c r="AL211" s="6" t="s">
        <v>68</v>
      </c>
      <c r="AM211" s="6" t="s">
        <v>67</v>
      </c>
      <c r="AN211" s="6" t="s">
        <v>22</v>
      </c>
      <c r="AO211" s="6" t="s">
        <v>253</v>
      </c>
      <c r="AP211" s="6" t="s">
        <v>254</v>
      </c>
      <c r="AQ211" s="6" t="s">
        <v>20</v>
      </c>
    </row>
    <row r="212" spans="1:43" hidden="1" x14ac:dyDescent="0.25">
      <c r="A212" s="6">
        <v>22701473</v>
      </c>
      <c r="B212" s="6">
        <v>23503632</v>
      </c>
      <c r="C212" s="6" t="s">
        <v>241</v>
      </c>
      <c r="D212" s="14">
        <v>45876.616550925923</v>
      </c>
      <c r="E212" s="14">
        <v>45877.227199074077</v>
      </c>
      <c r="F212" s="6" t="s">
        <v>19</v>
      </c>
      <c r="G212" s="6" t="s">
        <v>19</v>
      </c>
      <c r="H212" s="6" t="s">
        <v>908</v>
      </c>
      <c r="I212" s="6" t="s">
        <v>17</v>
      </c>
      <c r="J212" s="6" t="s">
        <v>909</v>
      </c>
      <c r="K212" s="6" t="s">
        <v>910</v>
      </c>
      <c r="L212" s="6" t="s">
        <v>894</v>
      </c>
      <c r="M212" s="14">
        <v>45818</v>
      </c>
      <c r="N212" s="6" t="s">
        <v>908</v>
      </c>
      <c r="O212" s="6" t="s">
        <v>92</v>
      </c>
      <c r="P212" s="6" t="s">
        <v>245</v>
      </c>
      <c r="Q212" s="6" t="s">
        <v>428</v>
      </c>
      <c r="R212" s="6" t="s">
        <v>477</v>
      </c>
      <c r="S212" s="6" t="s">
        <v>7</v>
      </c>
      <c r="T212" s="6" t="s">
        <v>248</v>
      </c>
      <c r="U212" s="6" t="s">
        <v>155</v>
      </c>
      <c r="V212" s="6" t="s">
        <v>907</v>
      </c>
      <c r="W212" s="6" t="s">
        <v>284</v>
      </c>
      <c r="X212" s="6" t="s">
        <v>911</v>
      </c>
      <c r="Y212" s="6">
        <v>5083780000</v>
      </c>
      <c r="Z212" s="6" t="s">
        <v>104</v>
      </c>
      <c r="AA212" s="6" t="s">
        <v>92</v>
      </c>
      <c r="AB212" s="6">
        <v>1158.0999999999999</v>
      </c>
      <c r="AC212" s="6">
        <v>55.65</v>
      </c>
      <c r="AD212" s="6">
        <v>2003.58</v>
      </c>
      <c r="AE212" s="6">
        <v>0</v>
      </c>
      <c r="AF212" s="6">
        <v>55.65</v>
      </c>
      <c r="AG212" s="6">
        <v>0</v>
      </c>
      <c r="AH212" s="6">
        <v>19.52</v>
      </c>
      <c r="AI212" s="6" t="s">
        <v>456</v>
      </c>
      <c r="AJ212" s="6" t="s">
        <v>912</v>
      </c>
      <c r="AK212" s="6" t="s">
        <v>17</v>
      </c>
      <c r="AL212" s="6" t="s">
        <v>62</v>
      </c>
      <c r="AM212" s="6" t="s">
        <v>913</v>
      </c>
      <c r="AN212" s="6" t="s">
        <v>22</v>
      </c>
      <c r="AO212" s="6" t="s">
        <v>253</v>
      </c>
      <c r="AP212" s="6" t="s">
        <v>254</v>
      </c>
      <c r="AQ212" s="6" t="s">
        <v>41</v>
      </c>
    </row>
    <row r="213" spans="1:43" hidden="1" x14ac:dyDescent="0.25">
      <c r="A213" s="6">
        <v>22693732</v>
      </c>
      <c r="B213" s="6">
        <v>23496643</v>
      </c>
      <c r="C213" s="6" t="s">
        <v>241</v>
      </c>
      <c r="D213" s="14">
        <v>45875.562777777777</v>
      </c>
      <c r="E213" s="14">
        <v>45876.224236111113</v>
      </c>
      <c r="F213" s="6" t="s">
        <v>19</v>
      </c>
      <c r="G213" s="6" t="s">
        <v>19</v>
      </c>
      <c r="H213" s="6" t="s">
        <v>914</v>
      </c>
      <c r="I213" s="6" t="s">
        <v>17</v>
      </c>
      <c r="J213" s="6" t="s">
        <v>915</v>
      </c>
      <c r="K213" s="6" t="s">
        <v>916</v>
      </c>
      <c r="L213" s="6" t="s">
        <v>894</v>
      </c>
      <c r="M213" s="14">
        <v>45874.556944444441</v>
      </c>
      <c r="N213" s="6" t="s">
        <v>917</v>
      </c>
      <c r="O213" s="6" t="s">
        <v>92</v>
      </c>
      <c r="P213" s="6" t="s">
        <v>453</v>
      </c>
      <c r="Q213" s="6" t="s">
        <v>557</v>
      </c>
      <c r="R213" s="6" t="s">
        <v>617</v>
      </c>
      <c r="S213" s="6" t="s">
        <v>7</v>
      </c>
      <c r="T213" s="6" t="s">
        <v>248</v>
      </c>
      <c r="U213" s="6" t="s">
        <v>155</v>
      </c>
      <c r="V213" s="6" t="s">
        <v>918</v>
      </c>
      <c r="W213" s="6" t="s">
        <v>284</v>
      </c>
      <c r="X213" s="6" t="s">
        <v>285</v>
      </c>
      <c r="Y213" s="6">
        <v>2971622753</v>
      </c>
      <c r="Z213" s="6" t="s">
        <v>104</v>
      </c>
      <c r="AA213" s="6" t="s">
        <v>92</v>
      </c>
      <c r="AB213" s="6">
        <v>0</v>
      </c>
      <c r="AC213" s="6">
        <v>0</v>
      </c>
      <c r="AD213" s="6">
        <v>450</v>
      </c>
      <c r="AE213" s="6">
        <v>0</v>
      </c>
      <c r="AF213" s="6">
        <v>0</v>
      </c>
      <c r="AG213" s="6">
        <v>0</v>
      </c>
      <c r="AH213" s="6">
        <v>19.29</v>
      </c>
      <c r="AI213" s="6" t="s">
        <v>456</v>
      </c>
      <c r="AJ213" s="6" t="s">
        <v>919</v>
      </c>
      <c r="AK213" s="6" t="s">
        <v>17</v>
      </c>
      <c r="AL213" s="6" t="s">
        <v>57</v>
      </c>
      <c r="AM213" s="6" t="s">
        <v>288</v>
      </c>
      <c r="AN213" s="6" t="s">
        <v>28</v>
      </c>
      <c r="AO213" s="6" t="s">
        <v>253</v>
      </c>
      <c r="AP213" s="6" t="s">
        <v>480</v>
      </c>
      <c r="AQ213" s="6" t="s">
        <v>43</v>
      </c>
    </row>
    <row r="214" spans="1:43" hidden="1" x14ac:dyDescent="0.25">
      <c r="A214" s="6">
        <v>22693732</v>
      </c>
      <c r="B214" s="6">
        <v>23496644</v>
      </c>
      <c r="C214" s="6" t="s">
        <v>255</v>
      </c>
      <c r="D214" s="14">
        <v>45875.562777777777</v>
      </c>
      <c r="E214" s="14">
        <v>45876.224236111113</v>
      </c>
      <c r="F214" s="6" t="s">
        <v>19</v>
      </c>
      <c r="G214" s="6" t="s">
        <v>19</v>
      </c>
      <c r="H214" s="6" t="s">
        <v>914</v>
      </c>
      <c r="I214" s="6" t="s">
        <v>17</v>
      </c>
      <c r="J214" s="6" t="s">
        <v>915</v>
      </c>
      <c r="K214" s="6" t="s">
        <v>916</v>
      </c>
      <c r="L214" s="6" t="s">
        <v>894</v>
      </c>
      <c r="M214" s="14">
        <v>45874.556944444441</v>
      </c>
      <c r="N214" s="6" t="s">
        <v>917</v>
      </c>
      <c r="O214" s="6" t="s">
        <v>92</v>
      </c>
      <c r="P214" s="6" t="s">
        <v>453</v>
      </c>
      <c r="Q214" s="6" t="s">
        <v>428</v>
      </c>
      <c r="R214" s="6" t="s">
        <v>477</v>
      </c>
      <c r="S214" s="6" t="s">
        <v>7</v>
      </c>
      <c r="T214" s="6" t="s">
        <v>248</v>
      </c>
      <c r="U214" s="6" t="s">
        <v>155</v>
      </c>
      <c r="V214" s="6" t="s">
        <v>918</v>
      </c>
      <c r="W214" s="6" t="s">
        <v>284</v>
      </c>
      <c r="X214" s="6" t="s">
        <v>285</v>
      </c>
      <c r="Y214" s="6">
        <v>2971622753</v>
      </c>
      <c r="Z214" s="6" t="s">
        <v>104</v>
      </c>
      <c r="AA214" s="6" t="s">
        <v>92</v>
      </c>
      <c r="AB214" s="6">
        <v>140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19.29</v>
      </c>
      <c r="AI214" s="6" t="s">
        <v>456</v>
      </c>
      <c r="AJ214" s="6" t="s">
        <v>919</v>
      </c>
      <c r="AK214" s="6" t="s">
        <v>17</v>
      </c>
      <c r="AL214" s="6" t="s">
        <v>57</v>
      </c>
      <c r="AM214" s="6" t="s">
        <v>288</v>
      </c>
      <c r="AN214" s="6" t="s">
        <v>28</v>
      </c>
      <c r="AO214" s="6" t="s">
        <v>253</v>
      </c>
      <c r="AP214" s="6" t="s">
        <v>480</v>
      </c>
      <c r="AQ214" s="6" t="s">
        <v>43</v>
      </c>
    </row>
    <row r="215" spans="1:43" hidden="1" x14ac:dyDescent="0.25">
      <c r="A215" s="6">
        <v>22702967</v>
      </c>
      <c r="B215" s="6">
        <v>23505086</v>
      </c>
      <c r="C215" s="6" t="s">
        <v>241</v>
      </c>
      <c r="D215" s="14">
        <v>45876.763958333337</v>
      </c>
      <c r="E215" s="14">
        <v>45877.237708333327</v>
      </c>
      <c r="F215" s="6" t="s">
        <v>19</v>
      </c>
      <c r="G215" s="6" t="s">
        <v>19</v>
      </c>
      <c r="H215" s="6" t="s">
        <v>920</v>
      </c>
      <c r="I215" s="6" t="s">
        <v>17</v>
      </c>
      <c r="J215" s="6" t="s">
        <v>921</v>
      </c>
      <c r="K215" s="6" t="s">
        <v>916</v>
      </c>
      <c r="L215" s="6" t="s">
        <v>894</v>
      </c>
      <c r="M215" s="14">
        <v>45876.443749999999</v>
      </c>
      <c r="N215" s="6" t="s">
        <v>920</v>
      </c>
      <c r="O215" s="6" t="s">
        <v>92</v>
      </c>
      <c r="P215" s="6" t="s">
        <v>453</v>
      </c>
      <c r="Q215" s="6" t="s">
        <v>557</v>
      </c>
      <c r="R215" s="6" t="s">
        <v>617</v>
      </c>
      <c r="S215" s="6" t="s">
        <v>7</v>
      </c>
      <c r="T215" s="6" t="s">
        <v>248</v>
      </c>
      <c r="U215" s="6" t="s">
        <v>155</v>
      </c>
      <c r="V215" s="6" t="s">
        <v>896</v>
      </c>
      <c r="W215" s="6" t="s">
        <v>284</v>
      </c>
      <c r="X215" s="6" t="s">
        <v>285</v>
      </c>
      <c r="Y215" s="6">
        <v>2971622833</v>
      </c>
      <c r="Z215" s="6" t="s">
        <v>104</v>
      </c>
      <c r="AA215" s="6" t="s">
        <v>92</v>
      </c>
      <c r="AB215" s="6">
        <v>0</v>
      </c>
      <c r="AC215" s="6">
        <v>0</v>
      </c>
      <c r="AD215" s="6">
        <v>49.23</v>
      </c>
      <c r="AE215" s="6">
        <v>0</v>
      </c>
      <c r="AF215" s="6">
        <v>49.23</v>
      </c>
      <c r="AG215" s="6">
        <v>0</v>
      </c>
      <c r="AH215" s="6">
        <v>19.18</v>
      </c>
      <c r="AI215" s="6" t="s">
        <v>456</v>
      </c>
      <c r="AJ215" s="6" t="s">
        <v>922</v>
      </c>
      <c r="AK215" s="6" t="s">
        <v>17</v>
      </c>
      <c r="AL215" s="6" t="s">
        <v>57</v>
      </c>
      <c r="AM215" s="6" t="s">
        <v>288</v>
      </c>
      <c r="AN215" s="6" t="s">
        <v>28</v>
      </c>
      <c r="AO215" s="6" t="s">
        <v>253</v>
      </c>
      <c r="AP215" s="6" t="s">
        <v>480</v>
      </c>
      <c r="AQ215" s="6" t="s">
        <v>43</v>
      </c>
    </row>
    <row r="216" spans="1:43" hidden="1" x14ac:dyDescent="0.25">
      <c r="A216" s="6">
        <v>22694722</v>
      </c>
      <c r="B216" s="6">
        <v>23497564</v>
      </c>
      <c r="C216" s="6" t="s">
        <v>241</v>
      </c>
      <c r="D216" s="14">
        <v>45875.697962962957</v>
      </c>
      <c r="E216" s="14">
        <v>45875.698564814818</v>
      </c>
      <c r="F216" s="6" t="s">
        <v>19</v>
      </c>
      <c r="G216" s="6" t="s">
        <v>19</v>
      </c>
      <c r="H216" s="6" t="s">
        <v>923</v>
      </c>
      <c r="I216" s="6" t="s">
        <v>13</v>
      </c>
      <c r="J216" s="6" t="s">
        <v>924</v>
      </c>
      <c r="K216" s="6" t="s">
        <v>648</v>
      </c>
      <c r="L216" s="6" t="s">
        <v>648</v>
      </c>
      <c r="M216" s="14">
        <v>45873.682638888888</v>
      </c>
      <c r="N216" s="6">
        <v>4576868</v>
      </c>
      <c r="O216" s="6" t="s">
        <v>92</v>
      </c>
      <c r="P216" s="6" t="s">
        <v>245</v>
      </c>
      <c r="Q216" s="6" t="s">
        <v>246</v>
      </c>
      <c r="R216" s="6" t="s">
        <v>247</v>
      </c>
      <c r="S216" s="6" t="s">
        <v>9</v>
      </c>
      <c r="T216" s="6" t="s">
        <v>248</v>
      </c>
      <c r="U216" s="6" t="s">
        <v>196</v>
      </c>
      <c r="V216" s="6" t="s">
        <v>925</v>
      </c>
      <c r="W216" s="6" t="s">
        <v>92</v>
      </c>
      <c r="X216" s="6" t="s">
        <v>92</v>
      </c>
      <c r="Y216" s="6" t="s">
        <v>92</v>
      </c>
      <c r="Z216" s="6" t="s">
        <v>129</v>
      </c>
      <c r="AA216" s="6" t="s">
        <v>92</v>
      </c>
      <c r="AB216" s="6">
        <v>2522.4</v>
      </c>
      <c r="AC216" s="6">
        <v>56.88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926</v>
      </c>
      <c r="AJ216" s="6" t="s">
        <v>264</v>
      </c>
      <c r="AK216" s="6" t="s">
        <v>13</v>
      </c>
      <c r="AL216" s="6" t="s">
        <v>56</v>
      </c>
      <c r="AM216" s="6" t="s">
        <v>265</v>
      </c>
      <c r="AN216" s="6" t="s">
        <v>22</v>
      </c>
      <c r="AO216" s="6" t="s">
        <v>662</v>
      </c>
      <c r="AP216" s="6" t="s">
        <v>480</v>
      </c>
      <c r="AQ216" s="6" t="s">
        <v>39</v>
      </c>
    </row>
    <row r="217" spans="1:43" hidden="1" x14ac:dyDescent="0.25">
      <c r="A217" s="6">
        <v>22690026</v>
      </c>
      <c r="B217" s="6">
        <v>23493568</v>
      </c>
      <c r="C217" s="6" t="s">
        <v>241</v>
      </c>
      <c r="D217" s="14">
        <v>45874.961759259262</v>
      </c>
      <c r="E217" s="14">
        <v>45874.962118055562</v>
      </c>
      <c r="F217" s="6" t="s">
        <v>21</v>
      </c>
      <c r="G217" s="6" t="s">
        <v>21</v>
      </c>
      <c r="H217" s="6">
        <v>19455517</v>
      </c>
      <c r="I217" s="6" t="s">
        <v>13</v>
      </c>
      <c r="J217" s="6" t="s">
        <v>927</v>
      </c>
      <c r="K217" s="6" t="s">
        <v>648</v>
      </c>
      <c r="L217" s="6" t="s">
        <v>648</v>
      </c>
      <c r="M217" s="14">
        <v>45874</v>
      </c>
      <c r="N217" s="6">
        <v>4577704</v>
      </c>
      <c r="O217" s="6" t="s">
        <v>92</v>
      </c>
      <c r="P217" s="6" t="s">
        <v>245</v>
      </c>
      <c r="Q217" s="6" t="s">
        <v>659</v>
      </c>
      <c r="R217" s="6" t="s">
        <v>659</v>
      </c>
      <c r="S217" s="6" t="s">
        <v>9</v>
      </c>
      <c r="T217" s="6" t="s">
        <v>248</v>
      </c>
      <c r="U217" s="6" t="s">
        <v>190</v>
      </c>
      <c r="V217" s="6" t="s">
        <v>928</v>
      </c>
      <c r="W217" s="6" t="s">
        <v>284</v>
      </c>
      <c r="X217" s="6" t="s">
        <v>929</v>
      </c>
      <c r="Y217" s="6" t="s">
        <v>92</v>
      </c>
      <c r="Z217" s="6" t="s">
        <v>138</v>
      </c>
      <c r="AA217" s="6" t="s">
        <v>92</v>
      </c>
      <c r="AB217" s="6">
        <v>275</v>
      </c>
      <c r="AC217" s="6">
        <v>0</v>
      </c>
      <c r="AD217" s="6">
        <v>0</v>
      </c>
      <c r="AE217" s="6">
        <v>0</v>
      </c>
      <c r="AF217" s="6">
        <v>0</v>
      </c>
      <c r="AG217" s="6">
        <v>0</v>
      </c>
      <c r="AH217" s="6">
        <v>0</v>
      </c>
      <c r="AI217" s="6" t="s">
        <v>930</v>
      </c>
      <c r="AJ217" s="6" t="s">
        <v>618</v>
      </c>
      <c r="AK217" s="6" t="s">
        <v>13</v>
      </c>
      <c r="AL217" s="6" t="s">
        <v>63</v>
      </c>
      <c r="AM217" s="6" t="s">
        <v>560</v>
      </c>
      <c r="AN217" s="6" t="s">
        <v>22</v>
      </c>
      <c r="AO217" s="6" t="s">
        <v>662</v>
      </c>
      <c r="AP217" s="6" t="s">
        <v>480</v>
      </c>
      <c r="AQ217" s="6" t="s">
        <v>39</v>
      </c>
    </row>
    <row r="218" spans="1:43" hidden="1" x14ac:dyDescent="0.25">
      <c r="A218" s="6">
        <v>22702504</v>
      </c>
      <c r="B218" s="6">
        <v>23504644</v>
      </c>
      <c r="C218" s="6" t="s">
        <v>241</v>
      </c>
      <c r="D218" s="14">
        <v>45876.742951388893</v>
      </c>
      <c r="E218" s="14">
        <v>45876.746018518519</v>
      </c>
      <c r="F218" s="6" t="s">
        <v>19</v>
      </c>
      <c r="G218" s="6" t="s">
        <v>19</v>
      </c>
      <c r="H218" s="6" t="s">
        <v>931</v>
      </c>
      <c r="I218" s="6" t="s">
        <v>17</v>
      </c>
      <c r="J218" s="6" t="s">
        <v>932</v>
      </c>
      <c r="K218" s="6" t="s">
        <v>933</v>
      </c>
      <c r="L218" s="6" t="s">
        <v>933</v>
      </c>
      <c r="M218" s="14">
        <v>45876.402083333327</v>
      </c>
      <c r="N218" s="6" t="s">
        <v>934</v>
      </c>
      <c r="O218" s="6" t="s">
        <v>92</v>
      </c>
      <c r="P218" s="6" t="s">
        <v>453</v>
      </c>
      <c r="Q218" s="6" t="s">
        <v>246</v>
      </c>
      <c r="R218" s="6" t="s">
        <v>247</v>
      </c>
      <c r="S218" s="6" t="s">
        <v>9</v>
      </c>
      <c r="T218" s="6" t="s">
        <v>248</v>
      </c>
      <c r="U218" s="6" t="s">
        <v>116</v>
      </c>
      <c r="V218" s="6" t="s">
        <v>283</v>
      </c>
      <c r="W218" s="6" t="s">
        <v>284</v>
      </c>
      <c r="X218" s="6" t="s">
        <v>935</v>
      </c>
      <c r="Y218" s="6" t="s">
        <v>92</v>
      </c>
      <c r="Z218" s="6" t="s">
        <v>85</v>
      </c>
      <c r="AA218" s="6" t="s">
        <v>92</v>
      </c>
      <c r="AB218" s="6">
        <v>1150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 t="s">
        <v>456</v>
      </c>
      <c r="AJ218" s="6" t="s">
        <v>618</v>
      </c>
      <c r="AK218" s="6" t="s">
        <v>17</v>
      </c>
      <c r="AL218" s="6" t="s">
        <v>63</v>
      </c>
      <c r="AM218" s="6" t="s">
        <v>560</v>
      </c>
      <c r="AN218" s="6" t="s">
        <v>22</v>
      </c>
      <c r="AO218" s="6" t="s">
        <v>253</v>
      </c>
      <c r="AP218" s="6" t="s">
        <v>254</v>
      </c>
      <c r="AQ218" s="6" t="s">
        <v>41</v>
      </c>
    </row>
    <row r="219" spans="1:43" hidden="1" x14ac:dyDescent="0.25">
      <c r="A219" s="6">
        <v>22695511</v>
      </c>
      <c r="B219" s="6">
        <v>23498358</v>
      </c>
      <c r="C219" s="6" t="s">
        <v>241</v>
      </c>
      <c r="D219" s="14">
        <v>45875.76</v>
      </c>
      <c r="E219" s="14">
        <v>45875.762025462973</v>
      </c>
      <c r="F219" s="6" t="s">
        <v>19</v>
      </c>
      <c r="G219" s="6" t="s">
        <v>19</v>
      </c>
      <c r="H219" s="6" t="s">
        <v>936</v>
      </c>
      <c r="I219" s="6" t="s">
        <v>13</v>
      </c>
      <c r="J219" s="6" t="s">
        <v>937</v>
      </c>
      <c r="K219" s="6" t="s">
        <v>648</v>
      </c>
      <c r="L219" s="6" t="s">
        <v>648</v>
      </c>
      <c r="M219" s="14">
        <v>45870.75</v>
      </c>
      <c r="N219" s="6">
        <v>4575525</v>
      </c>
      <c r="O219" s="6" t="s">
        <v>92</v>
      </c>
      <c r="P219" s="6" t="s">
        <v>245</v>
      </c>
      <c r="Q219" s="6" t="s">
        <v>428</v>
      </c>
      <c r="R219" s="6" t="s">
        <v>428</v>
      </c>
      <c r="S219" s="6" t="s">
        <v>7</v>
      </c>
      <c r="T219" s="6" t="s">
        <v>248</v>
      </c>
      <c r="U219" s="6" t="s">
        <v>148</v>
      </c>
      <c r="V219" s="6" t="s">
        <v>938</v>
      </c>
      <c r="W219" s="6" t="s">
        <v>92</v>
      </c>
      <c r="X219" s="6" t="s">
        <v>890</v>
      </c>
      <c r="Y219" s="6">
        <v>2971228101</v>
      </c>
      <c r="Z219" s="6" t="s">
        <v>87</v>
      </c>
      <c r="AA219" s="6" t="s">
        <v>92</v>
      </c>
      <c r="AB219" s="6">
        <v>32068.2582</v>
      </c>
      <c r="AC219" s="6">
        <v>1492.47</v>
      </c>
      <c r="AD219" s="6">
        <v>0</v>
      </c>
      <c r="AE219" s="6">
        <v>0</v>
      </c>
      <c r="AF219" s="6">
        <v>0</v>
      </c>
      <c r="AG219" s="6">
        <v>0</v>
      </c>
      <c r="AH219" s="6">
        <v>0</v>
      </c>
      <c r="AI219" s="6" t="s">
        <v>939</v>
      </c>
      <c r="AJ219" s="6" t="s">
        <v>940</v>
      </c>
      <c r="AK219" s="6" t="s">
        <v>13</v>
      </c>
      <c r="AL219" s="6" t="s">
        <v>57</v>
      </c>
      <c r="AM219" s="6" t="s">
        <v>288</v>
      </c>
      <c r="AN219" s="6" t="s">
        <v>28</v>
      </c>
      <c r="AO219" s="6" t="s">
        <v>253</v>
      </c>
      <c r="AP219" s="6" t="s">
        <v>480</v>
      </c>
      <c r="AQ219" s="6" t="s">
        <v>43</v>
      </c>
    </row>
    <row r="220" spans="1:43" hidden="1" x14ac:dyDescent="0.25">
      <c r="A220" s="6">
        <v>22695721</v>
      </c>
      <c r="B220" s="6">
        <v>23498572</v>
      </c>
      <c r="C220" s="6" t="s">
        <v>241</v>
      </c>
      <c r="D220" s="14">
        <v>45875.766851851848</v>
      </c>
      <c r="E220" s="14">
        <v>45875.769861111112</v>
      </c>
      <c r="F220" s="6" t="s">
        <v>19</v>
      </c>
      <c r="G220" s="6" t="s">
        <v>19</v>
      </c>
      <c r="H220" s="6" t="s">
        <v>941</v>
      </c>
      <c r="I220" s="6" t="s">
        <v>13</v>
      </c>
      <c r="J220" s="6" t="s">
        <v>942</v>
      </c>
      <c r="K220" s="6" t="s">
        <v>648</v>
      </c>
      <c r="L220" s="6" t="s">
        <v>648</v>
      </c>
      <c r="M220" s="14">
        <v>45870.75</v>
      </c>
      <c r="N220" s="6">
        <v>4575483</v>
      </c>
      <c r="O220" s="6" t="s">
        <v>92</v>
      </c>
      <c r="P220" s="6" t="s">
        <v>245</v>
      </c>
      <c r="Q220" s="6" t="s">
        <v>428</v>
      </c>
      <c r="R220" s="6" t="s">
        <v>428</v>
      </c>
      <c r="S220" s="6" t="s">
        <v>7</v>
      </c>
      <c r="T220" s="6" t="s">
        <v>248</v>
      </c>
      <c r="U220" s="6" t="s">
        <v>148</v>
      </c>
      <c r="V220" s="6" t="s">
        <v>938</v>
      </c>
      <c r="W220" s="6" t="s">
        <v>92</v>
      </c>
      <c r="X220" s="6" t="s">
        <v>890</v>
      </c>
      <c r="Y220" s="6">
        <v>2971228100</v>
      </c>
      <c r="Z220" s="6" t="s">
        <v>87</v>
      </c>
      <c r="AA220" s="6" t="s">
        <v>92</v>
      </c>
      <c r="AB220" s="6">
        <v>12428.341200000001</v>
      </c>
      <c r="AC220" s="6">
        <v>1352.38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943</v>
      </c>
      <c r="AJ220" s="6" t="s">
        <v>944</v>
      </c>
      <c r="AK220" s="6" t="s">
        <v>13</v>
      </c>
      <c r="AL220" s="6" t="s">
        <v>57</v>
      </c>
      <c r="AM220" s="6" t="s">
        <v>288</v>
      </c>
      <c r="AN220" s="6" t="s">
        <v>28</v>
      </c>
      <c r="AO220" s="6" t="s">
        <v>253</v>
      </c>
      <c r="AP220" s="6" t="s">
        <v>480</v>
      </c>
      <c r="AQ220" s="6" t="s">
        <v>43</v>
      </c>
    </row>
    <row r="221" spans="1:43" hidden="1" x14ac:dyDescent="0.25">
      <c r="A221" s="6">
        <v>22565297</v>
      </c>
      <c r="B221" s="6">
        <v>23389768</v>
      </c>
      <c r="C221" s="6" t="s">
        <v>241</v>
      </c>
      <c r="D221" s="14">
        <v>45853.544872685183</v>
      </c>
      <c r="E221" s="14">
        <v>45853.545740740738</v>
      </c>
      <c r="F221" s="47" t="s">
        <v>29</v>
      </c>
      <c r="G221" s="47" t="s">
        <v>29</v>
      </c>
      <c r="H221" s="6" t="s">
        <v>945</v>
      </c>
      <c r="I221" s="6" t="s">
        <v>13</v>
      </c>
      <c r="J221" s="6" t="s">
        <v>946</v>
      </c>
      <c r="K221" s="6" t="s">
        <v>947</v>
      </c>
      <c r="L221" s="6" t="s">
        <v>947</v>
      </c>
      <c r="M221" s="14">
        <v>45853.534722222219</v>
      </c>
      <c r="N221" s="6">
        <v>4565213</v>
      </c>
      <c r="O221" s="6" t="s">
        <v>948</v>
      </c>
      <c r="P221" s="6" t="s">
        <v>245</v>
      </c>
      <c r="Q221" s="6" t="s">
        <v>659</v>
      </c>
      <c r="R221" s="6" t="s">
        <v>659</v>
      </c>
      <c r="S221" s="6" t="s">
        <v>8</v>
      </c>
      <c r="T221" s="6" t="s">
        <v>248</v>
      </c>
      <c r="U221" s="6" t="s">
        <v>148</v>
      </c>
      <c r="V221" s="6" t="s">
        <v>949</v>
      </c>
      <c r="W221" s="6" t="s">
        <v>92</v>
      </c>
      <c r="X221" s="6" t="s">
        <v>92</v>
      </c>
      <c r="Y221" s="6" t="s">
        <v>92</v>
      </c>
      <c r="Z221" s="6" t="s">
        <v>87</v>
      </c>
      <c r="AA221" s="6" t="s">
        <v>92</v>
      </c>
      <c r="AB221" s="6">
        <v>276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 t="s">
        <v>950</v>
      </c>
      <c r="AJ221" s="6" t="s">
        <v>264</v>
      </c>
      <c r="AK221" s="6" t="s">
        <v>13</v>
      </c>
      <c r="AL221" s="6" t="s">
        <v>56</v>
      </c>
      <c r="AM221" s="6" t="s">
        <v>265</v>
      </c>
      <c r="AN221" s="6" t="s">
        <v>22</v>
      </c>
      <c r="AO221" s="6" t="s">
        <v>253</v>
      </c>
      <c r="AP221" s="6" t="s">
        <v>254</v>
      </c>
      <c r="AQ221" s="6" t="s">
        <v>20</v>
      </c>
    </row>
    <row r="222" spans="1:43" hidden="1" x14ac:dyDescent="0.25">
      <c r="A222" s="6">
        <v>22679659</v>
      </c>
      <c r="B222" s="6">
        <v>23484113</v>
      </c>
      <c r="C222" s="6" t="s">
        <v>241</v>
      </c>
      <c r="D222" s="14">
        <v>45873.671238425923</v>
      </c>
      <c r="E222" s="14">
        <v>45873.673981481479</v>
      </c>
      <c r="F222" s="6" t="s">
        <v>21</v>
      </c>
      <c r="G222" s="6" t="s">
        <v>21</v>
      </c>
      <c r="H222" s="6" t="s">
        <v>951</v>
      </c>
      <c r="I222" s="6" t="s">
        <v>13</v>
      </c>
      <c r="J222" s="6" t="s">
        <v>937</v>
      </c>
      <c r="K222" s="6" t="s">
        <v>648</v>
      </c>
      <c r="L222" s="6" t="s">
        <v>648</v>
      </c>
      <c r="M222" s="14">
        <v>45873.665972222218</v>
      </c>
      <c r="N222" s="6">
        <v>4575831</v>
      </c>
      <c r="O222" s="6" t="s">
        <v>952</v>
      </c>
      <c r="P222" s="6" t="s">
        <v>245</v>
      </c>
      <c r="Q222" s="6" t="s">
        <v>659</v>
      </c>
      <c r="R222" s="6" t="s">
        <v>659</v>
      </c>
      <c r="S222" s="6" t="s">
        <v>8</v>
      </c>
      <c r="T222" s="6" t="s">
        <v>248</v>
      </c>
      <c r="U222" s="6" t="s">
        <v>148</v>
      </c>
      <c r="V222" s="6" t="s">
        <v>938</v>
      </c>
      <c r="W222" s="6" t="s">
        <v>92</v>
      </c>
      <c r="X222" s="6" t="s">
        <v>92</v>
      </c>
      <c r="Y222" s="6" t="s">
        <v>92</v>
      </c>
      <c r="Z222" s="6" t="s">
        <v>87</v>
      </c>
      <c r="AA222" s="6" t="s">
        <v>92</v>
      </c>
      <c r="AB222" s="6">
        <v>387.8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953</v>
      </c>
      <c r="AJ222" s="6" t="s">
        <v>264</v>
      </c>
      <c r="AK222" s="6" t="s">
        <v>13</v>
      </c>
      <c r="AL222" s="6" t="s">
        <v>56</v>
      </c>
      <c r="AM222" s="6" t="s">
        <v>265</v>
      </c>
      <c r="AN222" s="6" t="s">
        <v>22</v>
      </c>
      <c r="AO222" s="6" t="s">
        <v>253</v>
      </c>
      <c r="AP222" s="6" t="s">
        <v>254</v>
      </c>
      <c r="AQ222" s="6" t="s">
        <v>20</v>
      </c>
    </row>
    <row r="223" spans="1:43" hidden="1" x14ac:dyDescent="0.25">
      <c r="A223" s="6">
        <v>22568247</v>
      </c>
      <c r="B223" s="6">
        <v>23392640</v>
      </c>
      <c r="C223" s="6" t="s">
        <v>241</v>
      </c>
      <c r="D223" s="14">
        <v>45853.815682870372</v>
      </c>
      <c r="E223" s="14">
        <v>45853.816342592603</v>
      </c>
      <c r="F223" s="47" t="s">
        <v>29</v>
      </c>
      <c r="G223" s="47" t="s">
        <v>29</v>
      </c>
      <c r="H223" s="6" t="s">
        <v>954</v>
      </c>
      <c r="I223" s="6" t="s">
        <v>13</v>
      </c>
      <c r="J223" s="6" t="s">
        <v>955</v>
      </c>
      <c r="K223" s="6" t="s">
        <v>648</v>
      </c>
      <c r="L223" s="6" t="s">
        <v>648</v>
      </c>
      <c r="M223" s="14">
        <v>45853.458333333343</v>
      </c>
      <c r="N223" s="6">
        <v>4566694</v>
      </c>
      <c r="O223" s="6" t="s">
        <v>92</v>
      </c>
      <c r="P223" s="6" t="s">
        <v>453</v>
      </c>
      <c r="Q223" s="6" t="s">
        <v>428</v>
      </c>
      <c r="R223" s="6" t="s">
        <v>428</v>
      </c>
      <c r="S223" s="6" t="s">
        <v>9</v>
      </c>
      <c r="T223" s="6" t="s">
        <v>248</v>
      </c>
      <c r="U223" s="6" t="s">
        <v>191</v>
      </c>
      <c r="V223" s="6" t="s">
        <v>956</v>
      </c>
      <c r="W223" s="6" t="s">
        <v>92</v>
      </c>
      <c r="X223" s="6" t="s">
        <v>92</v>
      </c>
      <c r="Y223" s="6" t="s">
        <v>92</v>
      </c>
      <c r="Z223" s="6" t="s">
        <v>87</v>
      </c>
      <c r="AA223" s="6" t="s">
        <v>92</v>
      </c>
      <c r="AB223" s="6">
        <v>568.79999999999995</v>
      </c>
      <c r="AC223" s="6">
        <v>28.44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 t="s">
        <v>957</v>
      </c>
      <c r="AJ223" s="6" t="s">
        <v>264</v>
      </c>
      <c r="AK223" s="6" t="s">
        <v>13</v>
      </c>
      <c r="AL223" s="6" t="s">
        <v>56</v>
      </c>
      <c r="AM223" s="6" t="s">
        <v>265</v>
      </c>
      <c r="AN223" s="6" t="s">
        <v>22</v>
      </c>
      <c r="AO223" s="6" t="s">
        <v>662</v>
      </c>
      <c r="AP223" s="6" t="s">
        <v>480</v>
      </c>
      <c r="AQ223" s="6" t="s">
        <v>39</v>
      </c>
    </row>
    <row r="224" spans="1:43" hidden="1" x14ac:dyDescent="0.25">
      <c r="A224" s="6">
        <v>22684677</v>
      </c>
      <c r="B224" s="6">
        <v>23488514</v>
      </c>
      <c r="C224" s="6" t="s">
        <v>241</v>
      </c>
      <c r="D224" s="14">
        <v>45874.412800925929</v>
      </c>
      <c r="E224" s="14">
        <v>45874.510682870372</v>
      </c>
      <c r="F224" s="6" t="s">
        <v>21</v>
      </c>
      <c r="G224" s="6" t="s">
        <v>21</v>
      </c>
      <c r="H224" s="6">
        <v>3668785</v>
      </c>
      <c r="I224" s="6" t="s">
        <v>13</v>
      </c>
      <c r="J224" s="6" t="s">
        <v>958</v>
      </c>
      <c r="K224" s="6" t="s">
        <v>648</v>
      </c>
      <c r="L224" s="6" t="s">
        <v>648</v>
      </c>
      <c r="M224" s="14">
        <v>45874.458333333343</v>
      </c>
      <c r="N224" s="6">
        <v>4576453</v>
      </c>
      <c r="O224" s="6" t="s">
        <v>92</v>
      </c>
      <c r="P224" s="6" t="s">
        <v>245</v>
      </c>
      <c r="Q224" s="6" t="s">
        <v>428</v>
      </c>
      <c r="R224" s="6" t="s">
        <v>247</v>
      </c>
      <c r="S224" s="6" t="s">
        <v>9</v>
      </c>
      <c r="T224" s="6" t="s">
        <v>248</v>
      </c>
      <c r="U224" s="6" t="s">
        <v>159</v>
      </c>
      <c r="V224" s="6" t="s">
        <v>959</v>
      </c>
      <c r="W224" s="6" t="s">
        <v>92</v>
      </c>
      <c r="X224" s="6" t="s">
        <v>92</v>
      </c>
      <c r="Y224" s="6" t="s">
        <v>92</v>
      </c>
      <c r="Z224" s="6" t="s">
        <v>115</v>
      </c>
      <c r="AA224" s="6" t="s">
        <v>92</v>
      </c>
      <c r="AB224" s="6">
        <v>488</v>
      </c>
      <c r="AC224" s="6">
        <v>0</v>
      </c>
      <c r="AD224" s="6">
        <v>0</v>
      </c>
      <c r="AE224" s="6">
        <v>0</v>
      </c>
      <c r="AF224" s="6">
        <v>0</v>
      </c>
      <c r="AG224" s="6">
        <v>0</v>
      </c>
      <c r="AH224" s="6">
        <v>0</v>
      </c>
      <c r="AI224" s="6" t="s">
        <v>960</v>
      </c>
      <c r="AJ224" s="6" t="s">
        <v>264</v>
      </c>
      <c r="AK224" s="6" t="s">
        <v>13</v>
      </c>
      <c r="AL224" s="6" t="s">
        <v>56</v>
      </c>
      <c r="AM224" s="6" t="s">
        <v>265</v>
      </c>
      <c r="AN224" s="6" t="s">
        <v>22</v>
      </c>
      <c r="AO224" s="6" t="s">
        <v>662</v>
      </c>
      <c r="AP224" s="6" t="s">
        <v>480</v>
      </c>
      <c r="AQ224" s="6" t="s">
        <v>39</v>
      </c>
    </row>
    <row r="225" spans="1:43" hidden="1" x14ac:dyDescent="0.25">
      <c r="A225" s="6">
        <v>22691979</v>
      </c>
      <c r="B225" s="6">
        <v>23494989</v>
      </c>
      <c r="C225" s="6" t="s">
        <v>241</v>
      </c>
      <c r="D225" s="14">
        <v>45875.399965277778</v>
      </c>
      <c r="E225" s="14">
        <v>45875.408796296288</v>
      </c>
      <c r="F225" s="6" t="s">
        <v>19</v>
      </c>
      <c r="G225" s="6" t="s">
        <v>19</v>
      </c>
      <c r="H225" s="6" t="s">
        <v>961</v>
      </c>
      <c r="I225" s="6" t="s">
        <v>13</v>
      </c>
      <c r="J225" s="6" t="s">
        <v>962</v>
      </c>
      <c r="K225" s="6" t="s">
        <v>884</v>
      </c>
      <c r="L225" s="6" t="s">
        <v>884</v>
      </c>
      <c r="M225" s="14">
        <v>45875.390972222223</v>
      </c>
      <c r="N225" s="6">
        <v>4575477</v>
      </c>
      <c r="O225" s="6" t="s">
        <v>92</v>
      </c>
      <c r="P225" s="6" t="s">
        <v>245</v>
      </c>
      <c r="Q225" s="6" t="s">
        <v>428</v>
      </c>
      <c r="R225" s="6" t="s">
        <v>477</v>
      </c>
      <c r="S225" s="6" t="s">
        <v>7</v>
      </c>
      <c r="T225" s="6" t="s">
        <v>248</v>
      </c>
      <c r="U225" s="6" t="s">
        <v>159</v>
      </c>
      <c r="V225" s="6" t="s">
        <v>959</v>
      </c>
      <c r="W225" s="6" t="s">
        <v>92</v>
      </c>
      <c r="X225" s="6" t="s">
        <v>285</v>
      </c>
      <c r="Y225" s="6">
        <v>2971624552</v>
      </c>
      <c r="Z225" s="6" t="s">
        <v>115</v>
      </c>
      <c r="AA225" s="6" t="s">
        <v>92</v>
      </c>
      <c r="AB225" s="6">
        <v>699.82</v>
      </c>
      <c r="AC225" s="6">
        <v>284.11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 t="s">
        <v>963</v>
      </c>
      <c r="AJ225" s="6" t="s">
        <v>436</v>
      </c>
      <c r="AK225" s="6" t="s">
        <v>13</v>
      </c>
      <c r="AL225" s="6" t="s">
        <v>60</v>
      </c>
      <c r="AM225" s="6" t="s">
        <v>437</v>
      </c>
      <c r="AN225" s="6" t="s">
        <v>28</v>
      </c>
      <c r="AO225" s="6" t="s">
        <v>253</v>
      </c>
      <c r="AP225" s="6" t="s">
        <v>480</v>
      </c>
      <c r="AQ225" s="6" t="s">
        <v>43</v>
      </c>
    </row>
    <row r="226" spans="1:43" hidden="1" x14ac:dyDescent="0.25">
      <c r="A226" s="6">
        <v>22574376</v>
      </c>
      <c r="B226" s="6">
        <v>23397987</v>
      </c>
      <c r="C226" s="6" t="s">
        <v>241</v>
      </c>
      <c r="D226" s="14">
        <v>45854.780798611107</v>
      </c>
      <c r="E226" s="14">
        <v>45854.781666666669</v>
      </c>
      <c r="F226" s="47" t="s">
        <v>27</v>
      </c>
      <c r="G226" s="47" t="s">
        <v>27</v>
      </c>
      <c r="H226" s="6" t="s">
        <v>964</v>
      </c>
      <c r="I226" s="6" t="s">
        <v>13</v>
      </c>
      <c r="J226" s="6" t="s">
        <v>965</v>
      </c>
      <c r="K226" s="6" t="s">
        <v>966</v>
      </c>
      <c r="L226" s="6" t="s">
        <v>966</v>
      </c>
      <c r="M226" s="14">
        <v>45854.777083333327</v>
      </c>
      <c r="N226" s="6">
        <v>4564042</v>
      </c>
      <c r="O226" s="6" t="s">
        <v>967</v>
      </c>
      <c r="P226" s="6" t="s">
        <v>245</v>
      </c>
      <c r="Q226" s="6" t="s">
        <v>246</v>
      </c>
      <c r="R226" s="6" t="s">
        <v>247</v>
      </c>
      <c r="S226" s="6" t="s">
        <v>8</v>
      </c>
      <c r="T226" s="6" t="s">
        <v>248</v>
      </c>
      <c r="U226" s="6" t="s">
        <v>159</v>
      </c>
      <c r="V226" s="6" t="s">
        <v>959</v>
      </c>
      <c r="W226" s="6" t="s">
        <v>92</v>
      </c>
      <c r="X226" s="6" t="s">
        <v>92</v>
      </c>
      <c r="Y226" s="6" t="s">
        <v>92</v>
      </c>
      <c r="Z226" s="6" t="s">
        <v>115</v>
      </c>
      <c r="AA226" s="6" t="s">
        <v>92</v>
      </c>
      <c r="AB226" s="6">
        <v>1530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968</v>
      </c>
      <c r="AJ226" s="6" t="s">
        <v>264</v>
      </c>
      <c r="AK226" s="6" t="s">
        <v>13</v>
      </c>
      <c r="AL226" s="6" t="s">
        <v>56</v>
      </c>
      <c r="AM226" s="6" t="s">
        <v>265</v>
      </c>
      <c r="AN226" s="6" t="s">
        <v>22</v>
      </c>
      <c r="AO226" s="6" t="s">
        <v>253</v>
      </c>
      <c r="AP226" s="6" t="s">
        <v>254</v>
      </c>
      <c r="AQ226" s="6" t="s">
        <v>20</v>
      </c>
    </row>
    <row r="227" spans="1:43" hidden="1" x14ac:dyDescent="0.25">
      <c r="A227" s="6">
        <v>22701789</v>
      </c>
      <c r="B227" s="6">
        <v>23503939</v>
      </c>
      <c r="C227" s="6" t="s">
        <v>241</v>
      </c>
      <c r="D227" s="14">
        <v>45876.663831018523</v>
      </c>
      <c r="E227" s="14">
        <v>45876.667604166672</v>
      </c>
      <c r="F227" s="6" t="s">
        <v>19</v>
      </c>
      <c r="G227" s="6" t="s">
        <v>19</v>
      </c>
      <c r="H227" s="6">
        <v>19485556</v>
      </c>
      <c r="I227" s="6" t="s">
        <v>13</v>
      </c>
      <c r="J227" s="6" t="s">
        <v>969</v>
      </c>
      <c r="K227" s="6" t="s">
        <v>970</v>
      </c>
      <c r="L227" s="6" t="s">
        <v>970</v>
      </c>
      <c r="M227" s="14">
        <v>45876</v>
      </c>
      <c r="N227" s="6">
        <v>4578645</v>
      </c>
      <c r="O227" s="6" t="s">
        <v>92</v>
      </c>
      <c r="P227" s="6" t="s">
        <v>245</v>
      </c>
      <c r="Q227" s="6" t="s">
        <v>246</v>
      </c>
      <c r="R227" s="6" t="s">
        <v>247</v>
      </c>
      <c r="S227" s="6" t="s">
        <v>9</v>
      </c>
      <c r="T227" s="6" t="s">
        <v>248</v>
      </c>
      <c r="U227" s="6" t="s">
        <v>971</v>
      </c>
      <c r="V227" s="6" t="s">
        <v>972</v>
      </c>
      <c r="W227" s="6" t="s">
        <v>92</v>
      </c>
      <c r="X227" s="6" t="s">
        <v>973</v>
      </c>
      <c r="Y227" s="6" t="s">
        <v>92</v>
      </c>
      <c r="Z227" s="6" t="s">
        <v>974</v>
      </c>
      <c r="AA227" s="6" t="s">
        <v>92</v>
      </c>
      <c r="AB227" s="6">
        <v>720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975</v>
      </c>
      <c r="AJ227" s="6" t="s">
        <v>618</v>
      </c>
      <c r="AK227" s="6" t="s">
        <v>13</v>
      </c>
      <c r="AL227" s="6" t="s">
        <v>63</v>
      </c>
      <c r="AM227" s="6" t="s">
        <v>560</v>
      </c>
      <c r="AN227" s="6" t="s">
        <v>22</v>
      </c>
      <c r="AO227" s="6" t="s">
        <v>253</v>
      </c>
      <c r="AP227" s="6" t="s">
        <v>254</v>
      </c>
      <c r="AQ227" s="6" t="s">
        <v>45</v>
      </c>
    </row>
    <row r="228" spans="1:43" hidden="1" x14ac:dyDescent="0.25">
      <c r="A228" s="6">
        <v>22703849</v>
      </c>
      <c r="B228" s="6">
        <v>23505931</v>
      </c>
      <c r="C228" s="6" t="s">
        <v>241</v>
      </c>
      <c r="D228" s="14">
        <v>45876.801932870367</v>
      </c>
      <c r="E228" s="14">
        <v>45877.003831018519</v>
      </c>
      <c r="F228" s="6" t="s">
        <v>19</v>
      </c>
      <c r="G228" s="6" t="s">
        <v>19</v>
      </c>
      <c r="H228" s="6">
        <v>4357594324581</v>
      </c>
      <c r="I228" s="6" t="s">
        <v>13</v>
      </c>
      <c r="J228" s="6" t="s">
        <v>976</v>
      </c>
      <c r="K228" s="6" t="s">
        <v>966</v>
      </c>
      <c r="L228" s="6" t="s">
        <v>966</v>
      </c>
      <c r="M228" s="14">
        <v>45876.792361111111</v>
      </c>
      <c r="N228" s="6">
        <v>4578150</v>
      </c>
      <c r="O228" s="6" t="s">
        <v>92</v>
      </c>
      <c r="P228" s="6" t="s">
        <v>245</v>
      </c>
      <c r="Q228" s="6" t="s">
        <v>246</v>
      </c>
      <c r="R228" s="6" t="s">
        <v>247</v>
      </c>
      <c r="S228" s="6" t="s">
        <v>9</v>
      </c>
      <c r="T228" s="6" t="s">
        <v>248</v>
      </c>
      <c r="U228" s="6" t="s">
        <v>977</v>
      </c>
      <c r="V228" s="6" t="s">
        <v>978</v>
      </c>
      <c r="W228" s="6" t="s">
        <v>92</v>
      </c>
      <c r="X228" s="6" t="s">
        <v>92</v>
      </c>
      <c r="Y228" s="6" t="s">
        <v>92</v>
      </c>
      <c r="Z228" s="6" t="s">
        <v>979</v>
      </c>
      <c r="AA228" s="6" t="s">
        <v>92</v>
      </c>
      <c r="AB228" s="6">
        <v>524</v>
      </c>
      <c r="AC228" s="6">
        <v>270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980</v>
      </c>
      <c r="AJ228" s="6" t="s">
        <v>264</v>
      </c>
      <c r="AK228" s="6" t="s">
        <v>13</v>
      </c>
      <c r="AL228" s="6" t="s">
        <v>56</v>
      </c>
      <c r="AM228" s="6" t="s">
        <v>265</v>
      </c>
      <c r="AN228" s="6" t="s">
        <v>22</v>
      </c>
      <c r="AO228" s="6" t="s">
        <v>662</v>
      </c>
      <c r="AP228" s="6" t="s">
        <v>480</v>
      </c>
      <c r="AQ228" s="6" t="s">
        <v>39</v>
      </c>
    </row>
    <row r="229" spans="1:43" hidden="1" x14ac:dyDescent="0.25">
      <c r="A229" s="6">
        <v>22703850</v>
      </c>
      <c r="B229" s="6">
        <v>23505932</v>
      </c>
      <c r="C229" s="6" t="s">
        <v>241</v>
      </c>
      <c r="D229" s="14">
        <v>45876.801944444444</v>
      </c>
      <c r="E229" s="14">
        <v>45877.003831018519</v>
      </c>
      <c r="F229" s="6" t="s">
        <v>19</v>
      </c>
      <c r="G229" s="6" t="s">
        <v>19</v>
      </c>
      <c r="H229" s="6">
        <v>8789411810486</v>
      </c>
      <c r="I229" s="6" t="s">
        <v>13</v>
      </c>
      <c r="J229" s="6" t="s">
        <v>981</v>
      </c>
      <c r="K229" s="6" t="s">
        <v>966</v>
      </c>
      <c r="L229" s="6" t="s">
        <v>966</v>
      </c>
      <c r="M229" s="14">
        <v>45876.792361111111</v>
      </c>
      <c r="N229" s="6">
        <v>4578150</v>
      </c>
      <c r="O229" s="6" t="s">
        <v>92</v>
      </c>
      <c r="P229" s="6" t="s">
        <v>245</v>
      </c>
      <c r="Q229" s="6" t="s">
        <v>246</v>
      </c>
      <c r="R229" s="6" t="s">
        <v>247</v>
      </c>
      <c r="S229" s="6" t="s">
        <v>9</v>
      </c>
      <c r="T229" s="6" t="s">
        <v>248</v>
      </c>
      <c r="U229" s="6" t="s">
        <v>977</v>
      </c>
      <c r="V229" s="6" t="s">
        <v>978</v>
      </c>
      <c r="W229" s="6" t="s">
        <v>92</v>
      </c>
      <c r="X229" s="6" t="s">
        <v>92</v>
      </c>
      <c r="Y229" s="6" t="s">
        <v>92</v>
      </c>
      <c r="Z229" s="6" t="s">
        <v>979</v>
      </c>
      <c r="AA229" s="6" t="s">
        <v>92</v>
      </c>
      <c r="AB229" s="6">
        <v>524</v>
      </c>
      <c r="AC229" s="6">
        <v>270</v>
      </c>
      <c r="AD229" s="6">
        <v>0</v>
      </c>
      <c r="AE229" s="6">
        <v>0</v>
      </c>
      <c r="AF229" s="6">
        <v>0</v>
      </c>
      <c r="AG229" s="6">
        <v>0</v>
      </c>
      <c r="AH229" s="6">
        <v>0</v>
      </c>
      <c r="AI229" s="6" t="s">
        <v>980</v>
      </c>
      <c r="AJ229" s="6" t="s">
        <v>264</v>
      </c>
      <c r="AK229" s="6" t="s">
        <v>13</v>
      </c>
      <c r="AL229" s="6" t="s">
        <v>56</v>
      </c>
      <c r="AM229" s="6" t="s">
        <v>265</v>
      </c>
      <c r="AN229" s="6" t="s">
        <v>22</v>
      </c>
      <c r="AO229" s="6" t="s">
        <v>662</v>
      </c>
      <c r="AP229" s="6" t="s">
        <v>480</v>
      </c>
      <c r="AQ229" s="6" t="s">
        <v>39</v>
      </c>
    </row>
    <row r="230" spans="1:43" hidden="1" x14ac:dyDescent="0.25">
      <c r="A230" s="6">
        <v>22688189</v>
      </c>
      <c r="B230" s="6">
        <v>23491831</v>
      </c>
      <c r="C230" s="6" t="s">
        <v>241</v>
      </c>
      <c r="D230" s="14">
        <v>45874.761921296304</v>
      </c>
      <c r="E230" s="14">
        <v>45874.793807870366</v>
      </c>
      <c r="F230" s="6" t="s">
        <v>21</v>
      </c>
      <c r="G230" s="6" t="s">
        <v>21</v>
      </c>
      <c r="H230" s="6" t="s">
        <v>982</v>
      </c>
      <c r="I230" s="6" t="s">
        <v>259</v>
      </c>
      <c r="J230" s="6" t="s">
        <v>983</v>
      </c>
      <c r="K230" s="6" t="s">
        <v>665</v>
      </c>
      <c r="L230" s="6" t="s">
        <v>665</v>
      </c>
      <c r="M230" s="14">
        <v>45874.642361111109</v>
      </c>
      <c r="N230" s="6">
        <v>65394</v>
      </c>
      <c r="O230" s="6" t="s">
        <v>92</v>
      </c>
      <c r="P230" s="6" t="s">
        <v>245</v>
      </c>
      <c r="Q230" s="6" t="s">
        <v>428</v>
      </c>
      <c r="R230" s="6" t="s">
        <v>428</v>
      </c>
      <c r="S230" s="6" t="s">
        <v>9</v>
      </c>
      <c r="T230" s="6" t="s">
        <v>248</v>
      </c>
      <c r="U230" s="6" t="s">
        <v>154</v>
      </c>
      <c r="V230" s="6" t="s">
        <v>984</v>
      </c>
      <c r="W230" s="6" t="s">
        <v>92</v>
      </c>
      <c r="X230" s="6" t="s">
        <v>92</v>
      </c>
      <c r="Y230" s="6" t="s">
        <v>92</v>
      </c>
      <c r="Z230" s="6" t="s">
        <v>101</v>
      </c>
      <c r="AA230" s="6" t="s">
        <v>92</v>
      </c>
      <c r="AB230" s="6">
        <v>125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 t="s">
        <v>985</v>
      </c>
      <c r="AJ230" s="6" t="s">
        <v>264</v>
      </c>
      <c r="AK230" s="6" t="s">
        <v>12</v>
      </c>
      <c r="AL230" s="6" t="s">
        <v>56</v>
      </c>
      <c r="AM230" s="6" t="s">
        <v>265</v>
      </c>
      <c r="AN230" s="6" t="s">
        <v>22</v>
      </c>
      <c r="AO230" s="6" t="s">
        <v>253</v>
      </c>
      <c r="AP230" s="6" t="s">
        <v>254</v>
      </c>
      <c r="AQ230" s="6" t="s">
        <v>20</v>
      </c>
    </row>
    <row r="231" spans="1:43" hidden="1" x14ac:dyDescent="0.25">
      <c r="A231" s="6">
        <v>22688193</v>
      </c>
      <c r="B231" s="6">
        <v>23491835</v>
      </c>
      <c r="C231" s="6" t="s">
        <v>241</v>
      </c>
      <c r="D231" s="14">
        <v>45874.761979166673</v>
      </c>
      <c r="E231" s="14">
        <v>45874.793807870366</v>
      </c>
      <c r="F231" s="6" t="s">
        <v>21</v>
      </c>
      <c r="G231" s="6" t="s">
        <v>21</v>
      </c>
      <c r="H231" s="6" t="s">
        <v>986</v>
      </c>
      <c r="I231" s="6" t="s">
        <v>259</v>
      </c>
      <c r="J231" s="6" t="s">
        <v>987</v>
      </c>
      <c r="K231" s="6" t="s">
        <v>665</v>
      </c>
      <c r="L231" s="6" t="s">
        <v>665</v>
      </c>
      <c r="M231" s="14">
        <v>45874.63958333333</v>
      </c>
      <c r="N231" s="6">
        <v>64750</v>
      </c>
      <c r="O231" s="6" t="s">
        <v>92</v>
      </c>
      <c r="P231" s="6" t="s">
        <v>245</v>
      </c>
      <c r="Q231" s="6" t="s">
        <v>428</v>
      </c>
      <c r="R231" s="6" t="s">
        <v>428</v>
      </c>
      <c r="S231" s="6" t="s">
        <v>9</v>
      </c>
      <c r="T231" s="6" t="s">
        <v>248</v>
      </c>
      <c r="U231" s="6" t="s">
        <v>154</v>
      </c>
      <c r="V231" s="6" t="s">
        <v>984</v>
      </c>
      <c r="W231" s="6" t="s">
        <v>92</v>
      </c>
      <c r="X231" s="6" t="s">
        <v>92</v>
      </c>
      <c r="Y231" s="6" t="s">
        <v>92</v>
      </c>
      <c r="Z231" s="6" t="s">
        <v>101</v>
      </c>
      <c r="AA231" s="6" t="s">
        <v>92</v>
      </c>
      <c r="AB231" s="6">
        <v>215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988</v>
      </c>
      <c r="AJ231" s="6" t="s">
        <v>264</v>
      </c>
      <c r="AK231" s="6" t="s">
        <v>12</v>
      </c>
      <c r="AL231" s="6" t="s">
        <v>56</v>
      </c>
      <c r="AM231" s="6" t="s">
        <v>265</v>
      </c>
      <c r="AN231" s="6" t="s">
        <v>22</v>
      </c>
      <c r="AO231" s="6" t="s">
        <v>253</v>
      </c>
      <c r="AP231" s="6" t="s">
        <v>254</v>
      </c>
      <c r="AQ231" s="6" t="s">
        <v>20</v>
      </c>
    </row>
    <row r="232" spans="1:43" x14ac:dyDescent="0.25">
      <c r="A232" s="6">
        <v>22688196</v>
      </c>
      <c r="B232" s="6">
        <v>23491839</v>
      </c>
      <c r="C232" s="6" t="s">
        <v>241</v>
      </c>
      <c r="D232" s="14">
        <v>45874.762141203697</v>
      </c>
      <c r="E232" s="14">
        <v>45874.793958333343</v>
      </c>
      <c r="F232" s="6" t="s">
        <v>21</v>
      </c>
      <c r="G232" s="6" t="s">
        <v>21</v>
      </c>
      <c r="H232" s="6" t="s">
        <v>989</v>
      </c>
      <c r="I232" s="6" t="s">
        <v>259</v>
      </c>
      <c r="J232" s="6" t="s">
        <v>990</v>
      </c>
      <c r="K232" s="6" t="s">
        <v>665</v>
      </c>
      <c r="L232" s="6" t="s">
        <v>665</v>
      </c>
      <c r="M232" s="14">
        <v>45874.631249999999</v>
      </c>
      <c r="N232" s="6">
        <v>60403</v>
      </c>
      <c r="O232" s="6" t="s">
        <v>92</v>
      </c>
      <c r="P232" s="6" t="s">
        <v>245</v>
      </c>
      <c r="Q232" s="6" t="s">
        <v>428</v>
      </c>
      <c r="R232" s="6" t="s">
        <v>428</v>
      </c>
      <c r="S232" s="6" t="s">
        <v>9</v>
      </c>
      <c r="T232" s="6" t="s">
        <v>248</v>
      </c>
      <c r="U232" s="6" t="s">
        <v>154</v>
      </c>
      <c r="V232" s="6" t="s">
        <v>991</v>
      </c>
      <c r="W232" s="6" t="s">
        <v>92</v>
      </c>
      <c r="X232" s="6" t="s">
        <v>92</v>
      </c>
      <c r="Y232" s="6" t="s">
        <v>92</v>
      </c>
      <c r="Z232" s="6" t="s">
        <v>101</v>
      </c>
      <c r="AA232" s="6" t="s">
        <v>92</v>
      </c>
      <c r="AB232" s="6">
        <v>249.9</v>
      </c>
      <c r="AC232" s="6">
        <v>0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992</v>
      </c>
      <c r="AJ232" s="6" t="s">
        <v>264</v>
      </c>
      <c r="AK232" s="6" t="s">
        <v>12</v>
      </c>
      <c r="AL232" s="6" t="s">
        <v>56</v>
      </c>
      <c r="AM232" s="6" t="s">
        <v>265</v>
      </c>
      <c r="AN232" s="6" t="s">
        <v>22</v>
      </c>
      <c r="AO232" s="6" t="s">
        <v>253</v>
      </c>
      <c r="AP232" s="6" t="s">
        <v>254</v>
      </c>
      <c r="AQ232" s="6" t="s">
        <v>20</v>
      </c>
    </row>
    <row r="233" spans="1:43" x14ac:dyDescent="0.25">
      <c r="A233" s="6">
        <v>22688197</v>
      </c>
      <c r="B233" s="6">
        <v>23491840</v>
      </c>
      <c r="C233" s="6" t="s">
        <v>241</v>
      </c>
      <c r="D233" s="14">
        <v>45874.762199074074</v>
      </c>
      <c r="E233" s="14">
        <v>45874.793969907398</v>
      </c>
      <c r="F233" s="6" t="s">
        <v>21</v>
      </c>
      <c r="G233" s="6" t="s">
        <v>21</v>
      </c>
      <c r="H233" s="6" t="s">
        <v>993</v>
      </c>
      <c r="I233" s="6" t="s">
        <v>259</v>
      </c>
      <c r="J233" s="6" t="s">
        <v>990</v>
      </c>
      <c r="K233" s="6" t="s">
        <v>665</v>
      </c>
      <c r="L233" s="6" t="s">
        <v>665</v>
      </c>
      <c r="M233" s="14">
        <v>45874.62777777778</v>
      </c>
      <c r="N233" s="6">
        <v>58141</v>
      </c>
      <c r="O233" s="6" t="s">
        <v>92</v>
      </c>
      <c r="P233" s="6" t="s">
        <v>245</v>
      </c>
      <c r="Q233" s="6" t="s">
        <v>428</v>
      </c>
      <c r="R233" s="6" t="s">
        <v>428</v>
      </c>
      <c r="S233" s="6" t="s">
        <v>9</v>
      </c>
      <c r="T233" s="6" t="s">
        <v>248</v>
      </c>
      <c r="U233" s="6" t="s">
        <v>154</v>
      </c>
      <c r="V233" s="6" t="s">
        <v>991</v>
      </c>
      <c r="W233" s="6" t="s">
        <v>92</v>
      </c>
      <c r="X233" s="6" t="s">
        <v>92</v>
      </c>
      <c r="Y233" s="6" t="s">
        <v>92</v>
      </c>
      <c r="Z233" s="6" t="s">
        <v>101</v>
      </c>
      <c r="AA233" s="6" t="s">
        <v>92</v>
      </c>
      <c r="AB233" s="6">
        <v>249.9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994</v>
      </c>
      <c r="AJ233" s="6" t="s">
        <v>264</v>
      </c>
      <c r="AK233" s="6" t="s">
        <v>12</v>
      </c>
      <c r="AL233" s="6" t="s">
        <v>56</v>
      </c>
      <c r="AM233" s="6" t="s">
        <v>265</v>
      </c>
      <c r="AN233" s="6" t="s">
        <v>22</v>
      </c>
      <c r="AO233" s="6" t="s">
        <v>253</v>
      </c>
      <c r="AP233" s="6" t="s">
        <v>254</v>
      </c>
      <c r="AQ233" s="6" t="s">
        <v>20</v>
      </c>
    </row>
    <row r="234" spans="1:43" hidden="1" x14ac:dyDescent="0.25">
      <c r="A234" s="6">
        <v>22678703</v>
      </c>
      <c r="B234" s="6">
        <v>23483265</v>
      </c>
      <c r="C234" s="6" t="s">
        <v>241</v>
      </c>
      <c r="D234" s="14">
        <v>45873.530069444438</v>
      </c>
      <c r="E234" s="14">
        <v>45873.566921296297</v>
      </c>
      <c r="F234" s="6" t="s">
        <v>21</v>
      </c>
      <c r="G234" s="6" t="s">
        <v>21</v>
      </c>
      <c r="H234" s="6" t="s">
        <v>995</v>
      </c>
      <c r="I234" s="6" t="s">
        <v>259</v>
      </c>
      <c r="J234" s="6" t="s">
        <v>996</v>
      </c>
      <c r="K234" s="6" t="s">
        <v>665</v>
      </c>
      <c r="L234" s="6" t="s">
        <v>665</v>
      </c>
      <c r="M234" s="14">
        <v>45873.491666666669</v>
      </c>
      <c r="N234" s="6">
        <v>10128</v>
      </c>
      <c r="O234" s="6" t="s">
        <v>92</v>
      </c>
      <c r="P234" s="6" t="s">
        <v>453</v>
      </c>
      <c r="Q234" s="6" t="s">
        <v>428</v>
      </c>
      <c r="R234" s="6" t="s">
        <v>428</v>
      </c>
      <c r="S234" s="6" t="s">
        <v>9</v>
      </c>
      <c r="T234" s="6" t="s">
        <v>248</v>
      </c>
      <c r="U234" s="6" t="s">
        <v>133</v>
      </c>
      <c r="V234" s="6" t="s">
        <v>997</v>
      </c>
      <c r="W234" s="6" t="s">
        <v>92</v>
      </c>
      <c r="X234" s="6" t="s">
        <v>92</v>
      </c>
      <c r="Y234" s="6" t="s">
        <v>92</v>
      </c>
      <c r="Z234" s="6" t="s">
        <v>81</v>
      </c>
      <c r="AA234" s="6" t="s">
        <v>92</v>
      </c>
      <c r="AB234" s="6">
        <v>1312.1901</v>
      </c>
      <c r="AC234" s="6">
        <v>0</v>
      </c>
      <c r="AD234" s="6">
        <v>0</v>
      </c>
      <c r="AE234" s="6">
        <v>0</v>
      </c>
      <c r="AF234" s="6">
        <v>0</v>
      </c>
      <c r="AG234" s="6">
        <v>6</v>
      </c>
      <c r="AH234" s="6">
        <v>0</v>
      </c>
      <c r="AI234" s="6" t="s">
        <v>998</v>
      </c>
      <c r="AJ234" s="6" t="s">
        <v>264</v>
      </c>
      <c r="AK234" s="6" t="s">
        <v>12</v>
      </c>
      <c r="AL234" s="6" t="s">
        <v>56</v>
      </c>
      <c r="AM234" s="6" t="s">
        <v>265</v>
      </c>
      <c r="AN234" s="6" t="s">
        <v>22</v>
      </c>
      <c r="AO234" s="6" t="s">
        <v>662</v>
      </c>
      <c r="AP234" s="6" t="s">
        <v>480</v>
      </c>
      <c r="AQ234" s="6" t="s">
        <v>39</v>
      </c>
    </row>
    <row r="235" spans="1:43" x14ac:dyDescent="0.25">
      <c r="A235" s="6">
        <v>22700929</v>
      </c>
      <c r="B235" s="6">
        <v>23503139</v>
      </c>
      <c r="C235" s="6" t="s">
        <v>241</v>
      </c>
      <c r="D235" s="14">
        <v>45876.537754629629</v>
      </c>
      <c r="E235" s="14">
        <v>45876.929837962962</v>
      </c>
      <c r="F235" s="6" t="s">
        <v>19</v>
      </c>
      <c r="G235" s="6" t="s">
        <v>19</v>
      </c>
      <c r="H235" s="6" t="s">
        <v>999</v>
      </c>
      <c r="I235" s="6" t="s">
        <v>259</v>
      </c>
      <c r="J235" s="6" t="s">
        <v>1000</v>
      </c>
      <c r="K235" s="6" t="s">
        <v>665</v>
      </c>
      <c r="L235" s="6" t="s">
        <v>665</v>
      </c>
      <c r="M235" s="14">
        <v>45876.373611111107</v>
      </c>
      <c r="N235" s="6">
        <v>10346</v>
      </c>
      <c r="O235" s="6" t="s">
        <v>92</v>
      </c>
      <c r="P235" s="6" t="s">
        <v>453</v>
      </c>
      <c r="Q235" s="6" t="s">
        <v>428</v>
      </c>
      <c r="R235" s="6" t="s">
        <v>428</v>
      </c>
      <c r="S235" s="6" t="s">
        <v>9</v>
      </c>
      <c r="T235" s="6" t="s">
        <v>248</v>
      </c>
      <c r="U235" s="6" t="s">
        <v>133</v>
      </c>
      <c r="V235" s="6" t="s">
        <v>997</v>
      </c>
      <c r="W235" s="6" t="s">
        <v>92</v>
      </c>
      <c r="X235" s="6" t="s">
        <v>92</v>
      </c>
      <c r="Y235" s="6" t="s">
        <v>92</v>
      </c>
      <c r="Z235" s="6" t="s">
        <v>81</v>
      </c>
      <c r="AA235" s="6" t="s">
        <v>92</v>
      </c>
      <c r="AB235" s="6">
        <v>5916.9395999999997</v>
      </c>
      <c r="AC235" s="6">
        <v>0</v>
      </c>
      <c r="AD235" s="6">
        <v>0</v>
      </c>
      <c r="AE235" s="6">
        <v>0</v>
      </c>
      <c r="AF235" s="6">
        <v>0</v>
      </c>
      <c r="AG235" s="6">
        <v>295.85000000000002</v>
      </c>
      <c r="AH235" s="6">
        <v>0</v>
      </c>
      <c r="AI235" s="6" t="s">
        <v>1001</v>
      </c>
      <c r="AJ235" s="6" t="s">
        <v>264</v>
      </c>
      <c r="AK235" s="6" t="s">
        <v>12</v>
      </c>
      <c r="AL235" s="6" t="s">
        <v>56</v>
      </c>
      <c r="AM235" s="6" t="s">
        <v>265</v>
      </c>
      <c r="AN235" s="6" t="s">
        <v>22</v>
      </c>
      <c r="AO235" s="6" t="s">
        <v>662</v>
      </c>
      <c r="AP235" s="6" t="s">
        <v>480</v>
      </c>
      <c r="AQ235" s="6" t="s">
        <v>39</v>
      </c>
    </row>
    <row r="236" spans="1:43" hidden="1" x14ac:dyDescent="0.25">
      <c r="A236" s="6">
        <v>22696422</v>
      </c>
      <c r="B236" s="6">
        <v>23499261</v>
      </c>
      <c r="C236" s="6" t="s">
        <v>241</v>
      </c>
      <c r="D236" s="14">
        <v>45875.795231481483</v>
      </c>
      <c r="E236" s="14">
        <v>45875.844826388893</v>
      </c>
      <c r="F236" s="6" t="s">
        <v>19</v>
      </c>
      <c r="G236" s="6" t="s">
        <v>19</v>
      </c>
      <c r="H236" s="6" t="s">
        <v>1002</v>
      </c>
      <c r="I236" s="6" t="s">
        <v>259</v>
      </c>
      <c r="J236" s="6" t="s">
        <v>1003</v>
      </c>
      <c r="K236" s="6" t="s">
        <v>665</v>
      </c>
      <c r="L236" s="6" t="s">
        <v>665</v>
      </c>
      <c r="M236" s="14">
        <v>45875.706250000003</v>
      </c>
      <c r="N236" s="6">
        <v>10326</v>
      </c>
      <c r="O236" s="6" t="s">
        <v>92</v>
      </c>
      <c r="P236" s="6" t="s">
        <v>453</v>
      </c>
      <c r="Q236" s="6" t="s">
        <v>428</v>
      </c>
      <c r="R236" s="6" t="s">
        <v>428</v>
      </c>
      <c r="S236" s="6" t="s">
        <v>9</v>
      </c>
      <c r="T236" s="6" t="s">
        <v>248</v>
      </c>
      <c r="U236" s="6" t="s">
        <v>133</v>
      </c>
      <c r="V236" s="6" t="s">
        <v>997</v>
      </c>
      <c r="W236" s="6" t="s">
        <v>92</v>
      </c>
      <c r="X236" s="6" t="s">
        <v>92</v>
      </c>
      <c r="Y236" s="6" t="s">
        <v>92</v>
      </c>
      <c r="Z236" s="6" t="s">
        <v>81</v>
      </c>
      <c r="AA236" s="6" t="s">
        <v>92</v>
      </c>
      <c r="AB236" s="6">
        <v>395</v>
      </c>
      <c r="AC236" s="6">
        <v>0</v>
      </c>
      <c r="AD236" s="6">
        <v>0</v>
      </c>
      <c r="AE236" s="6">
        <v>0</v>
      </c>
      <c r="AF236" s="6">
        <v>0</v>
      </c>
      <c r="AG236" s="6">
        <v>11.85</v>
      </c>
      <c r="AH236" s="6">
        <v>0</v>
      </c>
      <c r="AI236" s="6" t="s">
        <v>1004</v>
      </c>
      <c r="AJ236" s="6" t="s">
        <v>264</v>
      </c>
      <c r="AK236" s="6" t="s">
        <v>12</v>
      </c>
      <c r="AL236" s="6" t="s">
        <v>56</v>
      </c>
      <c r="AM236" s="6" t="s">
        <v>265</v>
      </c>
      <c r="AN236" s="6" t="s">
        <v>22</v>
      </c>
      <c r="AO236" s="6" t="s">
        <v>662</v>
      </c>
      <c r="AP236" s="6" t="s">
        <v>480</v>
      </c>
      <c r="AQ236" s="6" t="s">
        <v>39</v>
      </c>
    </row>
    <row r="237" spans="1:43" hidden="1" x14ac:dyDescent="0.25">
      <c r="A237" s="6">
        <v>22681613</v>
      </c>
      <c r="B237" s="6">
        <v>23486085</v>
      </c>
      <c r="C237" s="6" t="s">
        <v>241</v>
      </c>
      <c r="D237" s="14">
        <v>45873.79346064815</v>
      </c>
      <c r="E237" s="14">
        <v>45873.932569444441</v>
      </c>
      <c r="F237" s="6" t="s">
        <v>21</v>
      </c>
      <c r="G237" s="6" t="s">
        <v>21</v>
      </c>
      <c r="H237" s="6" t="s">
        <v>1005</v>
      </c>
      <c r="I237" s="6" t="s">
        <v>259</v>
      </c>
      <c r="J237" s="6" t="s">
        <v>1006</v>
      </c>
      <c r="K237" s="6" t="s">
        <v>665</v>
      </c>
      <c r="L237" s="6" t="s">
        <v>665</v>
      </c>
      <c r="M237" s="14">
        <v>45873.60833333333</v>
      </c>
      <c r="N237" s="6">
        <v>10081</v>
      </c>
      <c r="O237" s="6" t="s">
        <v>92</v>
      </c>
      <c r="P237" s="6" t="s">
        <v>453</v>
      </c>
      <c r="Q237" s="6" t="s">
        <v>428</v>
      </c>
      <c r="R237" s="6" t="s">
        <v>428</v>
      </c>
      <c r="S237" s="6" t="s">
        <v>9</v>
      </c>
      <c r="T237" s="6" t="s">
        <v>248</v>
      </c>
      <c r="U237" s="6" t="s">
        <v>133</v>
      </c>
      <c r="V237" s="6" t="s">
        <v>997</v>
      </c>
      <c r="W237" s="6" t="s">
        <v>92</v>
      </c>
      <c r="X237" s="6" t="s">
        <v>92</v>
      </c>
      <c r="Y237" s="6" t="s">
        <v>92</v>
      </c>
      <c r="Z237" s="6" t="s">
        <v>81</v>
      </c>
      <c r="AA237" s="6" t="s">
        <v>92</v>
      </c>
      <c r="AB237" s="6">
        <v>617.66999999999996</v>
      </c>
      <c r="AC237" s="6">
        <v>0</v>
      </c>
      <c r="AD237" s="6">
        <v>0</v>
      </c>
      <c r="AE237" s="6">
        <v>0</v>
      </c>
      <c r="AF237" s="6">
        <v>0</v>
      </c>
      <c r="AG237" s="6">
        <v>30.88</v>
      </c>
      <c r="AH237" s="6">
        <v>0</v>
      </c>
      <c r="AI237" s="6" t="s">
        <v>1007</v>
      </c>
      <c r="AJ237" s="6" t="s">
        <v>264</v>
      </c>
      <c r="AK237" s="6" t="s">
        <v>12</v>
      </c>
      <c r="AL237" s="6" t="s">
        <v>56</v>
      </c>
      <c r="AM237" s="6" t="s">
        <v>265</v>
      </c>
      <c r="AN237" s="6" t="s">
        <v>22</v>
      </c>
      <c r="AO237" s="6" t="s">
        <v>662</v>
      </c>
      <c r="AP237" s="6" t="s">
        <v>480</v>
      </c>
      <c r="AQ237" s="6" t="s">
        <v>39</v>
      </c>
    </row>
    <row r="238" spans="1:43" hidden="1" x14ac:dyDescent="0.25">
      <c r="A238" s="6">
        <v>22700933</v>
      </c>
      <c r="B238" s="6">
        <v>23503142</v>
      </c>
      <c r="C238" s="6" t="s">
        <v>241</v>
      </c>
      <c r="D238" s="14">
        <v>45876.537997685176</v>
      </c>
      <c r="E238" s="14">
        <v>45876.561377314807</v>
      </c>
      <c r="F238" s="6" t="s">
        <v>19</v>
      </c>
      <c r="G238" s="6" t="s">
        <v>19</v>
      </c>
      <c r="H238" s="6" t="s">
        <v>1008</v>
      </c>
      <c r="I238" s="6" t="s">
        <v>259</v>
      </c>
      <c r="J238" s="6" t="s">
        <v>1009</v>
      </c>
      <c r="K238" s="6" t="s">
        <v>1010</v>
      </c>
      <c r="L238" s="6" t="s">
        <v>1010</v>
      </c>
      <c r="M238" s="14">
        <v>45876.359027777777</v>
      </c>
      <c r="N238" s="6">
        <v>10120</v>
      </c>
      <c r="O238" s="6" t="s">
        <v>92</v>
      </c>
      <c r="P238" s="6" t="s">
        <v>245</v>
      </c>
      <c r="Q238" s="6" t="s">
        <v>428</v>
      </c>
      <c r="R238" s="6" t="s">
        <v>428</v>
      </c>
      <c r="S238" s="6" t="s">
        <v>9</v>
      </c>
      <c r="T238" s="6" t="s">
        <v>248</v>
      </c>
      <c r="U238" s="6" t="s">
        <v>133</v>
      </c>
      <c r="V238" s="6" t="s">
        <v>997</v>
      </c>
      <c r="W238" s="6" t="s">
        <v>92</v>
      </c>
      <c r="X238" s="6" t="s">
        <v>92</v>
      </c>
      <c r="Y238" s="6" t="s">
        <v>92</v>
      </c>
      <c r="Z238" s="6" t="s">
        <v>81</v>
      </c>
      <c r="AA238" s="6" t="s">
        <v>92</v>
      </c>
      <c r="AB238" s="6">
        <v>418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1011</v>
      </c>
      <c r="AJ238" s="6" t="s">
        <v>264</v>
      </c>
      <c r="AK238" s="6" t="s">
        <v>12</v>
      </c>
      <c r="AL238" s="6" t="s">
        <v>56</v>
      </c>
      <c r="AM238" s="6" t="s">
        <v>265</v>
      </c>
      <c r="AN238" s="6" t="s">
        <v>22</v>
      </c>
      <c r="AO238" s="6" t="s">
        <v>253</v>
      </c>
      <c r="AP238" s="6" t="s">
        <v>254</v>
      </c>
      <c r="AQ238" s="6" t="s">
        <v>20</v>
      </c>
    </row>
    <row r="239" spans="1:43" hidden="1" x14ac:dyDescent="0.25">
      <c r="A239" s="6">
        <v>22700934</v>
      </c>
      <c r="B239" s="6">
        <v>23503143</v>
      </c>
      <c r="C239" s="6" t="s">
        <v>241</v>
      </c>
      <c r="D239" s="14">
        <v>45876.538043981483</v>
      </c>
      <c r="E239" s="14">
        <v>45876.930162037039</v>
      </c>
      <c r="F239" s="6" t="s">
        <v>19</v>
      </c>
      <c r="G239" s="6" t="s">
        <v>19</v>
      </c>
      <c r="H239" s="6" t="s">
        <v>1012</v>
      </c>
      <c r="I239" s="6" t="s">
        <v>259</v>
      </c>
      <c r="J239" s="6" t="s">
        <v>1013</v>
      </c>
      <c r="K239" s="6" t="s">
        <v>1010</v>
      </c>
      <c r="L239" s="6" t="s">
        <v>1010</v>
      </c>
      <c r="M239" s="14">
        <v>45876.356249999997</v>
      </c>
      <c r="N239" s="6">
        <v>10119</v>
      </c>
      <c r="O239" s="6" t="s">
        <v>92</v>
      </c>
      <c r="P239" s="6" t="s">
        <v>245</v>
      </c>
      <c r="Q239" s="6" t="s">
        <v>428</v>
      </c>
      <c r="R239" s="6" t="s">
        <v>428</v>
      </c>
      <c r="S239" s="6" t="s">
        <v>9</v>
      </c>
      <c r="T239" s="6" t="s">
        <v>248</v>
      </c>
      <c r="U239" s="6" t="s">
        <v>133</v>
      </c>
      <c r="V239" s="6" t="s">
        <v>997</v>
      </c>
      <c r="W239" s="6" t="s">
        <v>92</v>
      </c>
      <c r="X239" s="6" t="s">
        <v>92</v>
      </c>
      <c r="Y239" s="6" t="s">
        <v>92</v>
      </c>
      <c r="Z239" s="6" t="s">
        <v>81</v>
      </c>
      <c r="AA239" s="6" t="s">
        <v>92</v>
      </c>
      <c r="AB239" s="6">
        <v>418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0</v>
      </c>
      <c r="AI239" s="6" t="s">
        <v>1014</v>
      </c>
      <c r="AJ239" s="6" t="s">
        <v>264</v>
      </c>
      <c r="AK239" s="6" t="s">
        <v>12</v>
      </c>
      <c r="AL239" s="6" t="s">
        <v>56</v>
      </c>
      <c r="AM239" s="6" t="s">
        <v>265</v>
      </c>
      <c r="AN239" s="6" t="s">
        <v>22</v>
      </c>
      <c r="AO239" s="6" t="s">
        <v>253</v>
      </c>
      <c r="AP239" s="6" t="s">
        <v>254</v>
      </c>
      <c r="AQ239" s="6" t="s">
        <v>20</v>
      </c>
    </row>
    <row r="240" spans="1:43" hidden="1" x14ac:dyDescent="0.25">
      <c r="A240" s="6">
        <v>22696459</v>
      </c>
      <c r="B240" s="6">
        <v>23499301</v>
      </c>
      <c r="C240" s="6" t="s">
        <v>241</v>
      </c>
      <c r="D240" s="14">
        <v>45875.797199074077</v>
      </c>
      <c r="E240" s="14">
        <v>45875.847962962973</v>
      </c>
      <c r="F240" s="6" t="s">
        <v>19</v>
      </c>
      <c r="G240" s="6" t="s">
        <v>19</v>
      </c>
      <c r="H240" s="6" t="s">
        <v>1015</v>
      </c>
      <c r="I240" s="6" t="s">
        <v>259</v>
      </c>
      <c r="J240" s="6" t="s">
        <v>1016</v>
      </c>
      <c r="K240" s="6" t="s">
        <v>1017</v>
      </c>
      <c r="L240" s="6" t="s">
        <v>1017</v>
      </c>
      <c r="M240" s="14">
        <v>45875.681250000001</v>
      </c>
      <c r="N240" s="6">
        <v>10279</v>
      </c>
      <c r="O240" s="6" t="s">
        <v>1018</v>
      </c>
      <c r="P240" s="6" t="s">
        <v>245</v>
      </c>
      <c r="Q240" s="6" t="s">
        <v>246</v>
      </c>
      <c r="R240" s="6" t="s">
        <v>247</v>
      </c>
      <c r="S240" s="6" t="s">
        <v>8</v>
      </c>
      <c r="T240" s="6" t="s">
        <v>248</v>
      </c>
      <c r="U240" s="6" t="s">
        <v>133</v>
      </c>
      <c r="V240" s="6" t="s">
        <v>997</v>
      </c>
      <c r="W240" s="6" t="s">
        <v>92</v>
      </c>
      <c r="X240" s="6" t="s">
        <v>92</v>
      </c>
      <c r="Y240" s="6" t="s">
        <v>92</v>
      </c>
      <c r="Z240" s="6" t="s">
        <v>81</v>
      </c>
      <c r="AA240" s="6" t="s">
        <v>92</v>
      </c>
      <c r="AB240" s="6">
        <v>170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1019</v>
      </c>
      <c r="AJ240" s="6" t="s">
        <v>264</v>
      </c>
      <c r="AK240" s="6" t="s">
        <v>12</v>
      </c>
      <c r="AL240" s="6" t="s">
        <v>56</v>
      </c>
      <c r="AM240" s="6" t="s">
        <v>265</v>
      </c>
      <c r="AN240" s="6" t="s">
        <v>22</v>
      </c>
      <c r="AO240" s="6" t="s">
        <v>253</v>
      </c>
      <c r="AP240" s="6" t="s">
        <v>254</v>
      </c>
      <c r="AQ240" s="6" t="s">
        <v>20</v>
      </c>
    </row>
    <row r="241" spans="1:43" hidden="1" x14ac:dyDescent="0.25">
      <c r="A241" s="6">
        <v>22574510</v>
      </c>
      <c r="B241" s="6">
        <v>23398118</v>
      </c>
      <c r="C241" s="6" t="s">
        <v>241</v>
      </c>
      <c r="D241" s="14">
        <v>45854.787685185183</v>
      </c>
      <c r="E241" s="14">
        <v>45854.788912037038</v>
      </c>
      <c r="F241" s="47" t="s">
        <v>27</v>
      </c>
      <c r="G241" s="47" t="s">
        <v>27</v>
      </c>
      <c r="H241" s="6">
        <v>19197258</v>
      </c>
      <c r="I241" s="6" t="s">
        <v>13</v>
      </c>
      <c r="J241" s="6" t="s">
        <v>1020</v>
      </c>
      <c r="K241" s="6" t="s">
        <v>648</v>
      </c>
      <c r="L241" s="6" t="s">
        <v>648</v>
      </c>
      <c r="M241" s="14">
        <v>45854.703472222223</v>
      </c>
      <c r="N241" s="6">
        <v>4567637</v>
      </c>
      <c r="O241" s="6" t="s">
        <v>92</v>
      </c>
      <c r="P241" s="6" t="s">
        <v>453</v>
      </c>
      <c r="Q241" s="6" t="s">
        <v>428</v>
      </c>
      <c r="R241" s="6" t="s">
        <v>428</v>
      </c>
      <c r="S241" s="6" t="s">
        <v>9</v>
      </c>
      <c r="T241" s="6" t="s">
        <v>248</v>
      </c>
      <c r="U241" s="6" t="s">
        <v>178</v>
      </c>
      <c r="V241" s="6" t="s">
        <v>1021</v>
      </c>
      <c r="W241" s="6" t="s">
        <v>92</v>
      </c>
      <c r="X241" s="6" t="s">
        <v>92</v>
      </c>
      <c r="Y241" s="6" t="s">
        <v>92</v>
      </c>
      <c r="Z241" s="6" t="s">
        <v>119</v>
      </c>
      <c r="AA241" s="6" t="s">
        <v>92</v>
      </c>
      <c r="AB241" s="6">
        <v>379.76</v>
      </c>
      <c r="AC241" s="6">
        <v>0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1022</v>
      </c>
      <c r="AJ241" s="6" t="s">
        <v>264</v>
      </c>
      <c r="AK241" s="6" t="s">
        <v>13</v>
      </c>
      <c r="AL241" s="6" t="s">
        <v>56</v>
      </c>
      <c r="AM241" s="6" t="s">
        <v>265</v>
      </c>
      <c r="AN241" s="6" t="s">
        <v>22</v>
      </c>
      <c r="AO241" s="6" t="s">
        <v>662</v>
      </c>
      <c r="AP241" s="6" t="s">
        <v>480</v>
      </c>
      <c r="AQ241" s="6" t="s">
        <v>39</v>
      </c>
    </row>
    <row r="242" spans="1:43" hidden="1" x14ac:dyDescent="0.25">
      <c r="A242" s="6">
        <v>22583919</v>
      </c>
      <c r="B242" s="6">
        <v>23405726</v>
      </c>
      <c r="C242" s="6" t="s">
        <v>241</v>
      </c>
      <c r="D242" s="14">
        <v>45856.469826388893</v>
      </c>
      <c r="E242" s="14">
        <v>45856.474421296298</v>
      </c>
      <c r="F242" s="47" t="s">
        <v>27</v>
      </c>
      <c r="G242" s="47" t="s">
        <v>27</v>
      </c>
      <c r="H242" s="6">
        <v>19216215</v>
      </c>
      <c r="I242" s="6" t="s">
        <v>13</v>
      </c>
      <c r="J242" s="6" t="s">
        <v>1023</v>
      </c>
      <c r="K242" s="6" t="s">
        <v>648</v>
      </c>
      <c r="L242" s="6" t="s">
        <v>648</v>
      </c>
      <c r="M242" s="14">
        <v>45855.811805555553</v>
      </c>
      <c r="N242" s="6">
        <v>4568443</v>
      </c>
      <c r="O242" s="6" t="s">
        <v>92</v>
      </c>
      <c r="P242" s="6" t="s">
        <v>453</v>
      </c>
      <c r="Q242" s="6" t="s">
        <v>428</v>
      </c>
      <c r="R242" s="6" t="s">
        <v>428</v>
      </c>
      <c r="S242" s="6" t="s">
        <v>9</v>
      </c>
      <c r="T242" s="6" t="s">
        <v>248</v>
      </c>
      <c r="U242" s="6" t="s">
        <v>178</v>
      </c>
      <c r="V242" s="6" t="s">
        <v>1021</v>
      </c>
      <c r="W242" s="6" t="s">
        <v>92</v>
      </c>
      <c r="X242" s="6" t="s">
        <v>92</v>
      </c>
      <c r="Y242" s="6" t="s">
        <v>92</v>
      </c>
      <c r="Z242" s="6" t="s">
        <v>119</v>
      </c>
      <c r="AA242" s="6" t="s">
        <v>92</v>
      </c>
      <c r="AB242" s="6">
        <v>219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 t="s">
        <v>1024</v>
      </c>
      <c r="AJ242" s="6" t="s">
        <v>264</v>
      </c>
      <c r="AK242" s="6" t="s">
        <v>13</v>
      </c>
      <c r="AL242" s="6" t="s">
        <v>56</v>
      </c>
      <c r="AM242" s="6" t="s">
        <v>265</v>
      </c>
      <c r="AN242" s="6" t="s">
        <v>22</v>
      </c>
      <c r="AO242" s="6" t="s">
        <v>662</v>
      </c>
      <c r="AP242" s="6" t="s">
        <v>480</v>
      </c>
      <c r="AQ242" s="6" t="s">
        <v>39</v>
      </c>
    </row>
    <row r="243" spans="1:43" hidden="1" x14ac:dyDescent="0.25">
      <c r="A243" s="6">
        <v>22701567</v>
      </c>
      <c r="B243" s="6">
        <v>23503717</v>
      </c>
      <c r="C243" s="6" t="s">
        <v>241</v>
      </c>
      <c r="D243" s="14">
        <v>45876.632592592592</v>
      </c>
      <c r="E243" s="14">
        <v>45876.635752314818</v>
      </c>
      <c r="F243" s="6" t="s">
        <v>19</v>
      </c>
      <c r="G243" s="6" t="s">
        <v>19</v>
      </c>
      <c r="H243" s="6">
        <v>19446829</v>
      </c>
      <c r="I243" s="6" t="s">
        <v>13</v>
      </c>
      <c r="J243" s="6" t="s">
        <v>1025</v>
      </c>
      <c r="K243" s="6" t="s">
        <v>648</v>
      </c>
      <c r="L243" s="6" t="s">
        <v>648</v>
      </c>
      <c r="M243" s="14">
        <v>45873.748611111107</v>
      </c>
      <c r="N243" s="6">
        <v>4576986</v>
      </c>
      <c r="O243" s="6" t="s">
        <v>92</v>
      </c>
      <c r="P243" s="6" t="s">
        <v>245</v>
      </c>
      <c r="Q243" s="6" t="s">
        <v>246</v>
      </c>
      <c r="R243" s="6" t="s">
        <v>247</v>
      </c>
      <c r="S243" s="6" t="s">
        <v>9</v>
      </c>
      <c r="T243" s="6" t="s">
        <v>248</v>
      </c>
      <c r="U243" s="6" t="s">
        <v>178</v>
      </c>
      <c r="V243" s="6" t="s">
        <v>1021</v>
      </c>
      <c r="W243" s="6" t="s">
        <v>92</v>
      </c>
      <c r="X243" s="6" t="s">
        <v>1026</v>
      </c>
      <c r="Y243" s="6" t="s">
        <v>92</v>
      </c>
      <c r="Z243" s="6" t="s">
        <v>119</v>
      </c>
      <c r="AA243" s="6" t="s">
        <v>92</v>
      </c>
      <c r="AB243" s="6">
        <v>524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1027</v>
      </c>
      <c r="AJ243" s="6" t="s">
        <v>1028</v>
      </c>
      <c r="AK243" s="6" t="s">
        <v>13</v>
      </c>
      <c r="AL243" s="6" t="s">
        <v>59</v>
      </c>
      <c r="AM243" s="6" t="s">
        <v>252</v>
      </c>
      <c r="AN243" s="6" t="s">
        <v>22</v>
      </c>
      <c r="AO243" s="6" t="s">
        <v>253</v>
      </c>
      <c r="AP243" s="6" t="s">
        <v>254</v>
      </c>
      <c r="AQ243" s="6" t="s">
        <v>20</v>
      </c>
    </row>
    <row r="244" spans="1:43" hidden="1" x14ac:dyDescent="0.25">
      <c r="A244" s="6">
        <v>22701638</v>
      </c>
      <c r="B244" s="6">
        <v>23503786</v>
      </c>
      <c r="C244" s="6" t="s">
        <v>241</v>
      </c>
      <c r="D244" s="14">
        <v>45876.645277777781</v>
      </c>
      <c r="E244" s="14">
        <v>45876.64671296296</v>
      </c>
      <c r="F244" s="6" t="s">
        <v>19</v>
      </c>
      <c r="G244" s="6" t="s">
        <v>19</v>
      </c>
      <c r="H244" s="6">
        <v>19483961</v>
      </c>
      <c r="I244" s="6" t="s">
        <v>13</v>
      </c>
      <c r="J244" s="6" t="s">
        <v>1029</v>
      </c>
      <c r="K244" s="6" t="s">
        <v>648</v>
      </c>
      <c r="L244" s="6" t="s">
        <v>648</v>
      </c>
      <c r="M244" s="14">
        <v>45876.616666666669</v>
      </c>
      <c r="N244" s="6">
        <v>4578702</v>
      </c>
      <c r="O244" s="6" t="s">
        <v>92</v>
      </c>
      <c r="P244" s="6" t="s">
        <v>453</v>
      </c>
      <c r="Q244" s="6" t="s">
        <v>428</v>
      </c>
      <c r="R244" s="6" t="s">
        <v>428</v>
      </c>
      <c r="S244" s="6" t="s">
        <v>9</v>
      </c>
      <c r="T244" s="6" t="s">
        <v>248</v>
      </c>
      <c r="U244" s="6" t="s">
        <v>178</v>
      </c>
      <c r="V244" s="6" t="s">
        <v>1021</v>
      </c>
      <c r="W244" s="6" t="s">
        <v>92</v>
      </c>
      <c r="X244" s="6" t="s">
        <v>92</v>
      </c>
      <c r="Y244" s="6" t="s">
        <v>92</v>
      </c>
      <c r="Z244" s="6" t="s">
        <v>119</v>
      </c>
      <c r="AA244" s="6" t="s">
        <v>92</v>
      </c>
      <c r="AB244" s="6">
        <v>220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1030</v>
      </c>
      <c r="AJ244" s="6" t="s">
        <v>264</v>
      </c>
      <c r="AK244" s="6" t="s">
        <v>13</v>
      </c>
      <c r="AL244" s="6" t="s">
        <v>56</v>
      </c>
      <c r="AM244" s="6" t="s">
        <v>265</v>
      </c>
      <c r="AN244" s="6" t="s">
        <v>22</v>
      </c>
      <c r="AO244" s="6" t="s">
        <v>662</v>
      </c>
      <c r="AP244" s="6" t="s">
        <v>480</v>
      </c>
      <c r="AQ244" s="6" t="s">
        <v>39</v>
      </c>
    </row>
    <row r="245" spans="1:43" hidden="1" x14ac:dyDescent="0.25">
      <c r="A245" s="6">
        <v>22663757</v>
      </c>
      <c r="B245" s="6">
        <v>23471782</v>
      </c>
      <c r="C245" s="6" t="s">
        <v>241</v>
      </c>
      <c r="D245" s="14">
        <v>45870.455277777779</v>
      </c>
      <c r="E245" s="14">
        <v>45870.460821759261</v>
      </c>
      <c r="F245" s="6" t="s">
        <v>23</v>
      </c>
      <c r="G245" s="6" t="s">
        <v>23</v>
      </c>
      <c r="H245" s="6">
        <v>19381694</v>
      </c>
      <c r="I245" s="6" t="s">
        <v>13</v>
      </c>
      <c r="J245" s="6" t="s">
        <v>1031</v>
      </c>
      <c r="K245" s="6" t="s">
        <v>648</v>
      </c>
      <c r="L245" s="6" t="s">
        <v>648</v>
      </c>
      <c r="M245" s="14">
        <v>45869.388194444437</v>
      </c>
      <c r="N245" s="6">
        <v>4574989</v>
      </c>
      <c r="O245" s="6" t="s">
        <v>92</v>
      </c>
      <c r="P245" s="6" t="s">
        <v>453</v>
      </c>
      <c r="Q245" s="6" t="s">
        <v>428</v>
      </c>
      <c r="R245" s="6" t="s">
        <v>428</v>
      </c>
      <c r="S245" s="6" t="s">
        <v>9</v>
      </c>
      <c r="T245" s="6" t="s">
        <v>248</v>
      </c>
      <c r="U245" s="6" t="s">
        <v>153</v>
      </c>
      <c r="V245" s="6" t="s">
        <v>1032</v>
      </c>
      <c r="W245" s="6" t="s">
        <v>92</v>
      </c>
      <c r="X245" s="6" t="s">
        <v>92</v>
      </c>
      <c r="Y245" s="6" t="s">
        <v>92</v>
      </c>
      <c r="Z245" s="6" t="s">
        <v>100</v>
      </c>
      <c r="AA245" s="6" t="s">
        <v>92</v>
      </c>
      <c r="AB245" s="6">
        <v>867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1033</v>
      </c>
      <c r="AJ245" s="6" t="s">
        <v>264</v>
      </c>
      <c r="AK245" s="6" t="s">
        <v>13</v>
      </c>
      <c r="AL245" s="6" t="s">
        <v>56</v>
      </c>
      <c r="AM245" s="6" t="s">
        <v>265</v>
      </c>
      <c r="AN245" s="6" t="s">
        <v>22</v>
      </c>
      <c r="AO245" s="6" t="s">
        <v>662</v>
      </c>
      <c r="AP245" s="6" t="s">
        <v>480</v>
      </c>
      <c r="AQ245" s="6" t="s">
        <v>39</v>
      </c>
    </row>
    <row r="246" spans="1:43" hidden="1" x14ac:dyDescent="0.25">
      <c r="A246" s="6">
        <v>22681481</v>
      </c>
      <c r="B246" s="6">
        <v>23485944</v>
      </c>
      <c r="C246" s="6" t="s">
        <v>241</v>
      </c>
      <c r="D246" s="14">
        <v>45873.787939814807</v>
      </c>
      <c r="E246" s="14">
        <v>45873.788634259261</v>
      </c>
      <c r="F246" s="6" t="s">
        <v>21</v>
      </c>
      <c r="G246" s="6" t="s">
        <v>21</v>
      </c>
      <c r="H246" s="6">
        <v>19431949</v>
      </c>
      <c r="I246" s="6" t="s">
        <v>13</v>
      </c>
      <c r="J246" s="6" t="s">
        <v>1034</v>
      </c>
      <c r="K246" s="6" t="s">
        <v>648</v>
      </c>
      <c r="L246" s="6" t="s">
        <v>648</v>
      </c>
      <c r="M246" s="14">
        <v>45873.640277777777</v>
      </c>
      <c r="N246" s="6">
        <v>4576724</v>
      </c>
      <c r="O246" s="6" t="s">
        <v>92</v>
      </c>
      <c r="P246" s="6" t="s">
        <v>245</v>
      </c>
      <c r="Q246" s="6" t="s">
        <v>246</v>
      </c>
      <c r="R246" s="6" t="s">
        <v>247</v>
      </c>
      <c r="S246" s="6" t="s">
        <v>9</v>
      </c>
      <c r="T246" s="6" t="s">
        <v>248</v>
      </c>
      <c r="U246" s="6" t="s">
        <v>153</v>
      </c>
      <c r="V246" s="6" t="s">
        <v>1032</v>
      </c>
      <c r="W246" s="6" t="s">
        <v>92</v>
      </c>
      <c r="X246" s="6" t="s">
        <v>92</v>
      </c>
      <c r="Y246" s="6" t="s">
        <v>92</v>
      </c>
      <c r="Z246" s="6" t="s">
        <v>100</v>
      </c>
      <c r="AA246" s="6" t="s">
        <v>92</v>
      </c>
      <c r="AB246" s="6">
        <v>180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 t="s">
        <v>1035</v>
      </c>
      <c r="AJ246" s="6" t="s">
        <v>264</v>
      </c>
      <c r="AK246" s="6" t="s">
        <v>13</v>
      </c>
      <c r="AL246" s="6" t="s">
        <v>56</v>
      </c>
      <c r="AM246" s="6" t="s">
        <v>265</v>
      </c>
      <c r="AN246" s="6" t="s">
        <v>22</v>
      </c>
      <c r="AO246" s="6" t="s">
        <v>662</v>
      </c>
      <c r="AP246" s="6" t="s">
        <v>480</v>
      </c>
      <c r="AQ246" s="6" t="s">
        <v>39</v>
      </c>
    </row>
    <row r="247" spans="1:43" hidden="1" x14ac:dyDescent="0.25">
      <c r="A247" s="6">
        <v>22680658</v>
      </c>
      <c r="B247" s="6">
        <v>23485133</v>
      </c>
      <c r="C247" s="6" t="s">
        <v>241</v>
      </c>
      <c r="D247" s="14">
        <v>45873.760185185187</v>
      </c>
      <c r="E247" s="14">
        <v>45873.761099537027</v>
      </c>
      <c r="F247" s="6" t="s">
        <v>21</v>
      </c>
      <c r="G247" s="6" t="s">
        <v>21</v>
      </c>
      <c r="H247" s="6">
        <v>4576274</v>
      </c>
      <c r="I247" s="6" t="s">
        <v>13</v>
      </c>
      <c r="J247" s="6" t="s">
        <v>1036</v>
      </c>
      <c r="K247" s="6" t="s">
        <v>947</v>
      </c>
      <c r="L247" s="6" t="s">
        <v>947</v>
      </c>
      <c r="M247" s="14">
        <v>45873.75</v>
      </c>
      <c r="N247" s="6">
        <v>4576274</v>
      </c>
      <c r="O247" s="6" t="s">
        <v>92</v>
      </c>
      <c r="P247" s="6" t="s">
        <v>245</v>
      </c>
      <c r="Q247" s="6" t="s">
        <v>428</v>
      </c>
      <c r="R247" s="6" t="s">
        <v>428</v>
      </c>
      <c r="S247" s="6" t="s">
        <v>9</v>
      </c>
      <c r="T247" s="6" t="s">
        <v>248</v>
      </c>
      <c r="U247" s="6" t="s">
        <v>153</v>
      </c>
      <c r="V247" s="6" t="s">
        <v>1032</v>
      </c>
      <c r="W247" s="6" t="s">
        <v>92</v>
      </c>
      <c r="X247" s="6" t="s">
        <v>1037</v>
      </c>
      <c r="Y247" s="6" t="s">
        <v>92</v>
      </c>
      <c r="Z247" s="6" t="s">
        <v>100</v>
      </c>
      <c r="AA247" s="6" t="s">
        <v>92</v>
      </c>
      <c r="AB247" s="6">
        <v>156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1038</v>
      </c>
      <c r="AJ247" s="6" t="s">
        <v>1039</v>
      </c>
      <c r="AK247" s="6" t="s">
        <v>13</v>
      </c>
      <c r="AL247" s="6" t="s">
        <v>59</v>
      </c>
      <c r="AM247" s="6" t="s">
        <v>252</v>
      </c>
      <c r="AN247" s="6" t="s">
        <v>22</v>
      </c>
      <c r="AO247" s="6" t="s">
        <v>253</v>
      </c>
      <c r="AP247" s="6" t="s">
        <v>254</v>
      </c>
      <c r="AQ247" s="6" t="s">
        <v>20</v>
      </c>
    </row>
    <row r="248" spans="1:43" hidden="1" x14ac:dyDescent="0.25">
      <c r="A248" s="6">
        <v>22684230</v>
      </c>
      <c r="B248" s="6">
        <v>23488136</v>
      </c>
      <c r="C248" s="6" t="s">
        <v>241</v>
      </c>
      <c r="D248" s="14">
        <v>45874.336678240739</v>
      </c>
      <c r="E248" s="14">
        <v>45874.33697916667</v>
      </c>
      <c r="F248" s="6" t="s">
        <v>21</v>
      </c>
      <c r="G248" s="6" t="s">
        <v>21</v>
      </c>
      <c r="H248" s="6">
        <v>4576387</v>
      </c>
      <c r="I248" s="6" t="s">
        <v>13</v>
      </c>
      <c r="J248" s="6" t="s">
        <v>1040</v>
      </c>
      <c r="K248" s="6" t="s">
        <v>947</v>
      </c>
      <c r="L248" s="6" t="s">
        <v>947</v>
      </c>
      <c r="M248" s="14">
        <v>45873.791666666657</v>
      </c>
      <c r="N248" s="6">
        <v>4576387</v>
      </c>
      <c r="O248" s="6" t="s">
        <v>92</v>
      </c>
      <c r="P248" s="6" t="s">
        <v>245</v>
      </c>
      <c r="Q248" s="6" t="s">
        <v>428</v>
      </c>
      <c r="R248" s="6" t="s">
        <v>428</v>
      </c>
      <c r="S248" s="6" t="s">
        <v>9</v>
      </c>
      <c r="T248" s="6" t="s">
        <v>248</v>
      </c>
      <c r="U248" s="6" t="s">
        <v>153</v>
      </c>
      <c r="V248" s="6" t="s">
        <v>1032</v>
      </c>
      <c r="W248" s="6" t="s">
        <v>92</v>
      </c>
      <c r="X248" s="6" t="s">
        <v>1037</v>
      </c>
      <c r="Y248" s="6" t="s">
        <v>92</v>
      </c>
      <c r="Z248" s="6" t="s">
        <v>100</v>
      </c>
      <c r="AA248" s="6" t="s">
        <v>92</v>
      </c>
      <c r="AB248" s="6">
        <v>156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1041</v>
      </c>
      <c r="AJ248" s="6" t="s">
        <v>1039</v>
      </c>
      <c r="AK248" s="6" t="s">
        <v>13</v>
      </c>
      <c r="AL248" s="6" t="s">
        <v>59</v>
      </c>
      <c r="AM248" s="6" t="s">
        <v>252</v>
      </c>
      <c r="AN248" s="6" t="s">
        <v>22</v>
      </c>
      <c r="AO248" s="6" t="s">
        <v>253</v>
      </c>
      <c r="AP248" s="6" t="s">
        <v>254</v>
      </c>
      <c r="AQ248" s="6" t="s">
        <v>20</v>
      </c>
    </row>
    <row r="249" spans="1:43" hidden="1" x14ac:dyDescent="0.25">
      <c r="A249" s="6">
        <v>22687725</v>
      </c>
      <c r="B249" s="6">
        <v>23491370</v>
      </c>
      <c r="C249" s="6" t="s">
        <v>241</v>
      </c>
      <c r="D249" s="14">
        <v>45874.734085648153</v>
      </c>
      <c r="E249" s="14">
        <v>45875.944004629629</v>
      </c>
      <c r="F249" s="6" t="s">
        <v>19</v>
      </c>
      <c r="G249" s="6" t="s">
        <v>21</v>
      </c>
      <c r="H249" s="6" t="s">
        <v>1042</v>
      </c>
      <c r="I249" s="6" t="s">
        <v>13</v>
      </c>
      <c r="J249" s="6" t="s">
        <v>1043</v>
      </c>
      <c r="K249" s="6" t="s">
        <v>1044</v>
      </c>
      <c r="L249" s="6" t="s">
        <v>1044</v>
      </c>
      <c r="M249" s="14">
        <v>45874.720833333333</v>
      </c>
      <c r="N249" s="6">
        <v>4569045</v>
      </c>
      <c r="O249" s="6" t="s">
        <v>92</v>
      </c>
      <c r="P249" s="6" t="s">
        <v>245</v>
      </c>
      <c r="Q249" s="6" t="s">
        <v>659</v>
      </c>
      <c r="R249" s="6" t="s">
        <v>659</v>
      </c>
      <c r="S249" s="6" t="s">
        <v>9</v>
      </c>
      <c r="T249" s="6" t="s">
        <v>248</v>
      </c>
      <c r="U249" s="6" t="s">
        <v>195</v>
      </c>
      <c r="V249" s="6" t="s">
        <v>1045</v>
      </c>
      <c r="W249" s="6" t="s">
        <v>92</v>
      </c>
      <c r="X249" s="6" t="s">
        <v>92</v>
      </c>
      <c r="Y249" s="6" t="s">
        <v>92</v>
      </c>
      <c r="Z249" s="6" t="s">
        <v>131</v>
      </c>
      <c r="AA249" s="6" t="s">
        <v>92</v>
      </c>
      <c r="AB249" s="6">
        <v>5247.06</v>
      </c>
      <c r="AC249" s="6">
        <v>96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1046</v>
      </c>
      <c r="AJ249" s="6" t="s">
        <v>264</v>
      </c>
      <c r="AK249" s="6" t="s">
        <v>13</v>
      </c>
      <c r="AL249" s="6" t="s">
        <v>56</v>
      </c>
      <c r="AM249" s="6" t="s">
        <v>265</v>
      </c>
      <c r="AN249" s="6" t="s">
        <v>22</v>
      </c>
      <c r="AO249" s="6" t="s">
        <v>662</v>
      </c>
      <c r="AP249" s="6" t="s">
        <v>480</v>
      </c>
      <c r="AQ249" s="6" t="s">
        <v>39</v>
      </c>
    </row>
    <row r="250" spans="1:43" hidden="1" x14ac:dyDescent="0.25">
      <c r="A250" s="6">
        <v>22700800</v>
      </c>
      <c r="B250" s="6">
        <v>23503015</v>
      </c>
      <c r="C250" s="6" t="s">
        <v>241</v>
      </c>
      <c r="D250" s="14">
        <v>45876.531006944453</v>
      </c>
      <c r="E250" s="14">
        <v>45876.550335648149</v>
      </c>
      <c r="F250" s="6" t="s">
        <v>19</v>
      </c>
      <c r="G250" s="6" t="s">
        <v>19</v>
      </c>
      <c r="H250" s="6" t="s">
        <v>1047</v>
      </c>
      <c r="I250" s="6" t="s">
        <v>259</v>
      </c>
      <c r="J250" s="6" t="s">
        <v>1048</v>
      </c>
      <c r="K250" s="6" t="s">
        <v>665</v>
      </c>
      <c r="L250" s="6" t="s">
        <v>665</v>
      </c>
      <c r="M250" s="14">
        <v>45876.405555555553</v>
      </c>
      <c r="N250" s="6">
        <v>76266</v>
      </c>
      <c r="O250" s="6" t="s">
        <v>92</v>
      </c>
      <c r="P250" s="6" t="s">
        <v>453</v>
      </c>
      <c r="Q250" s="6" t="s">
        <v>428</v>
      </c>
      <c r="R250" s="6" t="s">
        <v>428</v>
      </c>
      <c r="S250" s="6" t="s">
        <v>9</v>
      </c>
      <c r="T250" s="6" t="s">
        <v>248</v>
      </c>
      <c r="U250" s="6" t="s">
        <v>124</v>
      </c>
      <c r="V250" s="6" t="s">
        <v>1049</v>
      </c>
      <c r="W250" s="6" t="s">
        <v>92</v>
      </c>
      <c r="X250" s="6" t="s">
        <v>92</v>
      </c>
      <c r="Y250" s="6" t="s">
        <v>92</v>
      </c>
      <c r="Z250" s="6" t="s">
        <v>136</v>
      </c>
      <c r="AA250" s="6" t="s">
        <v>92</v>
      </c>
      <c r="AB250" s="6">
        <v>1908.2203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1050</v>
      </c>
      <c r="AJ250" s="6" t="s">
        <v>264</v>
      </c>
      <c r="AK250" s="6" t="s">
        <v>12</v>
      </c>
      <c r="AL250" s="6" t="s">
        <v>56</v>
      </c>
      <c r="AM250" s="6" t="s">
        <v>265</v>
      </c>
      <c r="AN250" s="6" t="s">
        <v>22</v>
      </c>
      <c r="AO250" s="6" t="s">
        <v>662</v>
      </c>
      <c r="AP250" s="6" t="s">
        <v>480</v>
      </c>
      <c r="AQ250" s="6" t="s">
        <v>39</v>
      </c>
    </row>
    <row r="251" spans="1:43" x14ac:dyDescent="0.25">
      <c r="A251" s="6">
        <v>21472471</v>
      </c>
      <c r="B251" s="6">
        <v>22436535</v>
      </c>
      <c r="C251" s="6" t="s">
        <v>241</v>
      </c>
      <c r="D251" s="14">
        <v>45674.739363425928</v>
      </c>
      <c r="E251" s="14">
        <v>45876.747094907398</v>
      </c>
      <c r="F251" s="6" t="s">
        <v>19</v>
      </c>
      <c r="G251" s="6" t="s">
        <v>30</v>
      </c>
      <c r="H251" s="6" t="s">
        <v>1051</v>
      </c>
      <c r="I251" s="6" t="s">
        <v>259</v>
      </c>
      <c r="J251" s="6" t="s">
        <v>1052</v>
      </c>
      <c r="K251" s="6" t="s">
        <v>744</v>
      </c>
      <c r="L251" s="6" t="s">
        <v>744</v>
      </c>
      <c r="M251" s="14">
        <v>45674.460416666669</v>
      </c>
      <c r="N251" s="6">
        <v>16588</v>
      </c>
      <c r="O251" s="6" t="s">
        <v>92</v>
      </c>
      <c r="P251" s="6" t="s">
        <v>245</v>
      </c>
      <c r="Q251" s="6" t="s">
        <v>246</v>
      </c>
      <c r="R251" s="6" t="s">
        <v>247</v>
      </c>
      <c r="S251" s="6" t="s">
        <v>7</v>
      </c>
      <c r="T251" s="6" t="s">
        <v>248</v>
      </c>
      <c r="U251" s="6" t="s">
        <v>124</v>
      </c>
      <c r="V251" s="6" t="s">
        <v>1053</v>
      </c>
      <c r="W251" s="6" t="s">
        <v>92</v>
      </c>
      <c r="X251" s="6" t="s">
        <v>420</v>
      </c>
      <c r="Y251" s="6">
        <v>3022436535</v>
      </c>
      <c r="Z251" s="6" t="s">
        <v>136</v>
      </c>
      <c r="AA251" s="6" t="s">
        <v>92</v>
      </c>
      <c r="AB251" s="6">
        <v>1522.86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1054</v>
      </c>
      <c r="AJ251" s="6" t="s">
        <v>1055</v>
      </c>
      <c r="AK251" s="6" t="s">
        <v>12</v>
      </c>
      <c r="AL251" s="6" t="s">
        <v>1056</v>
      </c>
      <c r="AM251" s="6" t="s">
        <v>1057</v>
      </c>
      <c r="AN251" s="6" t="s">
        <v>52</v>
      </c>
      <c r="AO251" s="6" t="s">
        <v>653</v>
      </c>
      <c r="AP251" s="6" t="s">
        <v>480</v>
      </c>
      <c r="AQ251" s="6" t="s">
        <v>43</v>
      </c>
    </row>
    <row r="252" spans="1:43" hidden="1" x14ac:dyDescent="0.25">
      <c r="A252" s="6">
        <v>22702115</v>
      </c>
      <c r="B252" s="6">
        <v>23504256</v>
      </c>
      <c r="C252" s="6" t="s">
        <v>241</v>
      </c>
      <c r="D252" s="14">
        <v>45876.699421296304</v>
      </c>
      <c r="E252" s="14">
        <v>45876.700682870367</v>
      </c>
      <c r="F252" s="6" t="s">
        <v>19</v>
      </c>
      <c r="G252" s="6" t="s">
        <v>19</v>
      </c>
      <c r="H252" s="6" t="s">
        <v>1058</v>
      </c>
      <c r="I252" s="6" t="s">
        <v>17</v>
      </c>
      <c r="J252" s="6" t="s">
        <v>1059</v>
      </c>
      <c r="K252" s="6" t="s">
        <v>1060</v>
      </c>
      <c r="L252" s="6" t="s">
        <v>1060</v>
      </c>
      <c r="M252" s="14">
        <v>45876.59375</v>
      </c>
      <c r="N252" s="6" t="s">
        <v>1061</v>
      </c>
      <c r="O252" s="6" t="s">
        <v>92</v>
      </c>
      <c r="P252" s="6" t="s">
        <v>245</v>
      </c>
      <c r="Q252" s="6" t="s">
        <v>659</v>
      </c>
      <c r="R252" s="6" t="s">
        <v>659</v>
      </c>
      <c r="S252" s="6" t="s">
        <v>9</v>
      </c>
      <c r="T252" s="6" t="s">
        <v>248</v>
      </c>
      <c r="U252" s="6" t="s">
        <v>149</v>
      </c>
      <c r="V252" s="6" t="s">
        <v>1062</v>
      </c>
      <c r="W252" s="6" t="s">
        <v>92</v>
      </c>
      <c r="X252" s="6" t="s">
        <v>92</v>
      </c>
      <c r="Y252" s="6" t="s">
        <v>92</v>
      </c>
      <c r="Z252" s="6" t="s">
        <v>103</v>
      </c>
      <c r="AA252" s="6" t="s">
        <v>92</v>
      </c>
      <c r="AB252" s="6">
        <v>788.07299999999998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456</v>
      </c>
      <c r="AJ252" s="6" t="s">
        <v>264</v>
      </c>
      <c r="AK252" s="6" t="s">
        <v>17</v>
      </c>
      <c r="AL252" s="6" t="s">
        <v>56</v>
      </c>
      <c r="AM252" s="6" t="s">
        <v>265</v>
      </c>
      <c r="AN252" s="6" t="s">
        <v>22</v>
      </c>
      <c r="AO252" s="6" t="s">
        <v>253</v>
      </c>
      <c r="AP252" s="6" t="s">
        <v>254</v>
      </c>
      <c r="AQ252" s="6" t="s">
        <v>20</v>
      </c>
    </row>
    <row r="253" spans="1:43" hidden="1" x14ac:dyDescent="0.25">
      <c r="A253" s="6">
        <v>22702411</v>
      </c>
      <c r="B253" s="6">
        <v>23504565</v>
      </c>
      <c r="C253" s="6" t="s">
        <v>241</v>
      </c>
      <c r="D253" s="14">
        <v>45876.730729166673</v>
      </c>
      <c r="E253" s="14">
        <v>45876.733657407407</v>
      </c>
      <c r="F253" s="6" t="s">
        <v>19</v>
      </c>
      <c r="G253" s="6" t="s">
        <v>19</v>
      </c>
      <c r="H253" s="6" t="s">
        <v>1063</v>
      </c>
      <c r="I253" s="6" t="s">
        <v>17</v>
      </c>
      <c r="J253" s="6" t="s">
        <v>1064</v>
      </c>
      <c r="K253" s="6" t="s">
        <v>1060</v>
      </c>
      <c r="L253" s="6" t="s">
        <v>1060</v>
      </c>
      <c r="M253" s="14">
        <v>45876.613194444442</v>
      </c>
      <c r="N253" s="6" t="s">
        <v>1065</v>
      </c>
      <c r="O253" s="6" t="s">
        <v>92</v>
      </c>
      <c r="P253" s="6" t="s">
        <v>245</v>
      </c>
      <c r="Q253" s="6" t="s">
        <v>659</v>
      </c>
      <c r="R253" s="6" t="s">
        <v>659</v>
      </c>
      <c r="S253" s="6" t="s">
        <v>9</v>
      </c>
      <c r="T253" s="6" t="s">
        <v>248</v>
      </c>
      <c r="U253" s="6" t="s">
        <v>149</v>
      </c>
      <c r="V253" s="6" t="s">
        <v>1062</v>
      </c>
      <c r="W253" s="6" t="s">
        <v>92</v>
      </c>
      <c r="X253" s="6" t="s">
        <v>92</v>
      </c>
      <c r="Y253" s="6" t="s">
        <v>92</v>
      </c>
      <c r="Z253" s="6" t="s">
        <v>103</v>
      </c>
      <c r="AA253" s="6" t="s">
        <v>92</v>
      </c>
      <c r="AB253" s="6">
        <v>20908.410400000001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456</v>
      </c>
      <c r="AJ253" s="6" t="s">
        <v>264</v>
      </c>
      <c r="AK253" s="6" t="s">
        <v>17</v>
      </c>
      <c r="AL253" s="6" t="s">
        <v>56</v>
      </c>
      <c r="AM253" s="6" t="s">
        <v>265</v>
      </c>
      <c r="AN253" s="6" t="s">
        <v>22</v>
      </c>
      <c r="AO253" s="6" t="s">
        <v>253</v>
      </c>
      <c r="AP253" s="6" t="s">
        <v>254</v>
      </c>
      <c r="AQ253" s="6" t="s">
        <v>20</v>
      </c>
    </row>
    <row r="254" spans="1:43" hidden="1" x14ac:dyDescent="0.25">
      <c r="A254" s="6">
        <v>22702412</v>
      </c>
      <c r="B254" s="6">
        <v>23504566</v>
      </c>
      <c r="C254" s="6" t="s">
        <v>241</v>
      </c>
      <c r="D254" s="14">
        <v>45876.730798611112</v>
      </c>
      <c r="E254" s="14">
        <v>45876.733668981477</v>
      </c>
      <c r="F254" s="6" t="s">
        <v>19</v>
      </c>
      <c r="G254" s="6" t="s">
        <v>19</v>
      </c>
      <c r="H254" s="6" t="s">
        <v>1066</v>
      </c>
      <c r="I254" s="6" t="s">
        <v>17</v>
      </c>
      <c r="J254" s="6" t="s">
        <v>1067</v>
      </c>
      <c r="K254" s="6" t="s">
        <v>1060</v>
      </c>
      <c r="L254" s="6" t="s">
        <v>1060</v>
      </c>
      <c r="M254" s="14">
        <v>45876.615277777782</v>
      </c>
      <c r="N254" s="6" t="s">
        <v>1065</v>
      </c>
      <c r="O254" s="6" t="s">
        <v>92</v>
      </c>
      <c r="P254" s="6" t="s">
        <v>245</v>
      </c>
      <c r="Q254" s="6" t="s">
        <v>659</v>
      </c>
      <c r="R254" s="6" t="s">
        <v>659</v>
      </c>
      <c r="S254" s="6" t="s">
        <v>9</v>
      </c>
      <c r="T254" s="6" t="s">
        <v>248</v>
      </c>
      <c r="U254" s="6" t="s">
        <v>149</v>
      </c>
      <c r="V254" s="6" t="s">
        <v>1062</v>
      </c>
      <c r="W254" s="6" t="s">
        <v>92</v>
      </c>
      <c r="X254" s="6" t="s">
        <v>92</v>
      </c>
      <c r="Y254" s="6" t="s">
        <v>92</v>
      </c>
      <c r="Z254" s="6" t="s">
        <v>103</v>
      </c>
      <c r="AA254" s="6" t="s">
        <v>92</v>
      </c>
      <c r="AB254" s="6">
        <v>20908.410400000001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456</v>
      </c>
      <c r="AJ254" s="6" t="s">
        <v>264</v>
      </c>
      <c r="AK254" s="6" t="s">
        <v>17</v>
      </c>
      <c r="AL254" s="6" t="s">
        <v>56</v>
      </c>
      <c r="AM254" s="6" t="s">
        <v>265</v>
      </c>
      <c r="AN254" s="6" t="s">
        <v>22</v>
      </c>
      <c r="AO254" s="6" t="s">
        <v>253</v>
      </c>
      <c r="AP254" s="6" t="s">
        <v>254</v>
      </c>
      <c r="AQ254" s="6" t="s">
        <v>20</v>
      </c>
    </row>
    <row r="255" spans="1:43" hidden="1" x14ac:dyDescent="0.25">
      <c r="A255" s="6">
        <v>22699967</v>
      </c>
      <c r="B255" s="6">
        <v>23502212</v>
      </c>
      <c r="C255" s="6" t="s">
        <v>241</v>
      </c>
      <c r="D255" s="14">
        <v>45876.480671296304</v>
      </c>
      <c r="E255" s="14">
        <v>45876.483807870369</v>
      </c>
      <c r="F255" s="6" t="s">
        <v>19</v>
      </c>
      <c r="G255" s="6" t="s">
        <v>19</v>
      </c>
      <c r="H255" s="6" t="s">
        <v>1068</v>
      </c>
      <c r="I255" s="6" t="s">
        <v>17</v>
      </c>
      <c r="J255" s="6" t="s">
        <v>1069</v>
      </c>
      <c r="K255" s="6" t="s">
        <v>1070</v>
      </c>
      <c r="L255" s="6" t="s">
        <v>1070</v>
      </c>
      <c r="M255" s="14">
        <v>45876.384027777778</v>
      </c>
      <c r="N255" s="6" t="s">
        <v>1065</v>
      </c>
      <c r="O255" s="6" t="s">
        <v>92</v>
      </c>
      <c r="P255" s="6" t="s">
        <v>245</v>
      </c>
      <c r="Q255" s="6" t="s">
        <v>659</v>
      </c>
      <c r="R255" s="6" t="s">
        <v>659</v>
      </c>
      <c r="S255" s="6" t="s">
        <v>9</v>
      </c>
      <c r="T255" s="6" t="s">
        <v>248</v>
      </c>
      <c r="U255" s="6" t="s">
        <v>149</v>
      </c>
      <c r="V255" s="6" t="s">
        <v>1062</v>
      </c>
      <c r="W255" s="6" t="s">
        <v>92</v>
      </c>
      <c r="X255" s="6" t="s">
        <v>92</v>
      </c>
      <c r="Y255" s="6" t="s">
        <v>92</v>
      </c>
      <c r="Z255" s="6" t="s">
        <v>103</v>
      </c>
      <c r="AA255" s="6" t="s">
        <v>92</v>
      </c>
      <c r="AB255" s="6">
        <v>1789</v>
      </c>
      <c r="AC255" s="6">
        <v>232.57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456</v>
      </c>
      <c r="AJ255" s="6" t="s">
        <v>264</v>
      </c>
      <c r="AK255" s="6" t="s">
        <v>17</v>
      </c>
      <c r="AL255" s="6" t="s">
        <v>56</v>
      </c>
      <c r="AM255" s="6" t="s">
        <v>265</v>
      </c>
      <c r="AN255" s="6" t="s">
        <v>22</v>
      </c>
      <c r="AO255" s="6" t="s">
        <v>253</v>
      </c>
      <c r="AP255" s="6" t="s">
        <v>254</v>
      </c>
      <c r="AQ255" s="6" t="s">
        <v>20</v>
      </c>
    </row>
    <row r="256" spans="1:43" hidden="1" x14ac:dyDescent="0.25">
      <c r="A256" s="6">
        <v>22702410</v>
      </c>
      <c r="B256" s="6">
        <v>23504564</v>
      </c>
      <c r="C256" s="6" t="s">
        <v>241</v>
      </c>
      <c r="D256" s="14">
        <v>45876.73064814815</v>
      </c>
      <c r="E256" s="14">
        <v>45876.73364583333</v>
      </c>
      <c r="F256" s="6" t="s">
        <v>19</v>
      </c>
      <c r="G256" s="6" t="s">
        <v>19</v>
      </c>
      <c r="H256" s="6" t="s">
        <v>1071</v>
      </c>
      <c r="I256" s="6" t="s">
        <v>17</v>
      </c>
      <c r="J256" s="6" t="s">
        <v>1072</v>
      </c>
      <c r="K256" s="6" t="s">
        <v>1073</v>
      </c>
      <c r="L256" s="6" t="s">
        <v>1073</v>
      </c>
      <c r="M256" s="14">
        <v>45876.574305555558</v>
      </c>
      <c r="N256" s="6" t="s">
        <v>1074</v>
      </c>
      <c r="O256" s="6" t="s">
        <v>92</v>
      </c>
      <c r="P256" s="6" t="s">
        <v>245</v>
      </c>
      <c r="Q256" s="6" t="s">
        <v>659</v>
      </c>
      <c r="R256" s="6" t="s">
        <v>659</v>
      </c>
      <c r="S256" s="6" t="s">
        <v>9</v>
      </c>
      <c r="T256" s="6" t="s">
        <v>248</v>
      </c>
      <c r="U256" s="6" t="s">
        <v>149</v>
      </c>
      <c r="V256" s="6" t="s">
        <v>1062</v>
      </c>
      <c r="W256" s="6" t="s">
        <v>92</v>
      </c>
      <c r="X256" s="6" t="s">
        <v>92</v>
      </c>
      <c r="Y256" s="6" t="s">
        <v>92</v>
      </c>
      <c r="Z256" s="6" t="s">
        <v>103</v>
      </c>
      <c r="AA256" s="6" t="s">
        <v>92</v>
      </c>
      <c r="AB256" s="6">
        <v>520</v>
      </c>
      <c r="AC256" s="6">
        <v>19.5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456</v>
      </c>
      <c r="AJ256" s="6" t="s">
        <v>264</v>
      </c>
      <c r="AK256" s="6" t="s">
        <v>17</v>
      </c>
      <c r="AL256" s="6" t="s">
        <v>56</v>
      </c>
      <c r="AM256" s="6" t="s">
        <v>265</v>
      </c>
      <c r="AN256" s="6" t="s">
        <v>22</v>
      </c>
      <c r="AO256" s="6" t="s">
        <v>253</v>
      </c>
      <c r="AP256" s="6" t="s">
        <v>254</v>
      </c>
      <c r="AQ256" s="6" t="s">
        <v>20</v>
      </c>
    </row>
    <row r="257" spans="1:43" hidden="1" x14ac:dyDescent="0.25">
      <c r="A257" s="6">
        <v>22701666</v>
      </c>
      <c r="B257" s="6">
        <v>23503823</v>
      </c>
      <c r="C257" s="6" t="s">
        <v>241</v>
      </c>
      <c r="D257" s="14">
        <v>45876.648055555554</v>
      </c>
      <c r="E257" s="14">
        <v>45876.650520833333</v>
      </c>
      <c r="F257" s="6" t="s">
        <v>19</v>
      </c>
      <c r="G257" s="6" t="s">
        <v>19</v>
      </c>
      <c r="H257" s="6" t="s">
        <v>1075</v>
      </c>
      <c r="I257" s="6" t="s">
        <v>17</v>
      </c>
      <c r="J257" s="6" t="s">
        <v>1076</v>
      </c>
      <c r="K257" s="6" t="s">
        <v>1073</v>
      </c>
      <c r="L257" s="6" t="s">
        <v>1073</v>
      </c>
      <c r="M257" s="14">
        <v>45876.46597222222</v>
      </c>
      <c r="N257" s="6" t="s">
        <v>1065</v>
      </c>
      <c r="O257" s="6" t="s">
        <v>92</v>
      </c>
      <c r="P257" s="6" t="s">
        <v>245</v>
      </c>
      <c r="Q257" s="6" t="s">
        <v>659</v>
      </c>
      <c r="R257" s="6" t="s">
        <v>659</v>
      </c>
      <c r="S257" s="6" t="s">
        <v>9</v>
      </c>
      <c r="T257" s="6" t="s">
        <v>248</v>
      </c>
      <c r="U257" s="6" t="s">
        <v>149</v>
      </c>
      <c r="V257" s="6" t="s">
        <v>1062</v>
      </c>
      <c r="W257" s="6" t="s">
        <v>92</v>
      </c>
      <c r="X257" s="6" t="s">
        <v>92</v>
      </c>
      <c r="Y257" s="6" t="s">
        <v>92</v>
      </c>
      <c r="Z257" s="6" t="s">
        <v>103</v>
      </c>
      <c r="AA257" s="6" t="s">
        <v>92</v>
      </c>
      <c r="AB257" s="6">
        <v>699.89700000000005</v>
      </c>
      <c r="AC257" s="6">
        <v>12.7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456</v>
      </c>
      <c r="AJ257" s="6" t="s">
        <v>264</v>
      </c>
      <c r="AK257" s="6" t="s">
        <v>17</v>
      </c>
      <c r="AL257" s="6" t="s">
        <v>56</v>
      </c>
      <c r="AM257" s="6" t="s">
        <v>265</v>
      </c>
      <c r="AN257" s="6" t="s">
        <v>22</v>
      </c>
      <c r="AO257" s="6" t="s">
        <v>253</v>
      </c>
      <c r="AP257" s="6" t="s">
        <v>254</v>
      </c>
      <c r="AQ257" s="6" t="s">
        <v>20</v>
      </c>
    </row>
    <row r="258" spans="1:43" hidden="1" x14ac:dyDescent="0.25">
      <c r="A258" s="6">
        <v>22701667</v>
      </c>
      <c r="B258" s="6">
        <v>23503824</v>
      </c>
      <c r="C258" s="6" t="s">
        <v>241</v>
      </c>
      <c r="D258" s="14">
        <v>45876.648125</v>
      </c>
      <c r="E258" s="14">
        <v>45876.650520833333</v>
      </c>
      <c r="F258" s="6" t="s">
        <v>19</v>
      </c>
      <c r="G258" s="6" t="s">
        <v>19</v>
      </c>
      <c r="H258" s="6" t="s">
        <v>1077</v>
      </c>
      <c r="I258" s="6" t="s">
        <v>17</v>
      </c>
      <c r="J258" s="6" t="s">
        <v>1078</v>
      </c>
      <c r="K258" s="6" t="s">
        <v>1073</v>
      </c>
      <c r="L258" s="6" t="s">
        <v>1073</v>
      </c>
      <c r="M258" s="14">
        <v>45876.472916666673</v>
      </c>
      <c r="N258" s="6" t="s">
        <v>1065</v>
      </c>
      <c r="O258" s="6" t="s">
        <v>92</v>
      </c>
      <c r="P258" s="6" t="s">
        <v>245</v>
      </c>
      <c r="Q258" s="6" t="s">
        <v>659</v>
      </c>
      <c r="R258" s="6" t="s">
        <v>659</v>
      </c>
      <c r="S258" s="6" t="s">
        <v>9</v>
      </c>
      <c r="T258" s="6" t="s">
        <v>248</v>
      </c>
      <c r="U258" s="6" t="s">
        <v>149</v>
      </c>
      <c r="V258" s="6" t="s">
        <v>1062</v>
      </c>
      <c r="W258" s="6" t="s">
        <v>92</v>
      </c>
      <c r="X258" s="6" t="s">
        <v>92</v>
      </c>
      <c r="Y258" s="6" t="s">
        <v>92</v>
      </c>
      <c r="Z258" s="6" t="s">
        <v>103</v>
      </c>
      <c r="AA258" s="6" t="s">
        <v>92</v>
      </c>
      <c r="AB258" s="6">
        <v>699.89700000000005</v>
      </c>
      <c r="AC258" s="6">
        <v>12.7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456</v>
      </c>
      <c r="AJ258" s="6" t="s">
        <v>264</v>
      </c>
      <c r="AK258" s="6" t="s">
        <v>17</v>
      </c>
      <c r="AL258" s="6" t="s">
        <v>56</v>
      </c>
      <c r="AM258" s="6" t="s">
        <v>265</v>
      </c>
      <c r="AN258" s="6" t="s">
        <v>22</v>
      </c>
      <c r="AO258" s="6" t="s">
        <v>253</v>
      </c>
      <c r="AP258" s="6" t="s">
        <v>254</v>
      </c>
      <c r="AQ258" s="6" t="s">
        <v>20</v>
      </c>
    </row>
    <row r="259" spans="1:43" hidden="1" x14ac:dyDescent="0.25">
      <c r="A259" s="6">
        <v>22700151</v>
      </c>
      <c r="B259" s="6">
        <v>23502392</v>
      </c>
      <c r="C259" s="6" t="s">
        <v>241</v>
      </c>
      <c r="D259" s="14">
        <v>45876.502534722233</v>
      </c>
      <c r="E259" s="14">
        <v>45876.504988425928</v>
      </c>
      <c r="F259" s="6" t="s">
        <v>19</v>
      </c>
      <c r="G259" s="6" t="s">
        <v>19</v>
      </c>
      <c r="H259" s="6" t="s">
        <v>1079</v>
      </c>
      <c r="I259" s="6" t="s">
        <v>17</v>
      </c>
      <c r="J259" s="6" t="s">
        <v>1080</v>
      </c>
      <c r="K259" s="6" t="s">
        <v>1073</v>
      </c>
      <c r="L259" s="6" t="s">
        <v>1073</v>
      </c>
      <c r="M259" s="14">
        <v>45876.398611111108</v>
      </c>
      <c r="N259" s="6" t="s">
        <v>1065</v>
      </c>
      <c r="O259" s="6" t="s">
        <v>92</v>
      </c>
      <c r="P259" s="6" t="s">
        <v>245</v>
      </c>
      <c r="Q259" s="6" t="s">
        <v>659</v>
      </c>
      <c r="R259" s="6" t="s">
        <v>659</v>
      </c>
      <c r="S259" s="6" t="s">
        <v>9</v>
      </c>
      <c r="T259" s="6" t="s">
        <v>248</v>
      </c>
      <c r="U259" s="6" t="s">
        <v>149</v>
      </c>
      <c r="V259" s="6" t="s">
        <v>1062</v>
      </c>
      <c r="W259" s="6" t="s">
        <v>92</v>
      </c>
      <c r="X259" s="6" t="s">
        <v>92</v>
      </c>
      <c r="Y259" s="6" t="s">
        <v>92</v>
      </c>
      <c r="Z259" s="6" t="s">
        <v>103</v>
      </c>
      <c r="AA259" s="6" t="s">
        <v>92</v>
      </c>
      <c r="AB259" s="6">
        <v>3577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456</v>
      </c>
      <c r="AJ259" s="6" t="s">
        <v>264</v>
      </c>
      <c r="AK259" s="6" t="s">
        <v>17</v>
      </c>
      <c r="AL259" s="6" t="s">
        <v>56</v>
      </c>
      <c r="AM259" s="6" t="s">
        <v>265</v>
      </c>
      <c r="AN259" s="6" t="s">
        <v>22</v>
      </c>
      <c r="AO259" s="6" t="s">
        <v>253</v>
      </c>
      <c r="AP259" s="6" t="s">
        <v>254</v>
      </c>
      <c r="AQ259" s="6" t="s">
        <v>20</v>
      </c>
    </row>
    <row r="260" spans="1:43" hidden="1" x14ac:dyDescent="0.25">
      <c r="A260" s="6">
        <v>22701391</v>
      </c>
      <c r="B260" s="6">
        <v>23503564</v>
      </c>
      <c r="C260" s="6" t="s">
        <v>241</v>
      </c>
      <c r="D260" s="14">
        <v>45876.605636574073</v>
      </c>
      <c r="E260" s="14">
        <v>45876.608576388891</v>
      </c>
      <c r="F260" s="6" t="s">
        <v>19</v>
      </c>
      <c r="G260" s="6" t="s">
        <v>19</v>
      </c>
      <c r="H260" s="6" t="s">
        <v>1081</v>
      </c>
      <c r="I260" s="6" t="s">
        <v>17</v>
      </c>
      <c r="J260" s="6" t="s">
        <v>1082</v>
      </c>
      <c r="K260" s="6" t="s">
        <v>451</v>
      </c>
      <c r="L260" s="6" t="s">
        <v>451</v>
      </c>
      <c r="M260" s="14">
        <v>45876.509722222218</v>
      </c>
      <c r="N260" s="6" t="s">
        <v>1083</v>
      </c>
      <c r="O260" s="6" t="s">
        <v>92</v>
      </c>
      <c r="P260" s="6" t="s">
        <v>453</v>
      </c>
      <c r="Q260" s="6" t="s">
        <v>659</v>
      </c>
      <c r="R260" s="6" t="s">
        <v>659</v>
      </c>
      <c r="S260" s="6" t="s">
        <v>9</v>
      </c>
      <c r="T260" s="6" t="s">
        <v>248</v>
      </c>
      <c r="U260" s="6" t="s">
        <v>149</v>
      </c>
      <c r="V260" s="6" t="s">
        <v>1062</v>
      </c>
      <c r="W260" s="6" t="s">
        <v>92</v>
      </c>
      <c r="X260" s="6" t="s">
        <v>92</v>
      </c>
      <c r="Y260" s="6" t="s">
        <v>92</v>
      </c>
      <c r="Z260" s="6" t="s">
        <v>103</v>
      </c>
      <c r="AA260" s="6" t="s">
        <v>92</v>
      </c>
      <c r="AB260" s="6">
        <v>1196</v>
      </c>
      <c r="AC260" s="6">
        <v>51.31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456</v>
      </c>
      <c r="AJ260" s="6" t="s">
        <v>264</v>
      </c>
      <c r="AK260" s="6" t="s">
        <v>17</v>
      </c>
      <c r="AL260" s="6" t="s">
        <v>56</v>
      </c>
      <c r="AM260" s="6" t="s">
        <v>265</v>
      </c>
      <c r="AN260" s="6" t="s">
        <v>22</v>
      </c>
      <c r="AO260" s="6" t="s">
        <v>662</v>
      </c>
      <c r="AP260" s="6" t="s">
        <v>480</v>
      </c>
      <c r="AQ260" s="6" t="s">
        <v>39</v>
      </c>
    </row>
    <row r="261" spans="1:43" hidden="1" x14ac:dyDescent="0.25">
      <c r="A261" s="6">
        <v>22700575</v>
      </c>
      <c r="B261" s="6">
        <v>23502796</v>
      </c>
      <c r="C261" s="6" t="s">
        <v>241</v>
      </c>
      <c r="D261" s="14">
        <v>45876.521469907413</v>
      </c>
      <c r="E261" s="14">
        <v>45876.533645833333</v>
      </c>
      <c r="F261" s="6" t="s">
        <v>19</v>
      </c>
      <c r="G261" s="6" t="s">
        <v>19</v>
      </c>
      <c r="H261" s="6" t="s">
        <v>1084</v>
      </c>
      <c r="I261" s="6" t="s">
        <v>259</v>
      </c>
      <c r="J261" s="6" t="s">
        <v>1085</v>
      </c>
      <c r="K261" s="6" t="s">
        <v>1086</v>
      </c>
      <c r="L261" s="6" t="s">
        <v>1086</v>
      </c>
      <c r="M261" s="14">
        <v>45876.388888888891</v>
      </c>
      <c r="N261" s="6">
        <v>24853</v>
      </c>
      <c r="O261" s="6" t="s">
        <v>92</v>
      </c>
      <c r="P261" s="6" t="s">
        <v>245</v>
      </c>
      <c r="Q261" s="6" t="s">
        <v>428</v>
      </c>
      <c r="R261" s="6" t="s">
        <v>428</v>
      </c>
      <c r="S261" s="6" t="s">
        <v>7</v>
      </c>
      <c r="T261" s="6" t="s">
        <v>248</v>
      </c>
      <c r="U261" s="6" t="s">
        <v>140</v>
      </c>
      <c r="V261" s="6" t="s">
        <v>1087</v>
      </c>
      <c r="W261" s="6" t="s">
        <v>92</v>
      </c>
      <c r="X261" s="6" t="s">
        <v>420</v>
      </c>
      <c r="Y261" s="6">
        <v>3023502796</v>
      </c>
      <c r="Z261" s="6" t="s">
        <v>89</v>
      </c>
      <c r="AA261" s="6" t="s">
        <v>92</v>
      </c>
      <c r="AB261" s="6">
        <v>0</v>
      </c>
      <c r="AC261" s="6">
        <v>98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1088</v>
      </c>
      <c r="AJ261" s="6" t="s">
        <v>1089</v>
      </c>
      <c r="AK261" s="6" t="s">
        <v>12</v>
      </c>
      <c r="AL261" s="6" t="s">
        <v>61</v>
      </c>
      <c r="AM261" s="6" t="s">
        <v>67</v>
      </c>
      <c r="AN261" s="6" t="s">
        <v>22</v>
      </c>
      <c r="AO261" s="6" t="s">
        <v>253</v>
      </c>
      <c r="AP261" s="6" t="s">
        <v>254</v>
      </c>
      <c r="AQ261" s="6" t="s">
        <v>45</v>
      </c>
    </row>
    <row r="262" spans="1:43" hidden="1" x14ac:dyDescent="0.25">
      <c r="A262" s="6">
        <v>22695767</v>
      </c>
      <c r="B262" s="6">
        <v>23498618</v>
      </c>
      <c r="C262" s="6" t="s">
        <v>241</v>
      </c>
      <c r="D262" s="14">
        <v>45875.768506944441</v>
      </c>
      <c r="E262" s="14">
        <v>45875.789074074077</v>
      </c>
      <c r="F262" s="6" t="s">
        <v>19</v>
      </c>
      <c r="G262" s="6" t="s">
        <v>19</v>
      </c>
      <c r="H262" s="6" t="s">
        <v>1090</v>
      </c>
      <c r="I262" s="6" t="s">
        <v>259</v>
      </c>
      <c r="J262" s="6" t="s">
        <v>1091</v>
      </c>
      <c r="K262" s="6" t="s">
        <v>665</v>
      </c>
      <c r="L262" s="6" t="s">
        <v>665</v>
      </c>
      <c r="M262" s="14">
        <v>45875.574999999997</v>
      </c>
      <c r="N262" s="6">
        <v>24842</v>
      </c>
      <c r="O262" s="6" t="s">
        <v>92</v>
      </c>
      <c r="P262" s="6" t="s">
        <v>453</v>
      </c>
      <c r="Q262" s="6" t="s">
        <v>428</v>
      </c>
      <c r="R262" s="6" t="s">
        <v>428</v>
      </c>
      <c r="S262" s="6" t="s">
        <v>9</v>
      </c>
      <c r="T262" s="6" t="s">
        <v>248</v>
      </c>
      <c r="U262" s="6" t="s">
        <v>140</v>
      </c>
      <c r="V262" s="6" t="s">
        <v>1087</v>
      </c>
      <c r="W262" s="6" t="s">
        <v>92</v>
      </c>
      <c r="X262" s="6" t="s">
        <v>92</v>
      </c>
      <c r="Y262" s="6" t="s">
        <v>92</v>
      </c>
      <c r="Z262" s="6" t="s">
        <v>89</v>
      </c>
      <c r="AA262" s="6" t="s">
        <v>92</v>
      </c>
      <c r="AB262" s="6">
        <v>260</v>
      </c>
      <c r="AC262" s="6">
        <v>0</v>
      </c>
      <c r="AD262" s="6">
        <v>0</v>
      </c>
      <c r="AE262" s="6">
        <v>0</v>
      </c>
      <c r="AF262" s="6">
        <v>0</v>
      </c>
      <c r="AG262" s="6">
        <v>5.2</v>
      </c>
      <c r="AH262" s="6">
        <v>0</v>
      </c>
      <c r="AI262" s="6" t="s">
        <v>1092</v>
      </c>
      <c r="AJ262" s="6" t="s">
        <v>264</v>
      </c>
      <c r="AK262" s="6" t="s">
        <v>12</v>
      </c>
      <c r="AL262" s="6" t="s">
        <v>56</v>
      </c>
      <c r="AM262" s="6" t="s">
        <v>265</v>
      </c>
      <c r="AN262" s="6" t="s">
        <v>22</v>
      </c>
      <c r="AO262" s="6" t="s">
        <v>662</v>
      </c>
      <c r="AP262" s="6" t="s">
        <v>480</v>
      </c>
      <c r="AQ262" s="6" t="s">
        <v>39</v>
      </c>
    </row>
    <row r="263" spans="1:43" hidden="1" x14ac:dyDescent="0.25">
      <c r="A263" s="6">
        <v>22680788</v>
      </c>
      <c r="B263" s="6">
        <v>23485269</v>
      </c>
      <c r="C263" s="6" t="s">
        <v>241</v>
      </c>
      <c r="D263" s="14">
        <v>45873.763831018521</v>
      </c>
      <c r="E263" s="14">
        <v>45873.781782407408</v>
      </c>
      <c r="F263" s="6" t="s">
        <v>21</v>
      </c>
      <c r="G263" s="6" t="s">
        <v>21</v>
      </c>
      <c r="H263" s="6" t="s">
        <v>1093</v>
      </c>
      <c r="I263" s="6" t="s">
        <v>259</v>
      </c>
      <c r="J263" s="6" t="s">
        <v>1094</v>
      </c>
      <c r="K263" s="6" t="s">
        <v>665</v>
      </c>
      <c r="L263" s="6" t="s">
        <v>665</v>
      </c>
      <c r="M263" s="14">
        <v>45873.59652777778</v>
      </c>
      <c r="N263" s="6">
        <v>24743</v>
      </c>
      <c r="O263" s="6" t="s">
        <v>92</v>
      </c>
      <c r="P263" s="6" t="s">
        <v>453</v>
      </c>
      <c r="Q263" s="6" t="s">
        <v>428</v>
      </c>
      <c r="R263" s="6" t="s">
        <v>428</v>
      </c>
      <c r="S263" s="6" t="s">
        <v>9</v>
      </c>
      <c r="T263" s="6" t="s">
        <v>248</v>
      </c>
      <c r="U263" s="6" t="s">
        <v>140</v>
      </c>
      <c r="V263" s="6" t="s">
        <v>1087</v>
      </c>
      <c r="W263" s="6" t="s">
        <v>92</v>
      </c>
      <c r="X263" s="6" t="s">
        <v>92</v>
      </c>
      <c r="Y263" s="6" t="s">
        <v>92</v>
      </c>
      <c r="Z263" s="6" t="s">
        <v>89</v>
      </c>
      <c r="AA263" s="6" t="s">
        <v>92</v>
      </c>
      <c r="AB263" s="6">
        <v>1170</v>
      </c>
      <c r="AC263" s="6">
        <v>0</v>
      </c>
      <c r="AD263" s="6">
        <v>0</v>
      </c>
      <c r="AE263" s="6">
        <v>0</v>
      </c>
      <c r="AF263" s="6">
        <v>0</v>
      </c>
      <c r="AG263" s="6">
        <v>58.5</v>
      </c>
      <c r="AH263" s="6">
        <v>0</v>
      </c>
      <c r="AI263" s="6" t="s">
        <v>1095</v>
      </c>
      <c r="AJ263" s="6" t="s">
        <v>264</v>
      </c>
      <c r="AK263" s="6" t="s">
        <v>12</v>
      </c>
      <c r="AL263" s="6" t="s">
        <v>56</v>
      </c>
      <c r="AM263" s="6" t="s">
        <v>265</v>
      </c>
      <c r="AN263" s="6" t="s">
        <v>22</v>
      </c>
      <c r="AO263" s="6" t="s">
        <v>662</v>
      </c>
      <c r="AP263" s="6" t="s">
        <v>480</v>
      </c>
      <c r="AQ263" s="6" t="s">
        <v>39</v>
      </c>
    </row>
    <row r="264" spans="1:43" hidden="1" x14ac:dyDescent="0.25">
      <c r="A264" s="6">
        <v>22703248</v>
      </c>
      <c r="B264" s="6">
        <v>23505355</v>
      </c>
      <c r="C264" s="6" t="s">
        <v>241</v>
      </c>
      <c r="D264" s="14">
        <v>45876.777546296304</v>
      </c>
      <c r="E264" s="14">
        <v>45876.798888888887</v>
      </c>
      <c r="F264" s="6" t="s">
        <v>19</v>
      </c>
      <c r="G264" s="6" t="s">
        <v>19</v>
      </c>
      <c r="H264" s="6" t="s">
        <v>1096</v>
      </c>
      <c r="I264" s="6" t="s">
        <v>259</v>
      </c>
      <c r="J264" s="6" t="s">
        <v>1097</v>
      </c>
      <c r="K264" s="6" t="s">
        <v>665</v>
      </c>
      <c r="L264" s="6" t="s">
        <v>665</v>
      </c>
      <c r="M264" s="14">
        <v>45876.640277777777</v>
      </c>
      <c r="N264" s="6">
        <v>24881</v>
      </c>
      <c r="O264" s="6" t="s">
        <v>1098</v>
      </c>
      <c r="P264" s="6" t="s">
        <v>453</v>
      </c>
      <c r="Q264" s="6" t="s">
        <v>246</v>
      </c>
      <c r="R264" s="6" t="s">
        <v>247</v>
      </c>
      <c r="S264" s="6" t="s">
        <v>8</v>
      </c>
      <c r="T264" s="6" t="s">
        <v>248</v>
      </c>
      <c r="U264" s="6" t="s">
        <v>140</v>
      </c>
      <c r="V264" s="6" t="s">
        <v>1087</v>
      </c>
      <c r="W264" s="6" t="s">
        <v>92</v>
      </c>
      <c r="X264" s="6" t="s">
        <v>92</v>
      </c>
      <c r="Y264" s="6" t="s">
        <v>92</v>
      </c>
      <c r="Z264" s="6" t="s">
        <v>89</v>
      </c>
      <c r="AA264" s="6" t="s">
        <v>92</v>
      </c>
      <c r="AB264" s="6">
        <v>4010.72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1099</v>
      </c>
      <c r="AJ264" s="6" t="s">
        <v>264</v>
      </c>
      <c r="AK264" s="6" t="s">
        <v>12</v>
      </c>
      <c r="AL264" s="6" t="s">
        <v>56</v>
      </c>
      <c r="AM264" s="6" t="s">
        <v>265</v>
      </c>
      <c r="AN264" s="6" t="s">
        <v>22</v>
      </c>
      <c r="AO264" s="6" t="s">
        <v>253</v>
      </c>
      <c r="AP264" s="6" t="s">
        <v>254</v>
      </c>
      <c r="AQ264" s="6" t="s">
        <v>20</v>
      </c>
    </row>
    <row r="265" spans="1:43" hidden="1" x14ac:dyDescent="0.25">
      <c r="A265" s="6">
        <v>22703258</v>
      </c>
      <c r="B265" s="6">
        <v>23505364</v>
      </c>
      <c r="C265" s="6" t="s">
        <v>241</v>
      </c>
      <c r="D265" s="14">
        <v>45876.777870370373</v>
      </c>
      <c r="E265" s="14">
        <v>45876.802523148152</v>
      </c>
      <c r="F265" s="6" t="s">
        <v>19</v>
      </c>
      <c r="G265" s="6" t="s">
        <v>19</v>
      </c>
      <c r="H265" s="6" t="s">
        <v>1100</v>
      </c>
      <c r="I265" s="6" t="s">
        <v>259</v>
      </c>
      <c r="J265" s="6" t="s">
        <v>1101</v>
      </c>
      <c r="K265" s="6" t="s">
        <v>665</v>
      </c>
      <c r="L265" s="6" t="s">
        <v>665</v>
      </c>
      <c r="M265" s="14">
        <v>45876.646527777782</v>
      </c>
      <c r="N265" s="6">
        <v>24866</v>
      </c>
      <c r="O265" s="6" t="s">
        <v>1102</v>
      </c>
      <c r="P265" s="6" t="s">
        <v>453</v>
      </c>
      <c r="Q265" s="6" t="s">
        <v>246</v>
      </c>
      <c r="R265" s="6" t="s">
        <v>247</v>
      </c>
      <c r="S265" s="6" t="s">
        <v>8</v>
      </c>
      <c r="T265" s="6" t="s">
        <v>248</v>
      </c>
      <c r="U265" s="6" t="s">
        <v>140</v>
      </c>
      <c r="V265" s="6" t="s">
        <v>1087</v>
      </c>
      <c r="W265" s="6" t="s">
        <v>92</v>
      </c>
      <c r="X265" s="6" t="s">
        <v>92</v>
      </c>
      <c r="Y265" s="6" t="s">
        <v>92</v>
      </c>
      <c r="Z265" s="6" t="s">
        <v>89</v>
      </c>
      <c r="AA265" s="6" t="s">
        <v>92</v>
      </c>
      <c r="AB265" s="6">
        <v>338.91199999999998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1103</v>
      </c>
      <c r="AJ265" s="6" t="s">
        <v>264</v>
      </c>
      <c r="AK265" s="6" t="s">
        <v>12</v>
      </c>
      <c r="AL265" s="6" t="s">
        <v>56</v>
      </c>
      <c r="AM265" s="6" t="s">
        <v>265</v>
      </c>
      <c r="AN265" s="6" t="s">
        <v>22</v>
      </c>
      <c r="AO265" s="6" t="s">
        <v>253</v>
      </c>
      <c r="AP265" s="6" t="s">
        <v>254</v>
      </c>
      <c r="AQ265" s="6" t="s">
        <v>20</v>
      </c>
    </row>
    <row r="266" spans="1:43" hidden="1" x14ac:dyDescent="0.25">
      <c r="A266" s="6">
        <v>22703260</v>
      </c>
      <c r="B266" s="6">
        <v>23505366</v>
      </c>
      <c r="C266" s="6" t="s">
        <v>241</v>
      </c>
      <c r="D266" s="14">
        <v>45876.777962962973</v>
      </c>
      <c r="E266" s="14">
        <v>45876.802523148152</v>
      </c>
      <c r="F266" s="6" t="s">
        <v>19</v>
      </c>
      <c r="G266" s="6" t="s">
        <v>19</v>
      </c>
      <c r="H266" s="6" t="s">
        <v>1104</v>
      </c>
      <c r="I266" s="6" t="s">
        <v>259</v>
      </c>
      <c r="J266" s="6" t="s">
        <v>1105</v>
      </c>
      <c r="K266" s="6" t="s">
        <v>665</v>
      </c>
      <c r="L266" s="6" t="s">
        <v>665</v>
      </c>
      <c r="M266" s="14">
        <v>45876.604166666657</v>
      </c>
      <c r="N266" s="6">
        <v>24841</v>
      </c>
      <c r="O266" s="6" t="s">
        <v>92</v>
      </c>
      <c r="P266" s="6" t="s">
        <v>453</v>
      </c>
      <c r="Q266" s="6" t="s">
        <v>428</v>
      </c>
      <c r="R266" s="6" t="s">
        <v>428</v>
      </c>
      <c r="S266" s="6" t="s">
        <v>9</v>
      </c>
      <c r="T266" s="6" t="s">
        <v>248</v>
      </c>
      <c r="U266" s="6" t="s">
        <v>140</v>
      </c>
      <c r="V266" s="6" t="s">
        <v>1087</v>
      </c>
      <c r="W266" s="6" t="s">
        <v>92</v>
      </c>
      <c r="X266" s="6" t="s">
        <v>92</v>
      </c>
      <c r="Y266" s="6" t="s">
        <v>92</v>
      </c>
      <c r="Z266" s="6" t="s">
        <v>89</v>
      </c>
      <c r="AA266" s="6" t="s">
        <v>92</v>
      </c>
      <c r="AB266" s="6">
        <v>260</v>
      </c>
      <c r="AC266" s="6">
        <v>0</v>
      </c>
      <c r="AD266" s="6">
        <v>0</v>
      </c>
      <c r="AE266" s="6">
        <v>0</v>
      </c>
      <c r="AF266" s="6">
        <v>0</v>
      </c>
      <c r="AG266" s="6">
        <v>5.2</v>
      </c>
      <c r="AH266" s="6">
        <v>0</v>
      </c>
      <c r="AI266" s="6" t="s">
        <v>1106</v>
      </c>
      <c r="AJ266" s="6" t="s">
        <v>264</v>
      </c>
      <c r="AK266" s="6" t="s">
        <v>12</v>
      </c>
      <c r="AL266" s="6" t="s">
        <v>56</v>
      </c>
      <c r="AM266" s="6" t="s">
        <v>265</v>
      </c>
      <c r="AN266" s="6" t="s">
        <v>22</v>
      </c>
      <c r="AO266" s="6" t="s">
        <v>662</v>
      </c>
      <c r="AP266" s="6" t="s">
        <v>480</v>
      </c>
      <c r="AQ266" s="6" t="s">
        <v>39</v>
      </c>
    </row>
    <row r="267" spans="1:43" hidden="1" x14ac:dyDescent="0.25">
      <c r="A267" s="6">
        <v>22649917</v>
      </c>
      <c r="B267" s="6">
        <v>23459507</v>
      </c>
      <c r="C267" s="6" t="s">
        <v>241</v>
      </c>
      <c r="D267" s="14">
        <v>45868.417361111111</v>
      </c>
      <c r="E267" s="14">
        <v>45868.417523148149</v>
      </c>
      <c r="F267" s="6" t="s">
        <v>25</v>
      </c>
      <c r="G267" s="6" t="s">
        <v>25</v>
      </c>
      <c r="H267" s="6" t="s">
        <v>1107</v>
      </c>
      <c r="I267" s="6" t="s">
        <v>15</v>
      </c>
      <c r="J267" s="6" t="s">
        <v>1108</v>
      </c>
      <c r="K267" s="6" t="s">
        <v>1109</v>
      </c>
      <c r="L267" s="6" t="s">
        <v>1109</v>
      </c>
      <c r="M267" s="14">
        <v>45855.602777777778</v>
      </c>
      <c r="N267" s="6">
        <v>17075340</v>
      </c>
      <c r="O267" s="6" t="s">
        <v>92</v>
      </c>
      <c r="P267" s="6" t="s">
        <v>245</v>
      </c>
      <c r="Q267" s="6" t="s">
        <v>246</v>
      </c>
      <c r="R267" s="6" t="s">
        <v>247</v>
      </c>
      <c r="S267" s="6" t="s">
        <v>3</v>
      </c>
      <c r="T267" s="6" t="s">
        <v>248</v>
      </c>
      <c r="U267" s="6" t="s">
        <v>120</v>
      </c>
      <c r="V267" s="6" t="s">
        <v>1110</v>
      </c>
      <c r="W267" s="6" t="s">
        <v>92</v>
      </c>
      <c r="X267" s="6" t="s">
        <v>92</v>
      </c>
      <c r="Y267" s="6" t="s">
        <v>92</v>
      </c>
      <c r="Z267" s="6" t="s">
        <v>71</v>
      </c>
      <c r="AA267" s="6" t="s">
        <v>92</v>
      </c>
      <c r="AB267" s="6">
        <v>418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1111</v>
      </c>
      <c r="AJ267" s="6" t="s">
        <v>264</v>
      </c>
      <c r="AK267" s="6" t="s">
        <v>15</v>
      </c>
      <c r="AL267" s="6" t="s">
        <v>56</v>
      </c>
      <c r="AM267" s="6" t="s">
        <v>265</v>
      </c>
      <c r="AN267" s="6" t="s">
        <v>22</v>
      </c>
      <c r="AO267" s="6" t="s">
        <v>253</v>
      </c>
      <c r="AP267" s="6" t="s">
        <v>254</v>
      </c>
      <c r="AQ267" s="6" t="s">
        <v>20</v>
      </c>
    </row>
    <row r="268" spans="1:43" hidden="1" x14ac:dyDescent="0.25">
      <c r="A268" s="6">
        <v>22656876</v>
      </c>
      <c r="B268" s="6">
        <v>23465756</v>
      </c>
      <c r="C268" s="6" t="s">
        <v>241</v>
      </c>
      <c r="D268" s="14">
        <v>45869.417141203703</v>
      </c>
      <c r="E268" s="14">
        <v>45869.417245370372</v>
      </c>
      <c r="F268" s="6" t="s">
        <v>23</v>
      </c>
      <c r="G268" s="6" t="s">
        <v>23</v>
      </c>
      <c r="H268" s="6" t="s">
        <v>1112</v>
      </c>
      <c r="I268" s="6" t="s">
        <v>15</v>
      </c>
      <c r="J268" s="6" t="s">
        <v>1113</v>
      </c>
      <c r="K268" s="6" t="s">
        <v>1109</v>
      </c>
      <c r="L268" s="6" t="s">
        <v>1109</v>
      </c>
      <c r="M268" s="14">
        <v>45854.630555555559</v>
      </c>
      <c r="N268" s="6">
        <v>17054255</v>
      </c>
      <c r="O268" s="6" t="s">
        <v>92</v>
      </c>
      <c r="P268" s="6" t="s">
        <v>245</v>
      </c>
      <c r="Q268" s="6" t="s">
        <v>246</v>
      </c>
      <c r="R268" s="6" t="s">
        <v>247</v>
      </c>
      <c r="S268" s="6" t="s">
        <v>3</v>
      </c>
      <c r="T268" s="6" t="s">
        <v>248</v>
      </c>
      <c r="U268" s="6" t="s">
        <v>120</v>
      </c>
      <c r="V268" s="6" t="s">
        <v>1110</v>
      </c>
      <c r="W268" s="6" t="s">
        <v>92</v>
      </c>
      <c r="X268" s="6" t="s">
        <v>92</v>
      </c>
      <c r="Y268" s="6" t="s">
        <v>92</v>
      </c>
      <c r="Z268" s="6" t="s">
        <v>71</v>
      </c>
      <c r="AA268" s="6" t="s">
        <v>92</v>
      </c>
      <c r="AB268" s="6">
        <v>1176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1114</v>
      </c>
      <c r="AJ268" s="6" t="s">
        <v>264</v>
      </c>
      <c r="AK268" s="6" t="s">
        <v>15</v>
      </c>
      <c r="AL268" s="6" t="s">
        <v>56</v>
      </c>
      <c r="AM268" s="6" t="s">
        <v>265</v>
      </c>
      <c r="AN268" s="6" t="s">
        <v>22</v>
      </c>
      <c r="AO268" s="6" t="s">
        <v>253</v>
      </c>
      <c r="AP268" s="6" t="s">
        <v>254</v>
      </c>
      <c r="AQ268" s="6" t="s">
        <v>20</v>
      </c>
    </row>
    <row r="269" spans="1:43" hidden="1" x14ac:dyDescent="0.25">
      <c r="A269" s="6">
        <v>22656877</v>
      </c>
      <c r="B269" s="6">
        <v>23465757</v>
      </c>
      <c r="C269" s="6" t="s">
        <v>241</v>
      </c>
      <c r="D269" s="14">
        <v>45869.41715277778</v>
      </c>
      <c r="E269" s="14">
        <v>45869.417245370372</v>
      </c>
      <c r="F269" s="6" t="s">
        <v>23</v>
      </c>
      <c r="G269" s="6" t="s">
        <v>23</v>
      </c>
      <c r="H269" s="6" t="s">
        <v>1115</v>
      </c>
      <c r="I269" s="6" t="s">
        <v>15</v>
      </c>
      <c r="J269" s="6" t="s">
        <v>1108</v>
      </c>
      <c r="K269" s="6" t="s">
        <v>1109</v>
      </c>
      <c r="L269" s="6" t="s">
        <v>1109</v>
      </c>
      <c r="M269" s="14">
        <v>45854.642361111109</v>
      </c>
      <c r="N269" s="6">
        <v>17054289</v>
      </c>
      <c r="O269" s="6" t="s">
        <v>92</v>
      </c>
      <c r="P269" s="6" t="s">
        <v>245</v>
      </c>
      <c r="Q269" s="6" t="s">
        <v>246</v>
      </c>
      <c r="R269" s="6" t="s">
        <v>247</v>
      </c>
      <c r="S269" s="6" t="s">
        <v>3</v>
      </c>
      <c r="T269" s="6" t="s">
        <v>248</v>
      </c>
      <c r="U269" s="6" t="s">
        <v>120</v>
      </c>
      <c r="V269" s="6" t="s">
        <v>1110</v>
      </c>
      <c r="W269" s="6" t="s">
        <v>92</v>
      </c>
      <c r="X269" s="6" t="s">
        <v>92</v>
      </c>
      <c r="Y269" s="6" t="s">
        <v>92</v>
      </c>
      <c r="Z269" s="6" t="s">
        <v>71</v>
      </c>
      <c r="AA269" s="6" t="s">
        <v>92</v>
      </c>
      <c r="AB269" s="6">
        <v>836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1116</v>
      </c>
      <c r="AJ269" s="6" t="s">
        <v>264</v>
      </c>
      <c r="AK269" s="6" t="s">
        <v>15</v>
      </c>
      <c r="AL269" s="6" t="s">
        <v>56</v>
      </c>
      <c r="AM269" s="6" t="s">
        <v>265</v>
      </c>
      <c r="AN269" s="6" t="s">
        <v>22</v>
      </c>
      <c r="AO269" s="6" t="s">
        <v>253</v>
      </c>
      <c r="AP269" s="6" t="s">
        <v>254</v>
      </c>
      <c r="AQ269" s="6" t="s">
        <v>20</v>
      </c>
    </row>
    <row r="270" spans="1:43" hidden="1" x14ac:dyDescent="0.25">
      <c r="A270" s="6">
        <v>22656878</v>
      </c>
      <c r="B270" s="6">
        <v>23465758</v>
      </c>
      <c r="C270" s="6" t="s">
        <v>241</v>
      </c>
      <c r="D270" s="14">
        <v>45869.417187500003</v>
      </c>
      <c r="E270" s="14">
        <v>45869.417245370372</v>
      </c>
      <c r="F270" s="6" t="s">
        <v>23</v>
      </c>
      <c r="G270" s="6" t="s">
        <v>23</v>
      </c>
      <c r="H270" s="6" t="s">
        <v>1117</v>
      </c>
      <c r="I270" s="6" t="s">
        <v>15</v>
      </c>
      <c r="J270" s="6" t="s">
        <v>1113</v>
      </c>
      <c r="K270" s="6" t="s">
        <v>1109</v>
      </c>
      <c r="L270" s="6" t="s">
        <v>1109</v>
      </c>
      <c r="M270" s="14">
        <v>45854.632638888892</v>
      </c>
      <c r="N270" s="6">
        <v>17054303</v>
      </c>
      <c r="O270" s="6" t="s">
        <v>92</v>
      </c>
      <c r="P270" s="6" t="s">
        <v>245</v>
      </c>
      <c r="Q270" s="6" t="s">
        <v>246</v>
      </c>
      <c r="R270" s="6" t="s">
        <v>247</v>
      </c>
      <c r="S270" s="6" t="s">
        <v>3</v>
      </c>
      <c r="T270" s="6" t="s">
        <v>248</v>
      </c>
      <c r="U270" s="6" t="s">
        <v>120</v>
      </c>
      <c r="V270" s="6" t="s">
        <v>1110</v>
      </c>
      <c r="W270" s="6" t="s">
        <v>92</v>
      </c>
      <c r="X270" s="6" t="s">
        <v>92</v>
      </c>
      <c r="Y270" s="6" t="s">
        <v>92</v>
      </c>
      <c r="Z270" s="6" t="s">
        <v>71</v>
      </c>
      <c r="AA270" s="6" t="s">
        <v>92</v>
      </c>
      <c r="AB270" s="6">
        <v>1176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1118</v>
      </c>
      <c r="AJ270" s="6" t="s">
        <v>264</v>
      </c>
      <c r="AK270" s="6" t="s">
        <v>15</v>
      </c>
      <c r="AL270" s="6" t="s">
        <v>56</v>
      </c>
      <c r="AM270" s="6" t="s">
        <v>265</v>
      </c>
      <c r="AN270" s="6" t="s">
        <v>22</v>
      </c>
      <c r="AO270" s="6" t="s">
        <v>253</v>
      </c>
      <c r="AP270" s="6" t="s">
        <v>254</v>
      </c>
      <c r="AQ270" s="6" t="s">
        <v>20</v>
      </c>
    </row>
    <row r="271" spans="1:43" hidden="1" x14ac:dyDescent="0.25">
      <c r="A271" s="6">
        <v>22656879</v>
      </c>
      <c r="B271" s="6">
        <v>23465759</v>
      </c>
      <c r="C271" s="6" t="s">
        <v>241</v>
      </c>
      <c r="D271" s="14">
        <v>45869.417199074072</v>
      </c>
      <c r="E271" s="14">
        <v>45869.417256944442</v>
      </c>
      <c r="F271" s="6" t="s">
        <v>23</v>
      </c>
      <c r="G271" s="6" t="s">
        <v>23</v>
      </c>
      <c r="H271" s="6" t="s">
        <v>1119</v>
      </c>
      <c r="I271" s="6" t="s">
        <v>15</v>
      </c>
      <c r="J271" s="6" t="s">
        <v>1113</v>
      </c>
      <c r="K271" s="6" t="s">
        <v>1109</v>
      </c>
      <c r="L271" s="6" t="s">
        <v>1109</v>
      </c>
      <c r="M271" s="14">
        <v>45854.637499999997</v>
      </c>
      <c r="N271" s="6">
        <v>17054438</v>
      </c>
      <c r="O271" s="6" t="s">
        <v>92</v>
      </c>
      <c r="P271" s="6" t="s">
        <v>245</v>
      </c>
      <c r="Q271" s="6" t="s">
        <v>246</v>
      </c>
      <c r="R271" s="6" t="s">
        <v>247</v>
      </c>
      <c r="S271" s="6" t="s">
        <v>3</v>
      </c>
      <c r="T271" s="6" t="s">
        <v>248</v>
      </c>
      <c r="U271" s="6" t="s">
        <v>120</v>
      </c>
      <c r="V271" s="6" t="s">
        <v>1110</v>
      </c>
      <c r="W271" s="6" t="s">
        <v>92</v>
      </c>
      <c r="X271" s="6" t="s">
        <v>92</v>
      </c>
      <c r="Y271" s="6" t="s">
        <v>92</v>
      </c>
      <c r="Z271" s="6" t="s">
        <v>71</v>
      </c>
      <c r="AA271" s="6" t="s">
        <v>92</v>
      </c>
      <c r="AB271" s="6">
        <v>1176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1120</v>
      </c>
      <c r="AJ271" s="6" t="s">
        <v>264</v>
      </c>
      <c r="AK271" s="6" t="s">
        <v>15</v>
      </c>
      <c r="AL271" s="6" t="s">
        <v>56</v>
      </c>
      <c r="AM271" s="6" t="s">
        <v>265</v>
      </c>
      <c r="AN271" s="6" t="s">
        <v>22</v>
      </c>
      <c r="AO271" s="6" t="s">
        <v>253</v>
      </c>
      <c r="AP271" s="6" t="s">
        <v>254</v>
      </c>
      <c r="AQ271" s="6" t="s">
        <v>20</v>
      </c>
    </row>
    <row r="272" spans="1:43" hidden="1" x14ac:dyDescent="0.25">
      <c r="A272" s="6">
        <v>22656880</v>
      </c>
      <c r="B272" s="6">
        <v>23465760</v>
      </c>
      <c r="C272" s="6" t="s">
        <v>241</v>
      </c>
      <c r="D272" s="14">
        <v>45869.417210648149</v>
      </c>
      <c r="E272" s="14">
        <v>45869.417256944442</v>
      </c>
      <c r="F272" s="6" t="s">
        <v>23</v>
      </c>
      <c r="G272" s="6" t="s">
        <v>23</v>
      </c>
      <c r="H272" s="6" t="s">
        <v>1121</v>
      </c>
      <c r="I272" s="6" t="s">
        <v>15</v>
      </c>
      <c r="J272" s="6" t="s">
        <v>1108</v>
      </c>
      <c r="K272" s="6" t="s">
        <v>1109</v>
      </c>
      <c r="L272" s="6" t="s">
        <v>1109</v>
      </c>
      <c r="M272" s="14">
        <v>45854.643750000003</v>
      </c>
      <c r="N272" s="6">
        <v>17054452</v>
      </c>
      <c r="O272" s="6" t="s">
        <v>92</v>
      </c>
      <c r="P272" s="6" t="s">
        <v>245</v>
      </c>
      <c r="Q272" s="6" t="s">
        <v>246</v>
      </c>
      <c r="R272" s="6" t="s">
        <v>247</v>
      </c>
      <c r="S272" s="6" t="s">
        <v>3</v>
      </c>
      <c r="T272" s="6" t="s">
        <v>248</v>
      </c>
      <c r="U272" s="6" t="s">
        <v>120</v>
      </c>
      <c r="V272" s="6" t="s">
        <v>1110</v>
      </c>
      <c r="W272" s="6" t="s">
        <v>92</v>
      </c>
      <c r="X272" s="6" t="s">
        <v>92</v>
      </c>
      <c r="Y272" s="6" t="s">
        <v>92</v>
      </c>
      <c r="Z272" s="6" t="s">
        <v>71</v>
      </c>
      <c r="AA272" s="6" t="s">
        <v>92</v>
      </c>
      <c r="AB272" s="6">
        <v>836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1122</v>
      </c>
      <c r="AJ272" s="6" t="s">
        <v>264</v>
      </c>
      <c r="AK272" s="6" t="s">
        <v>15</v>
      </c>
      <c r="AL272" s="6" t="s">
        <v>56</v>
      </c>
      <c r="AM272" s="6" t="s">
        <v>265</v>
      </c>
      <c r="AN272" s="6" t="s">
        <v>22</v>
      </c>
      <c r="AO272" s="6" t="s">
        <v>253</v>
      </c>
      <c r="AP272" s="6" t="s">
        <v>254</v>
      </c>
      <c r="AQ272" s="6" t="s">
        <v>20</v>
      </c>
    </row>
    <row r="273" spans="1:43" hidden="1" x14ac:dyDescent="0.25">
      <c r="A273" s="6">
        <v>22656881</v>
      </c>
      <c r="B273" s="6">
        <v>23465761</v>
      </c>
      <c r="C273" s="6" t="s">
        <v>241</v>
      </c>
      <c r="D273" s="14">
        <v>45869.417210648149</v>
      </c>
      <c r="E273" s="14">
        <v>45869.417268518519</v>
      </c>
      <c r="F273" s="6" t="s">
        <v>23</v>
      </c>
      <c r="G273" s="6" t="s">
        <v>23</v>
      </c>
      <c r="H273" s="6" t="s">
        <v>1123</v>
      </c>
      <c r="I273" s="6" t="s">
        <v>15</v>
      </c>
      <c r="J273" s="6" t="s">
        <v>1113</v>
      </c>
      <c r="K273" s="6" t="s">
        <v>1109</v>
      </c>
      <c r="L273" s="6" t="s">
        <v>1109</v>
      </c>
      <c r="M273" s="14">
        <v>45854.631944444453</v>
      </c>
      <c r="N273" s="6">
        <v>17064048</v>
      </c>
      <c r="O273" s="6" t="s">
        <v>92</v>
      </c>
      <c r="P273" s="6" t="s">
        <v>245</v>
      </c>
      <c r="Q273" s="6" t="s">
        <v>246</v>
      </c>
      <c r="R273" s="6" t="s">
        <v>247</v>
      </c>
      <c r="S273" s="6" t="s">
        <v>3</v>
      </c>
      <c r="T273" s="6" t="s">
        <v>248</v>
      </c>
      <c r="U273" s="6" t="s">
        <v>120</v>
      </c>
      <c r="V273" s="6" t="s">
        <v>1110</v>
      </c>
      <c r="W273" s="6" t="s">
        <v>92</v>
      </c>
      <c r="X273" s="6" t="s">
        <v>92</v>
      </c>
      <c r="Y273" s="6" t="s">
        <v>92</v>
      </c>
      <c r="Z273" s="6" t="s">
        <v>71</v>
      </c>
      <c r="AA273" s="6" t="s">
        <v>92</v>
      </c>
      <c r="AB273" s="6">
        <v>1176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1124</v>
      </c>
      <c r="AJ273" s="6" t="s">
        <v>264</v>
      </c>
      <c r="AK273" s="6" t="s">
        <v>15</v>
      </c>
      <c r="AL273" s="6" t="s">
        <v>56</v>
      </c>
      <c r="AM273" s="6" t="s">
        <v>265</v>
      </c>
      <c r="AN273" s="6" t="s">
        <v>22</v>
      </c>
      <c r="AO273" s="6" t="s">
        <v>253</v>
      </c>
      <c r="AP273" s="6" t="s">
        <v>254</v>
      </c>
      <c r="AQ273" s="6" t="s">
        <v>20</v>
      </c>
    </row>
    <row r="274" spans="1:43" hidden="1" x14ac:dyDescent="0.25">
      <c r="A274" s="6">
        <v>22656882</v>
      </c>
      <c r="B274" s="6">
        <v>23465762</v>
      </c>
      <c r="C274" s="6" t="s">
        <v>241</v>
      </c>
      <c r="D274" s="14">
        <v>45869.417245370372</v>
      </c>
      <c r="E274" s="14">
        <v>45869.42087962963</v>
      </c>
      <c r="F274" s="6" t="s">
        <v>23</v>
      </c>
      <c r="G274" s="6" t="s">
        <v>23</v>
      </c>
      <c r="H274" s="6" t="s">
        <v>1125</v>
      </c>
      <c r="I274" s="6" t="s">
        <v>15</v>
      </c>
      <c r="J274" s="6" t="s">
        <v>1108</v>
      </c>
      <c r="K274" s="6" t="s">
        <v>1109</v>
      </c>
      <c r="L274" s="6" t="s">
        <v>1109</v>
      </c>
      <c r="M274" s="14">
        <v>45866.466666666667</v>
      </c>
      <c r="N274" s="6">
        <v>17075499</v>
      </c>
      <c r="O274" s="6" t="s">
        <v>92</v>
      </c>
      <c r="P274" s="6" t="s">
        <v>245</v>
      </c>
      <c r="Q274" s="6" t="s">
        <v>246</v>
      </c>
      <c r="R274" s="6" t="s">
        <v>247</v>
      </c>
      <c r="S274" s="6" t="s">
        <v>3</v>
      </c>
      <c r="T274" s="6" t="s">
        <v>248</v>
      </c>
      <c r="U274" s="6" t="s">
        <v>120</v>
      </c>
      <c r="V274" s="6" t="s">
        <v>1110</v>
      </c>
      <c r="W274" s="6" t="s">
        <v>92</v>
      </c>
      <c r="X274" s="6" t="s">
        <v>92</v>
      </c>
      <c r="Y274" s="6" t="s">
        <v>92</v>
      </c>
      <c r="Z274" s="6" t="s">
        <v>71</v>
      </c>
      <c r="AA274" s="6" t="s">
        <v>92</v>
      </c>
      <c r="AB274" s="6">
        <v>418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1126</v>
      </c>
      <c r="AJ274" s="6" t="s">
        <v>264</v>
      </c>
      <c r="AK274" s="6" t="s">
        <v>15</v>
      </c>
      <c r="AL274" s="6" t="s">
        <v>56</v>
      </c>
      <c r="AM274" s="6" t="s">
        <v>265</v>
      </c>
      <c r="AN274" s="6" t="s">
        <v>22</v>
      </c>
      <c r="AO274" s="6" t="s">
        <v>253</v>
      </c>
      <c r="AP274" s="6" t="s">
        <v>254</v>
      </c>
      <c r="AQ274" s="6" t="s">
        <v>20</v>
      </c>
    </row>
    <row r="275" spans="1:43" hidden="1" x14ac:dyDescent="0.25">
      <c r="A275" s="6">
        <v>22643645</v>
      </c>
      <c r="B275" s="6">
        <v>23453915</v>
      </c>
      <c r="C275" s="6" t="s">
        <v>241</v>
      </c>
      <c r="D275" s="14">
        <v>45867.375694444447</v>
      </c>
      <c r="E275" s="14">
        <v>45867.375925925917</v>
      </c>
      <c r="F275" s="6" t="s">
        <v>25</v>
      </c>
      <c r="G275" s="6" t="s">
        <v>25</v>
      </c>
      <c r="H275" s="6" t="s">
        <v>1127</v>
      </c>
      <c r="I275" s="6" t="s">
        <v>15</v>
      </c>
      <c r="J275" s="6" t="s">
        <v>1108</v>
      </c>
      <c r="K275" s="6" t="s">
        <v>1109</v>
      </c>
      <c r="L275" s="6" t="s">
        <v>1109</v>
      </c>
      <c r="M275" s="14">
        <v>45859.586805555547</v>
      </c>
      <c r="N275" s="6">
        <v>17075013</v>
      </c>
      <c r="O275" s="6" t="s">
        <v>92</v>
      </c>
      <c r="P275" s="6" t="s">
        <v>245</v>
      </c>
      <c r="Q275" s="6" t="s">
        <v>246</v>
      </c>
      <c r="R275" s="6" t="s">
        <v>247</v>
      </c>
      <c r="S275" s="6" t="s">
        <v>3</v>
      </c>
      <c r="T275" s="6" t="s">
        <v>248</v>
      </c>
      <c r="U275" s="6" t="s">
        <v>120</v>
      </c>
      <c r="V275" s="6" t="s">
        <v>1110</v>
      </c>
      <c r="W275" s="6" t="s">
        <v>92</v>
      </c>
      <c r="X275" s="6" t="s">
        <v>92</v>
      </c>
      <c r="Y275" s="6" t="s">
        <v>92</v>
      </c>
      <c r="Z275" s="6" t="s">
        <v>71</v>
      </c>
      <c r="AA275" s="6" t="s">
        <v>92</v>
      </c>
      <c r="AB275" s="6">
        <v>432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1128</v>
      </c>
      <c r="AJ275" s="6" t="s">
        <v>264</v>
      </c>
      <c r="AK275" s="6" t="s">
        <v>15</v>
      </c>
      <c r="AL275" s="6" t="s">
        <v>56</v>
      </c>
      <c r="AM275" s="6" t="s">
        <v>265</v>
      </c>
      <c r="AN275" s="6" t="s">
        <v>22</v>
      </c>
      <c r="AO275" s="6" t="s">
        <v>253</v>
      </c>
      <c r="AP275" s="6" t="s">
        <v>254</v>
      </c>
      <c r="AQ275" s="6" t="s">
        <v>20</v>
      </c>
    </row>
    <row r="276" spans="1:43" hidden="1" x14ac:dyDescent="0.25">
      <c r="A276" s="6">
        <v>22643646</v>
      </c>
      <c r="B276" s="6">
        <v>23453916</v>
      </c>
      <c r="C276" s="6" t="s">
        <v>241</v>
      </c>
      <c r="D276" s="14">
        <v>45867.375717592593</v>
      </c>
      <c r="E276" s="14">
        <v>45867.375925925917</v>
      </c>
      <c r="F276" s="6" t="s">
        <v>25</v>
      </c>
      <c r="G276" s="6" t="s">
        <v>25</v>
      </c>
      <c r="H276" s="6" t="s">
        <v>1129</v>
      </c>
      <c r="I276" s="6" t="s">
        <v>15</v>
      </c>
      <c r="J276" s="6" t="s">
        <v>1108</v>
      </c>
      <c r="K276" s="6" t="s">
        <v>1109</v>
      </c>
      <c r="L276" s="6" t="s">
        <v>1109</v>
      </c>
      <c r="M276" s="14">
        <v>45855.606249999997</v>
      </c>
      <c r="N276" s="6">
        <v>17075260</v>
      </c>
      <c r="O276" s="6" t="s">
        <v>92</v>
      </c>
      <c r="P276" s="6" t="s">
        <v>245</v>
      </c>
      <c r="Q276" s="6" t="s">
        <v>246</v>
      </c>
      <c r="R276" s="6" t="s">
        <v>247</v>
      </c>
      <c r="S276" s="6" t="s">
        <v>3</v>
      </c>
      <c r="T276" s="6" t="s">
        <v>248</v>
      </c>
      <c r="U276" s="6" t="s">
        <v>120</v>
      </c>
      <c r="V276" s="6" t="s">
        <v>1110</v>
      </c>
      <c r="W276" s="6" t="s">
        <v>92</v>
      </c>
      <c r="X276" s="6" t="s">
        <v>92</v>
      </c>
      <c r="Y276" s="6" t="s">
        <v>92</v>
      </c>
      <c r="Z276" s="6" t="s">
        <v>71</v>
      </c>
      <c r="AA276" s="6" t="s">
        <v>92</v>
      </c>
      <c r="AB276" s="6">
        <v>418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1130</v>
      </c>
      <c r="AJ276" s="6" t="s">
        <v>264</v>
      </c>
      <c r="AK276" s="6" t="s">
        <v>15</v>
      </c>
      <c r="AL276" s="6" t="s">
        <v>56</v>
      </c>
      <c r="AM276" s="6" t="s">
        <v>265</v>
      </c>
      <c r="AN276" s="6" t="s">
        <v>22</v>
      </c>
      <c r="AO276" s="6" t="s">
        <v>253</v>
      </c>
      <c r="AP276" s="6" t="s">
        <v>254</v>
      </c>
      <c r="AQ276" s="6" t="s">
        <v>20</v>
      </c>
    </row>
    <row r="277" spans="1:43" hidden="1" x14ac:dyDescent="0.25">
      <c r="A277" s="6">
        <v>22643647</v>
      </c>
      <c r="B277" s="6">
        <v>23453917</v>
      </c>
      <c r="C277" s="6" t="s">
        <v>241</v>
      </c>
      <c r="D277" s="14">
        <v>45867.375740740739</v>
      </c>
      <c r="E277" s="14">
        <v>45867.375937500001</v>
      </c>
      <c r="F277" s="6" t="s">
        <v>25</v>
      </c>
      <c r="G277" s="6" t="s">
        <v>25</v>
      </c>
      <c r="H277" s="6" t="s">
        <v>1131</v>
      </c>
      <c r="I277" s="6" t="s">
        <v>15</v>
      </c>
      <c r="J277" s="6" t="s">
        <v>1108</v>
      </c>
      <c r="K277" s="6" t="s">
        <v>1109</v>
      </c>
      <c r="L277" s="6" t="s">
        <v>1109</v>
      </c>
      <c r="M277" s="14">
        <v>45855.604861111111</v>
      </c>
      <c r="N277" s="6">
        <v>17075278</v>
      </c>
      <c r="O277" s="6" t="s">
        <v>92</v>
      </c>
      <c r="P277" s="6" t="s">
        <v>245</v>
      </c>
      <c r="Q277" s="6" t="s">
        <v>246</v>
      </c>
      <c r="R277" s="6" t="s">
        <v>247</v>
      </c>
      <c r="S277" s="6" t="s">
        <v>3</v>
      </c>
      <c r="T277" s="6" t="s">
        <v>248</v>
      </c>
      <c r="U277" s="6" t="s">
        <v>120</v>
      </c>
      <c r="V277" s="6" t="s">
        <v>1110</v>
      </c>
      <c r="W277" s="6" t="s">
        <v>92</v>
      </c>
      <c r="X277" s="6" t="s">
        <v>92</v>
      </c>
      <c r="Y277" s="6" t="s">
        <v>92</v>
      </c>
      <c r="Z277" s="6" t="s">
        <v>71</v>
      </c>
      <c r="AA277" s="6" t="s">
        <v>92</v>
      </c>
      <c r="AB277" s="6">
        <v>209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1132</v>
      </c>
      <c r="AJ277" s="6" t="s">
        <v>264</v>
      </c>
      <c r="AK277" s="6" t="s">
        <v>15</v>
      </c>
      <c r="AL277" s="6" t="s">
        <v>56</v>
      </c>
      <c r="AM277" s="6" t="s">
        <v>265</v>
      </c>
      <c r="AN277" s="6" t="s">
        <v>22</v>
      </c>
      <c r="AO277" s="6" t="s">
        <v>253</v>
      </c>
      <c r="AP277" s="6" t="s">
        <v>254</v>
      </c>
      <c r="AQ277" s="6" t="s">
        <v>20</v>
      </c>
    </row>
    <row r="278" spans="1:43" hidden="1" x14ac:dyDescent="0.25">
      <c r="A278" s="6">
        <v>22573547</v>
      </c>
      <c r="B278" s="6">
        <v>23397190</v>
      </c>
      <c r="C278" s="6" t="s">
        <v>241</v>
      </c>
      <c r="D278" s="14">
        <v>45854.752858796302</v>
      </c>
      <c r="E278" s="14">
        <v>45854.754953703698</v>
      </c>
      <c r="F278" s="47" t="s">
        <v>27</v>
      </c>
      <c r="G278" s="47" t="s">
        <v>27</v>
      </c>
      <c r="H278" s="6" t="s">
        <v>1133</v>
      </c>
      <c r="I278" s="6" t="s">
        <v>15</v>
      </c>
      <c r="J278" s="6" t="s">
        <v>1134</v>
      </c>
      <c r="K278" s="6" t="s">
        <v>1109</v>
      </c>
      <c r="L278" s="6" t="s">
        <v>1109</v>
      </c>
      <c r="M278" s="14">
        <v>45854.599305555559</v>
      </c>
      <c r="N278" s="6">
        <v>17068265</v>
      </c>
      <c r="O278" s="6" t="s">
        <v>92</v>
      </c>
      <c r="P278" s="6" t="s">
        <v>245</v>
      </c>
      <c r="Q278" s="6" t="s">
        <v>246</v>
      </c>
      <c r="R278" s="6" t="s">
        <v>247</v>
      </c>
      <c r="S278" s="6" t="s">
        <v>3</v>
      </c>
      <c r="T278" s="6" t="s">
        <v>248</v>
      </c>
      <c r="U278" s="6" t="s">
        <v>120</v>
      </c>
      <c r="V278" s="6" t="s">
        <v>1110</v>
      </c>
      <c r="W278" s="6" t="s">
        <v>92</v>
      </c>
      <c r="X278" s="6" t="s">
        <v>92</v>
      </c>
      <c r="Y278" s="6" t="s">
        <v>92</v>
      </c>
      <c r="Z278" s="6" t="s">
        <v>71</v>
      </c>
      <c r="AA278" s="6" t="s">
        <v>92</v>
      </c>
      <c r="AB278" s="6">
        <v>3391.92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1135</v>
      </c>
      <c r="AJ278" s="6" t="s">
        <v>264</v>
      </c>
      <c r="AK278" s="6" t="s">
        <v>15</v>
      </c>
      <c r="AL278" s="6" t="s">
        <v>56</v>
      </c>
      <c r="AM278" s="6" t="s">
        <v>265</v>
      </c>
      <c r="AN278" s="6" t="s">
        <v>22</v>
      </c>
      <c r="AO278" s="6" t="s">
        <v>253</v>
      </c>
      <c r="AP278" s="6" t="s">
        <v>254</v>
      </c>
      <c r="AQ278" s="6" t="s">
        <v>20</v>
      </c>
    </row>
    <row r="279" spans="1:43" hidden="1" x14ac:dyDescent="0.25">
      <c r="A279" s="6">
        <v>22619685</v>
      </c>
      <c r="B279" s="6">
        <v>23435117</v>
      </c>
      <c r="C279" s="6" t="s">
        <v>241</v>
      </c>
      <c r="D279" s="14">
        <v>45862.625439814823</v>
      </c>
      <c r="E279" s="14">
        <v>45862.625520833331</v>
      </c>
      <c r="F279" s="6" t="s">
        <v>25</v>
      </c>
      <c r="G279" s="6" t="s">
        <v>25</v>
      </c>
      <c r="H279" s="6" t="s">
        <v>1136</v>
      </c>
      <c r="I279" s="6" t="s">
        <v>15</v>
      </c>
      <c r="J279" s="6" t="s">
        <v>1113</v>
      </c>
      <c r="K279" s="6" t="s">
        <v>1109</v>
      </c>
      <c r="L279" s="6" t="s">
        <v>1109</v>
      </c>
      <c r="M279" s="14">
        <v>45854.635416666657</v>
      </c>
      <c r="N279" s="6">
        <v>17054223</v>
      </c>
      <c r="O279" s="6" t="s">
        <v>92</v>
      </c>
      <c r="P279" s="6" t="s">
        <v>245</v>
      </c>
      <c r="Q279" s="6" t="s">
        <v>246</v>
      </c>
      <c r="R279" s="6" t="s">
        <v>247</v>
      </c>
      <c r="S279" s="6" t="s">
        <v>3</v>
      </c>
      <c r="T279" s="6" t="s">
        <v>248</v>
      </c>
      <c r="U279" s="6" t="s">
        <v>120</v>
      </c>
      <c r="V279" s="6" t="s">
        <v>1110</v>
      </c>
      <c r="W279" s="6" t="s">
        <v>92</v>
      </c>
      <c r="X279" s="6" t="s">
        <v>92</v>
      </c>
      <c r="Y279" s="6" t="s">
        <v>92</v>
      </c>
      <c r="Z279" s="6" t="s">
        <v>71</v>
      </c>
      <c r="AA279" s="6" t="s">
        <v>92</v>
      </c>
      <c r="AB279" s="6">
        <v>1176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1137</v>
      </c>
      <c r="AJ279" s="6" t="s">
        <v>264</v>
      </c>
      <c r="AK279" s="6" t="s">
        <v>15</v>
      </c>
      <c r="AL279" s="6" t="s">
        <v>56</v>
      </c>
      <c r="AM279" s="6" t="s">
        <v>265</v>
      </c>
      <c r="AN279" s="6" t="s">
        <v>22</v>
      </c>
      <c r="AO279" s="6" t="s">
        <v>253</v>
      </c>
      <c r="AP279" s="6" t="s">
        <v>254</v>
      </c>
      <c r="AQ279" s="6" t="s">
        <v>20</v>
      </c>
    </row>
    <row r="280" spans="1:43" hidden="1" x14ac:dyDescent="0.25">
      <c r="A280" s="6">
        <v>22638329</v>
      </c>
      <c r="B280" s="6">
        <v>23449380</v>
      </c>
      <c r="C280" s="6" t="s">
        <v>241</v>
      </c>
      <c r="D280" s="14">
        <v>45866.583738425928</v>
      </c>
      <c r="E280" s="14">
        <v>45866.584097222221</v>
      </c>
      <c r="F280" s="6" t="s">
        <v>25</v>
      </c>
      <c r="G280" s="6" t="s">
        <v>25</v>
      </c>
      <c r="H280" s="6" t="s">
        <v>1138</v>
      </c>
      <c r="I280" s="6" t="s">
        <v>15</v>
      </c>
      <c r="J280" s="6" t="s">
        <v>1108</v>
      </c>
      <c r="K280" s="6" t="s">
        <v>1109</v>
      </c>
      <c r="L280" s="6" t="s">
        <v>1109</v>
      </c>
      <c r="M280" s="14">
        <v>45854.640972222223</v>
      </c>
      <c r="N280" s="6">
        <v>17051581</v>
      </c>
      <c r="O280" s="6" t="s">
        <v>92</v>
      </c>
      <c r="P280" s="6" t="s">
        <v>245</v>
      </c>
      <c r="Q280" s="6" t="s">
        <v>246</v>
      </c>
      <c r="R280" s="6" t="s">
        <v>247</v>
      </c>
      <c r="S280" s="6" t="s">
        <v>3</v>
      </c>
      <c r="T280" s="6" t="s">
        <v>248</v>
      </c>
      <c r="U280" s="6" t="s">
        <v>120</v>
      </c>
      <c r="V280" s="6" t="s">
        <v>1110</v>
      </c>
      <c r="W280" s="6" t="s">
        <v>92</v>
      </c>
      <c r="X280" s="6" t="s">
        <v>92</v>
      </c>
      <c r="Y280" s="6" t="s">
        <v>92</v>
      </c>
      <c r="Z280" s="6" t="s">
        <v>71</v>
      </c>
      <c r="AA280" s="6" t="s">
        <v>92</v>
      </c>
      <c r="AB280" s="6">
        <v>418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1139</v>
      </c>
      <c r="AJ280" s="6" t="s">
        <v>264</v>
      </c>
      <c r="AK280" s="6" t="s">
        <v>15</v>
      </c>
      <c r="AL280" s="6" t="s">
        <v>56</v>
      </c>
      <c r="AM280" s="6" t="s">
        <v>265</v>
      </c>
      <c r="AN280" s="6" t="s">
        <v>22</v>
      </c>
      <c r="AO280" s="6" t="s">
        <v>253</v>
      </c>
      <c r="AP280" s="6" t="s">
        <v>254</v>
      </c>
      <c r="AQ280" s="6" t="s">
        <v>20</v>
      </c>
    </row>
    <row r="281" spans="1:43" hidden="1" x14ac:dyDescent="0.25">
      <c r="A281" s="6">
        <v>22638330</v>
      </c>
      <c r="B281" s="6">
        <v>23449381</v>
      </c>
      <c r="C281" s="6" t="s">
        <v>241</v>
      </c>
      <c r="D281" s="14">
        <v>45866.583749999998</v>
      </c>
      <c r="E281" s="14">
        <v>45866.584108796298</v>
      </c>
      <c r="F281" s="6" t="s">
        <v>25</v>
      </c>
      <c r="G281" s="6" t="s">
        <v>25</v>
      </c>
      <c r="H281" s="6" t="s">
        <v>1140</v>
      </c>
      <c r="I281" s="6" t="s">
        <v>15</v>
      </c>
      <c r="J281" s="6" t="s">
        <v>1108</v>
      </c>
      <c r="K281" s="6" t="s">
        <v>1109</v>
      </c>
      <c r="L281" s="6" t="s">
        <v>1109</v>
      </c>
      <c r="M281" s="14">
        <v>45854.64166666667</v>
      </c>
      <c r="N281" s="6">
        <v>17051581</v>
      </c>
      <c r="O281" s="6" t="s">
        <v>92</v>
      </c>
      <c r="P281" s="6" t="s">
        <v>245</v>
      </c>
      <c r="Q281" s="6" t="s">
        <v>246</v>
      </c>
      <c r="R281" s="6" t="s">
        <v>247</v>
      </c>
      <c r="S281" s="6" t="s">
        <v>3</v>
      </c>
      <c r="T281" s="6" t="s">
        <v>248</v>
      </c>
      <c r="U281" s="6" t="s">
        <v>120</v>
      </c>
      <c r="V281" s="6" t="s">
        <v>1110</v>
      </c>
      <c r="W281" s="6" t="s">
        <v>92</v>
      </c>
      <c r="X281" s="6" t="s">
        <v>92</v>
      </c>
      <c r="Y281" s="6" t="s">
        <v>92</v>
      </c>
      <c r="Z281" s="6" t="s">
        <v>71</v>
      </c>
      <c r="AA281" s="6" t="s">
        <v>92</v>
      </c>
      <c r="AB281" s="6">
        <v>418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1139</v>
      </c>
      <c r="AJ281" s="6" t="s">
        <v>264</v>
      </c>
      <c r="AK281" s="6" t="s">
        <v>15</v>
      </c>
      <c r="AL281" s="6" t="s">
        <v>56</v>
      </c>
      <c r="AM281" s="6" t="s">
        <v>265</v>
      </c>
      <c r="AN281" s="6" t="s">
        <v>22</v>
      </c>
      <c r="AO281" s="6" t="s">
        <v>253</v>
      </c>
      <c r="AP281" s="6" t="s">
        <v>254</v>
      </c>
      <c r="AQ281" s="6" t="s">
        <v>20</v>
      </c>
    </row>
    <row r="282" spans="1:43" hidden="1" x14ac:dyDescent="0.25">
      <c r="A282" s="6">
        <v>22638331</v>
      </c>
      <c r="B282" s="6">
        <v>23449382</v>
      </c>
      <c r="C282" s="6" t="s">
        <v>241</v>
      </c>
      <c r="D282" s="14">
        <v>45866.583761574067</v>
      </c>
      <c r="E282" s="14">
        <v>45866.584120370368</v>
      </c>
      <c r="F282" s="6" t="s">
        <v>25</v>
      </c>
      <c r="G282" s="6" t="s">
        <v>25</v>
      </c>
      <c r="H282" s="6" t="s">
        <v>1141</v>
      </c>
      <c r="I282" s="6" t="s">
        <v>15</v>
      </c>
      <c r="J282" s="6" t="s">
        <v>1108</v>
      </c>
      <c r="K282" s="6" t="s">
        <v>1109</v>
      </c>
      <c r="L282" s="6" t="s">
        <v>1109</v>
      </c>
      <c r="M282" s="14">
        <v>45859.587500000001</v>
      </c>
      <c r="N282" s="6">
        <v>17075042</v>
      </c>
      <c r="O282" s="6" t="s">
        <v>92</v>
      </c>
      <c r="P282" s="6" t="s">
        <v>245</v>
      </c>
      <c r="Q282" s="6" t="s">
        <v>246</v>
      </c>
      <c r="R282" s="6" t="s">
        <v>247</v>
      </c>
      <c r="S282" s="6" t="s">
        <v>3</v>
      </c>
      <c r="T282" s="6" t="s">
        <v>248</v>
      </c>
      <c r="U282" s="6" t="s">
        <v>120</v>
      </c>
      <c r="V282" s="6" t="s">
        <v>1110</v>
      </c>
      <c r="W282" s="6" t="s">
        <v>92</v>
      </c>
      <c r="X282" s="6" t="s">
        <v>92</v>
      </c>
      <c r="Y282" s="6" t="s">
        <v>92</v>
      </c>
      <c r="Z282" s="6" t="s">
        <v>71</v>
      </c>
      <c r="AA282" s="6" t="s">
        <v>92</v>
      </c>
      <c r="AB282" s="6">
        <v>230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1142</v>
      </c>
      <c r="AJ282" s="6" t="s">
        <v>264</v>
      </c>
      <c r="AK282" s="6" t="s">
        <v>15</v>
      </c>
      <c r="AL282" s="6" t="s">
        <v>56</v>
      </c>
      <c r="AM282" s="6" t="s">
        <v>265</v>
      </c>
      <c r="AN282" s="6" t="s">
        <v>22</v>
      </c>
      <c r="AO282" s="6" t="s">
        <v>253</v>
      </c>
      <c r="AP282" s="6" t="s">
        <v>254</v>
      </c>
      <c r="AQ282" s="6" t="s">
        <v>20</v>
      </c>
    </row>
    <row r="283" spans="1:43" hidden="1" x14ac:dyDescent="0.25">
      <c r="A283" s="6">
        <v>22638332</v>
      </c>
      <c r="B283" s="6">
        <v>23449383</v>
      </c>
      <c r="C283" s="6" t="s">
        <v>241</v>
      </c>
      <c r="D283" s="14">
        <v>45866.583773148152</v>
      </c>
      <c r="E283" s="14">
        <v>45866.584120370368</v>
      </c>
      <c r="F283" s="6" t="s">
        <v>25</v>
      </c>
      <c r="G283" s="6" t="s">
        <v>25</v>
      </c>
      <c r="H283" s="6" t="s">
        <v>1143</v>
      </c>
      <c r="I283" s="6" t="s">
        <v>15</v>
      </c>
      <c r="J283" s="6" t="s">
        <v>1144</v>
      </c>
      <c r="K283" s="6" t="s">
        <v>1109</v>
      </c>
      <c r="L283" s="6" t="s">
        <v>1109</v>
      </c>
      <c r="M283" s="14">
        <v>45859.587500000001</v>
      </c>
      <c r="N283" s="6">
        <v>17075092</v>
      </c>
      <c r="O283" s="6" t="s">
        <v>92</v>
      </c>
      <c r="P283" s="6" t="s">
        <v>245</v>
      </c>
      <c r="Q283" s="6" t="s">
        <v>246</v>
      </c>
      <c r="R283" s="6" t="s">
        <v>247</v>
      </c>
      <c r="S283" s="6" t="s">
        <v>3</v>
      </c>
      <c r="T283" s="6" t="s">
        <v>248</v>
      </c>
      <c r="U283" s="6" t="s">
        <v>120</v>
      </c>
      <c r="V283" s="6" t="s">
        <v>1110</v>
      </c>
      <c r="W283" s="6" t="s">
        <v>92</v>
      </c>
      <c r="X283" s="6" t="s">
        <v>92</v>
      </c>
      <c r="Y283" s="6" t="s">
        <v>92</v>
      </c>
      <c r="Z283" s="6" t="s">
        <v>71</v>
      </c>
      <c r="AA283" s="6" t="s">
        <v>92</v>
      </c>
      <c r="AB283" s="6">
        <v>432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1145</v>
      </c>
      <c r="AJ283" s="6" t="s">
        <v>264</v>
      </c>
      <c r="AK283" s="6" t="s">
        <v>15</v>
      </c>
      <c r="AL283" s="6" t="s">
        <v>56</v>
      </c>
      <c r="AM283" s="6" t="s">
        <v>265</v>
      </c>
      <c r="AN283" s="6" t="s">
        <v>22</v>
      </c>
      <c r="AO283" s="6" t="s">
        <v>253</v>
      </c>
      <c r="AP283" s="6" t="s">
        <v>254</v>
      </c>
      <c r="AQ283" s="6" t="s">
        <v>20</v>
      </c>
    </row>
    <row r="284" spans="1:43" hidden="1" x14ac:dyDescent="0.25">
      <c r="A284" s="6">
        <v>22638333</v>
      </c>
      <c r="B284" s="6">
        <v>23449384</v>
      </c>
      <c r="C284" s="6" t="s">
        <v>241</v>
      </c>
      <c r="D284" s="14">
        <v>45866.583784722221</v>
      </c>
      <c r="E284" s="14">
        <v>45866.584120370368</v>
      </c>
      <c r="F284" s="6" t="s">
        <v>25</v>
      </c>
      <c r="G284" s="6" t="s">
        <v>25</v>
      </c>
      <c r="H284" s="6" t="s">
        <v>1146</v>
      </c>
      <c r="I284" s="6" t="s">
        <v>15</v>
      </c>
      <c r="J284" s="6" t="s">
        <v>1144</v>
      </c>
      <c r="K284" s="6" t="s">
        <v>1109</v>
      </c>
      <c r="L284" s="6" t="s">
        <v>1109</v>
      </c>
      <c r="M284" s="14">
        <v>45855.611111111109</v>
      </c>
      <c r="N284" s="6">
        <v>17075165</v>
      </c>
      <c r="O284" s="6" t="s">
        <v>92</v>
      </c>
      <c r="P284" s="6" t="s">
        <v>245</v>
      </c>
      <c r="Q284" s="6" t="s">
        <v>246</v>
      </c>
      <c r="R284" s="6" t="s">
        <v>247</v>
      </c>
      <c r="S284" s="6" t="s">
        <v>3</v>
      </c>
      <c r="T284" s="6" t="s">
        <v>248</v>
      </c>
      <c r="U284" s="6" t="s">
        <v>120</v>
      </c>
      <c r="V284" s="6" t="s">
        <v>1110</v>
      </c>
      <c r="W284" s="6" t="s">
        <v>92</v>
      </c>
      <c r="X284" s="6" t="s">
        <v>92</v>
      </c>
      <c r="Y284" s="6" t="s">
        <v>92</v>
      </c>
      <c r="Z284" s="6" t="s">
        <v>71</v>
      </c>
      <c r="AA284" s="6" t="s">
        <v>92</v>
      </c>
      <c r="AB284" s="6">
        <v>209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1147</v>
      </c>
      <c r="AJ284" s="6" t="s">
        <v>264</v>
      </c>
      <c r="AK284" s="6" t="s">
        <v>15</v>
      </c>
      <c r="AL284" s="6" t="s">
        <v>56</v>
      </c>
      <c r="AM284" s="6" t="s">
        <v>265</v>
      </c>
      <c r="AN284" s="6" t="s">
        <v>22</v>
      </c>
      <c r="AO284" s="6" t="s">
        <v>253</v>
      </c>
      <c r="AP284" s="6" t="s">
        <v>254</v>
      </c>
      <c r="AQ284" s="6" t="s">
        <v>20</v>
      </c>
    </row>
    <row r="285" spans="1:43" hidden="1" x14ac:dyDescent="0.25">
      <c r="A285" s="6">
        <v>22638334</v>
      </c>
      <c r="B285" s="6">
        <v>23449385</v>
      </c>
      <c r="C285" s="6" t="s">
        <v>241</v>
      </c>
      <c r="D285" s="14">
        <v>45866.583796296298</v>
      </c>
      <c r="E285" s="14">
        <v>45866.584131944437</v>
      </c>
      <c r="F285" s="6" t="s">
        <v>25</v>
      </c>
      <c r="G285" s="6" t="s">
        <v>25</v>
      </c>
      <c r="H285" s="6" t="s">
        <v>1148</v>
      </c>
      <c r="I285" s="6" t="s">
        <v>15</v>
      </c>
      <c r="J285" s="6" t="s">
        <v>1144</v>
      </c>
      <c r="K285" s="6" t="s">
        <v>1109</v>
      </c>
      <c r="L285" s="6" t="s">
        <v>1109</v>
      </c>
      <c r="M285" s="14">
        <v>45855.61041666667</v>
      </c>
      <c r="N285" s="6">
        <v>17075193</v>
      </c>
      <c r="O285" s="6" t="s">
        <v>92</v>
      </c>
      <c r="P285" s="6" t="s">
        <v>245</v>
      </c>
      <c r="Q285" s="6" t="s">
        <v>246</v>
      </c>
      <c r="R285" s="6" t="s">
        <v>247</v>
      </c>
      <c r="S285" s="6" t="s">
        <v>3</v>
      </c>
      <c r="T285" s="6" t="s">
        <v>248</v>
      </c>
      <c r="U285" s="6" t="s">
        <v>120</v>
      </c>
      <c r="V285" s="6" t="s">
        <v>1110</v>
      </c>
      <c r="W285" s="6" t="s">
        <v>92</v>
      </c>
      <c r="X285" s="6" t="s">
        <v>92</v>
      </c>
      <c r="Y285" s="6" t="s">
        <v>92</v>
      </c>
      <c r="Z285" s="6" t="s">
        <v>71</v>
      </c>
      <c r="AA285" s="6" t="s">
        <v>92</v>
      </c>
      <c r="AB285" s="6">
        <v>209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1149</v>
      </c>
      <c r="AJ285" s="6" t="s">
        <v>264</v>
      </c>
      <c r="AK285" s="6" t="s">
        <v>15</v>
      </c>
      <c r="AL285" s="6" t="s">
        <v>56</v>
      </c>
      <c r="AM285" s="6" t="s">
        <v>265</v>
      </c>
      <c r="AN285" s="6" t="s">
        <v>22</v>
      </c>
      <c r="AO285" s="6" t="s">
        <v>253</v>
      </c>
      <c r="AP285" s="6" t="s">
        <v>254</v>
      </c>
      <c r="AQ285" s="6" t="s">
        <v>20</v>
      </c>
    </row>
    <row r="286" spans="1:43" hidden="1" x14ac:dyDescent="0.25">
      <c r="A286" s="6">
        <v>22638335</v>
      </c>
      <c r="B286" s="6">
        <v>23449386</v>
      </c>
      <c r="C286" s="6" t="s">
        <v>241</v>
      </c>
      <c r="D286" s="14">
        <v>45866.583807870367</v>
      </c>
      <c r="E286" s="14">
        <v>45866.584131944437</v>
      </c>
      <c r="F286" s="6" t="s">
        <v>25</v>
      </c>
      <c r="G286" s="6" t="s">
        <v>25</v>
      </c>
      <c r="H286" s="6" t="s">
        <v>1150</v>
      </c>
      <c r="I286" s="6" t="s">
        <v>15</v>
      </c>
      <c r="J286" s="6" t="s">
        <v>1144</v>
      </c>
      <c r="K286" s="6" t="s">
        <v>1109</v>
      </c>
      <c r="L286" s="6" t="s">
        <v>1109</v>
      </c>
      <c r="M286" s="14">
        <v>45855.604166666657</v>
      </c>
      <c r="N286" s="6">
        <v>17075303</v>
      </c>
      <c r="O286" s="6" t="s">
        <v>92</v>
      </c>
      <c r="P286" s="6" t="s">
        <v>245</v>
      </c>
      <c r="Q286" s="6" t="s">
        <v>246</v>
      </c>
      <c r="R286" s="6" t="s">
        <v>247</v>
      </c>
      <c r="S286" s="6" t="s">
        <v>3</v>
      </c>
      <c r="T286" s="6" t="s">
        <v>248</v>
      </c>
      <c r="U286" s="6" t="s">
        <v>120</v>
      </c>
      <c r="V286" s="6" t="s">
        <v>1110</v>
      </c>
      <c r="W286" s="6" t="s">
        <v>92</v>
      </c>
      <c r="X286" s="6" t="s">
        <v>92</v>
      </c>
      <c r="Y286" s="6" t="s">
        <v>92</v>
      </c>
      <c r="Z286" s="6" t="s">
        <v>71</v>
      </c>
      <c r="AA286" s="6" t="s">
        <v>92</v>
      </c>
      <c r="AB286" s="6">
        <v>418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1151</v>
      </c>
      <c r="AJ286" s="6" t="s">
        <v>264</v>
      </c>
      <c r="AK286" s="6" t="s">
        <v>15</v>
      </c>
      <c r="AL286" s="6" t="s">
        <v>56</v>
      </c>
      <c r="AM286" s="6" t="s">
        <v>265</v>
      </c>
      <c r="AN286" s="6" t="s">
        <v>22</v>
      </c>
      <c r="AO286" s="6" t="s">
        <v>253</v>
      </c>
      <c r="AP286" s="6" t="s">
        <v>254</v>
      </c>
      <c r="AQ286" s="6" t="s">
        <v>20</v>
      </c>
    </row>
    <row r="287" spans="1:43" hidden="1" x14ac:dyDescent="0.25">
      <c r="A287" s="6">
        <v>22638336</v>
      </c>
      <c r="B287" s="6">
        <v>23449387</v>
      </c>
      <c r="C287" s="6" t="s">
        <v>241</v>
      </c>
      <c r="D287" s="14">
        <v>45866.583819444437</v>
      </c>
      <c r="E287" s="14">
        <v>45866.584131944437</v>
      </c>
      <c r="F287" s="6" t="s">
        <v>25</v>
      </c>
      <c r="G287" s="6" t="s">
        <v>25</v>
      </c>
      <c r="H287" s="6" t="s">
        <v>1152</v>
      </c>
      <c r="I287" s="6" t="s">
        <v>15</v>
      </c>
      <c r="J287" s="6" t="s">
        <v>1108</v>
      </c>
      <c r="K287" s="6" t="s">
        <v>1109</v>
      </c>
      <c r="L287" s="6" t="s">
        <v>1109</v>
      </c>
      <c r="M287" s="14">
        <v>45855.602083333331</v>
      </c>
      <c r="N287" s="6">
        <v>17075441</v>
      </c>
      <c r="O287" s="6" t="s">
        <v>92</v>
      </c>
      <c r="P287" s="6" t="s">
        <v>245</v>
      </c>
      <c r="Q287" s="6" t="s">
        <v>246</v>
      </c>
      <c r="R287" s="6" t="s">
        <v>247</v>
      </c>
      <c r="S287" s="6" t="s">
        <v>3</v>
      </c>
      <c r="T287" s="6" t="s">
        <v>248</v>
      </c>
      <c r="U287" s="6" t="s">
        <v>120</v>
      </c>
      <c r="V287" s="6" t="s">
        <v>1110</v>
      </c>
      <c r="W287" s="6" t="s">
        <v>92</v>
      </c>
      <c r="X287" s="6" t="s">
        <v>92</v>
      </c>
      <c r="Y287" s="6" t="s">
        <v>92</v>
      </c>
      <c r="Z287" s="6" t="s">
        <v>71</v>
      </c>
      <c r="AA287" s="6" t="s">
        <v>92</v>
      </c>
      <c r="AB287" s="6">
        <v>209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1153</v>
      </c>
      <c r="AJ287" s="6" t="s">
        <v>264</v>
      </c>
      <c r="AK287" s="6" t="s">
        <v>15</v>
      </c>
      <c r="AL287" s="6" t="s">
        <v>56</v>
      </c>
      <c r="AM287" s="6" t="s">
        <v>265</v>
      </c>
      <c r="AN287" s="6" t="s">
        <v>22</v>
      </c>
      <c r="AO287" s="6" t="s">
        <v>253</v>
      </c>
      <c r="AP287" s="6" t="s">
        <v>254</v>
      </c>
      <c r="AQ287" s="6" t="s">
        <v>20</v>
      </c>
    </row>
    <row r="288" spans="1:43" hidden="1" x14ac:dyDescent="0.25">
      <c r="A288" s="6">
        <v>22638988</v>
      </c>
      <c r="B288" s="6">
        <v>23450028</v>
      </c>
      <c r="C288" s="6" t="s">
        <v>241</v>
      </c>
      <c r="D288" s="14">
        <v>45866.667094907411</v>
      </c>
      <c r="E288" s="14">
        <v>45866.667291666658</v>
      </c>
      <c r="F288" s="6" t="s">
        <v>25</v>
      </c>
      <c r="G288" s="6" t="s">
        <v>25</v>
      </c>
      <c r="H288" s="6" t="s">
        <v>1154</v>
      </c>
      <c r="I288" s="6" t="s">
        <v>15</v>
      </c>
      <c r="J288" s="6" t="s">
        <v>1144</v>
      </c>
      <c r="K288" s="6" t="s">
        <v>1109</v>
      </c>
      <c r="L288" s="6" t="s">
        <v>1109</v>
      </c>
      <c r="M288" s="14">
        <v>45855.600694444453</v>
      </c>
      <c r="N288" s="6">
        <v>17075466</v>
      </c>
      <c r="O288" s="6" t="s">
        <v>92</v>
      </c>
      <c r="P288" s="6" t="s">
        <v>245</v>
      </c>
      <c r="Q288" s="6" t="s">
        <v>246</v>
      </c>
      <c r="R288" s="6" t="s">
        <v>247</v>
      </c>
      <c r="S288" s="6" t="s">
        <v>3</v>
      </c>
      <c r="T288" s="6" t="s">
        <v>248</v>
      </c>
      <c r="U288" s="6" t="s">
        <v>120</v>
      </c>
      <c r="V288" s="6" t="s">
        <v>1110</v>
      </c>
      <c r="W288" s="6" t="s">
        <v>92</v>
      </c>
      <c r="X288" s="6" t="s">
        <v>92</v>
      </c>
      <c r="Y288" s="6" t="s">
        <v>92</v>
      </c>
      <c r="Z288" s="6" t="s">
        <v>71</v>
      </c>
      <c r="AA288" s="6" t="s">
        <v>92</v>
      </c>
      <c r="AB288" s="6">
        <v>209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1155</v>
      </c>
      <c r="AJ288" s="6" t="s">
        <v>264</v>
      </c>
      <c r="AK288" s="6" t="s">
        <v>15</v>
      </c>
      <c r="AL288" s="6" t="s">
        <v>56</v>
      </c>
      <c r="AM288" s="6" t="s">
        <v>265</v>
      </c>
      <c r="AN288" s="6" t="s">
        <v>22</v>
      </c>
      <c r="AO288" s="6" t="s">
        <v>253</v>
      </c>
      <c r="AP288" s="6" t="s">
        <v>254</v>
      </c>
      <c r="AQ288" s="6" t="s">
        <v>20</v>
      </c>
    </row>
    <row r="289" spans="1:43" hidden="1" x14ac:dyDescent="0.25">
      <c r="A289" s="6">
        <v>22491919</v>
      </c>
      <c r="B289" s="6">
        <v>23326323</v>
      </c>
      <c r="C289" s="6" t="s">
        <v>241</v>
      </c>
      <c r="D289" s="14">
        <v>45839.709976851853</v>
      </c>
      <c r="E289" s="14">
        <v>45841.487719907411</v>
      </c>
      <c r="F289" s="47" t="s">
        <v>30</v>
      </c>
      <c r="G289" s="47" t="s">
        <v>30</v>
      </c>
      <c r="H289" s="6" t="s">
        <v>1156</v>
      </c>
      <c r="I289" s="6" t="s">
        <v>15</v>
      </c>
      <c r="J289" s="6" t="s">
        <v>1157</v>
      </c>
      <c r="K289" s="6" t="s">
        <v>1109</v>
      </c>
      <c r="L289" s="6" t="s">
        <v>1109</v>
      </c>
      <c r="M289" s="14">
        <v>45839.426388888889</v>
      </c>
      <c r="N289" s="6">
        <v>16949647</v>
      </c>
      <c r="O289" s="6" t="s">
        <v>92</v>
      </c>
      <c r="P289" s="6" t="s">
        <v>245</v>
      </c>
      <c r="Q289" s="6" t="s">
        <v>246</v>
      </c>
      <c r="R289" s="6" t="s">
        <v>247</v>
      </c>
      <c r="S289" s="6" t="s">
        <v>3</v>
      </c>
      <c r="T289" s="6" t="s">
        <v>509</v>
      </c>
      <c r="U289" s="6" t="s">
        <v>120</v>
      </c>
      <c r="V289" s="6" t="s">
        <v>1110</v>
      </c>
      <c r="W289" s="6" t="s">
        <v>92</v>
      </c>
      <c r="X289" s="6" t="s">
        <v>92</v>
      </c>
      <c r="Y289" s="6" t="s">
        <v>92</v>
      </c>
      <c r="Z289" s="6" t="s">
        <v>71</v>
      </c>
      <c r="AA289" s="6" t="s">
        <v>92</v>
      </c>
      <c r="AB289" s="6">
        <v>0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1158</v>
      </c>
      <c r="AJ289" s="6" t="s">
        <v>264</v>
      </c>
      <c r="AK289" s="6" t="s">
        <v>15</v>
      </c>
      <c r="AL289" s="6" t="s">
        <v>56</v>
      </c>
      <c r="AM289" s="6" t="s">
        <v>265</v>
      </c>
      <c r="AN289" s="6" t="s">
        <v>22</v>
      </c>
      <c r="AO289" s="6" t="s">
        <v>253</v>
      </c>
      <c r="AP289" s="6" t="s">
        <v>254</v>
      </c>
      <c r="AQ289" s="6" t="s">
        <v>20</v>
      </c>
    </row>
    <row r="290" spans="1:43" hidden="1" x14ac:dyDescent="0.25">
      <c r="A290" s="6">
        <v>22585625</v>
      </c>
      <c r="B290" s="6">
        <v>23407310</v>
      </c>
      <c r="C290" s="6" t="s">
        <v>241</v>
      </c>
      <c r="D290" s="14">
        <v>45856.626516203702</v>
      </c>
      <c r="E290" s="14">
        <v>45856.629525462973</v>
      </c>
      <c r="F290" s="47" t="s">
        <v>27</v>
      </c>
      <c r="G290" s="47" t="s">
        <v>27</v>
      </c>
      <c r="H290" s="6" t="s">
        <v>1159</v>
      </c>
      <c r="I290" s="6" t="s">
        <v>15</v>
      </c>
      <c r="J290" s="6" t="s">
        <v>1160</v>
      </c>
      <c r="K290" s="6" t="s">
        <v>1109</v>
      </c>
      <c r="L290" s="6" t="s">
        <v>1109</v>
      </c>
      <c r="M290" s="14">
        <v>45855.674305555563</v>
      </c>
      <c r="N290" s="6">
        <v>17075997</v>
      </c>
      <c r="O290" s="6" t="s">
        <v>92</v>
      </c>
      <c r="P290" s="6" t="s">
        <v>245</v>
      </c>
      <c r="Q290" s="6" t="s">
        <v>246</v>
      </c>
      <c r="R290" s="6" t="s">
        <v>247</v>
      </c>
      <c r="S290" s="6" t="s">
        <v>3</v>
      </c>
      <c r="T290" s="6" t="s">
        <v>248</v>
      </c>
      <c r="U290" s="6" t="s">
        <v>120</v>
      </c>
      <c r="V290" s="6" t="s">
        <v>1110</v>
      </c>
      <c r="W290" s="6" t="s">
        <v>92</v>
      </c>
      <c r="X290" s="6" t="s">
        <v>92</v>
      </c>
      <c r="Y290" s="6" t="s">
        <v>92</v>
      </c>
      <c r="Z290" s="6" t="s">
        <v>71</v>
      </c>
      <c r="AA290" s="6" t="s">
        <v>92</v>
      </c>
      <c r="AB290" s="6">
        <v>3975.72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1161</v>
      </c>
      <c r="AJ290" s="6" t="s">
        <v>264</v>
      </c>
      <c r="AK290" s="6" t="s">
        <v>15</v>
      </c>
      <c r="AL290" s="6" t="s">
        <v>56</v>
      </c>
      <c r="AM290" s="6" t="s">
        <v>265</v>
      </c>
      <c r="AN290" s="6" t="s">
        <v>22</v>
      </c>
      <c r="AO290" s="6" t="s">
        <v>253</v>
      </c>
      <c r="AP290" s="6" t="s">
        <v>254</v>
      </c>
      <c r="AQ290" s="6" t="s">
        <v>20</v>
      </c>
    </row>
    <row r="291" spans="1:43" hidden="1" x14ac:dyDescent="0.25">
      <c r="A291" s="6">
        <v>22585626</v>
      </c>
      <c r="B291" s="6">
        <v>23407311</v>
      </c>
      <c r="C291" s="6" t="s">
        <v>241</v>
      </c>
      <c r="D291" s="14">
        <v>45856.626527777778</v>
      </c>
      <c r="E291" s="14">
        <v>45856.629525462973</v>
      </c>
      <c r="F291" s="47" t="s">
        <v>27</v>
      </c>
      <c r="G291" s="47" t="s">
        <v>27</v>
      </c>
      <c r="H291" s="6" t="s">
        <v>1162</v>
      </c>
      <c r="I291" s="6" t="s">
        <v>15</v>
      </c>
      <c r="J291" s="6" t="s">
        <v>1163</v>
      </c>
      <c r="K291" s="6" t="s">
        <v>1109</v>
      </c>
      <c r="L291" s="6" t="s">
        <v>1109</v>
      </c>
      <c r="M291" s="14">
        <v>45855.673611111109</v>
      </c>
      <c r="N291" s="6">
        <v>17075998</v>
      </c>
      <c r="O291" s="6" t="s">
        <v>92</v>
      </c>
      <c r="P291" s="6" t="s">
        <v>245</v>
      </c>
      <c r="Q291" s="6" t="s">
        <v>246</v>
      </c>
      <c r="R291" s="6" t="s">
        <v>247</v>
      </c>
      <c r="S291" s="6" t="s">
        <v>3</v>
      </c>
      <c r="T291" s="6" t="s">
        <v>248</v>
      </c>
      <c r="U291" s="6" t="s">
        <v>120</v>
      </c>
      <c r="V291" s="6" t="s">
        <v>1110</v>
      </c>
      <c r="W291" s="6" t="s">
        <v>92</v>
      </c>
      <c r="X291" s="6" t="s">
        <v>92</v>
      </c>
      <c r="Y291" s="6" t="s">
        <v>92</v>
      </c>
      <c r="Z291" s="6" t="s">
        <v>71</v>
      </c>
      <c r="AA291" s="6" t="s">
        <v>92</v>
      </c>
      <c r="AB291" s="6">
        <v>3973.41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1164</v>
      </c>
      <c r="AJ291" s="6" t="s">
        <v>264</v>
      </c>
      <c r="AK291" s="6" t="s">
        <v>15</v>
      </c>
      <c r="AL291" s="6" t="s">
        <v>56</v>
      </c>
      <c r="AM291" s="6" t="s">
        <v>265</v>
      </c>
      <c r="AN291" s="6" t="s">
        <v>22</v>
      </c>
      <c r="AO291" s="6" t="s">
        <v>253</v>
      </c>
      <c r="AP291" s="6" t="s">
        <v>254</v>
      </c>
      <c r="AQ291" s="6" t="s">
        <v>20</v>
      </c>
    </row>
    <row r="292" spans="1:43" x14ac:dyDescent="0.25">
      <c r="A292" s="6">
        <v>22585627</v>
      </c>
      <c r="B292" s="6">
        <v>23407312</v>
      </c>
      <c r="C292" s="6" t="s">
        <v>241</v>
      </c>
      <c r="D292" s="14">
        <v>45856.626539351862</v>
      </c>
      <c r="E292" s="14">
        <v>45856.629525462973</v>
      </c>
      <c r="F292" s="47" t="s">
        <v>27</v>
      </c>
      <c r="G292" s="47" t="s">
        <v>27</v>
      </c>
      <c r="H292" s="6" t="s">
        <v>1165</v>
      </c>
      <c r="I292" s="6" t="s">
        <v>15</v>
      </c>
      <c r="J292" s="6" t="s">
        <v>1166</v>
      </c>
      <c r="K292" s="6" t="s">
        <v>1109</v>
      </c>
      <c r="L292" s="6" t="s">
        <v>1109</v>
      </c>
      <c r="M292" s="14">
        <v>45855.619444444441</v>
      </c>
      <c r="N292" s="6">
        <v>17075999</v>
      </c>
      <c r="O292" s="6" t="s">
        <v>92</v>
      </c>
      <c r="P292" s="6" t="s">
        <v>245</v>
      </c>
      <c r="Q292" s="6" t="s">
        <v>246</v>
      </c>
      <c r="R292" s="6" t="s">
        <v>247</v>
      </c>
      <c r="S292" s="6" t="s">
        <v>3</v>
      </c>
      <c r="T292" s="6" t="s">
        <v>248</v>
      </c>
      <c r="U292" s="6" t="s">
        <v>120</v>
      </c>
      <c r="V292" s="6" t="s">
        <v>1110</v>
      </c>
      <c r="W292" s="6" t="s">
        <v>92</v>
      </c>
      <c r="X292" s="6" t="s">
        <v>92</v>
      </c>
      <c r="Y292" s="6" t="s">
        <v>92</v>
      </c>
      <c r="Z292" s="6" t="s">
        <v>71</v>
      </c>
      <c r="AA292" s="6" t="s">
        <v>92</v>
      </c>
      <c r="AB292" s="6">
        <v>3975.72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1167</v>
      </c>
      <c r="AJ292" s="6" t="s">
        <v>264</v>
      </c>
      <c r="AK292" s="6" t="s">
        <v>15</v>
      </c>
      <c r="AL292" s="6" t="s">
        <v>56</v>
      </c>
      <c r="AM292" s="6" t="s">
        <v>265</v>
      </c>
      <c r="AN292" s="6" t="s">
        <v>22</v>
      </c>
      <c r="AO292" s="6" t="s">
        <v>253</v>
      </c>
      <c r="AP292" s="6" t="s">
        <v>254</v>
      </c>
      <c r="AQ292" s="6" t="s">
        <v>20</v>
      </c>
    </row>
    <row r="293" spans="1:43" hidden="1" x14ac:dyDescent="0.25">
      <c r="A293" s="6">
        <v>22585628</v>
      </c>
      <c r="B293" s="6">
        <v>23407313</v>
      </c>
      <c r="C293" s="6" t="s">
        <v>241</v>
      </c>
      <c r="D293" s="14">
        <v>45856.626539351862</v>
      </c>
      <c r="E293" s="14">
        <v>45856.629525462973</v>
      </c>
      <c r="F293" s="47" t="s">
        <v>27</v>
      </c>
      <c r="G293" s="47" t="s">
        <v>27</v>
      </c>
      <c r="H293" s="6" t="s">
        <v>1168</v>
      </c>
      <c r="I293" s="6" t="s">
        <v>15</v>
      </c>
      <c r="J293" s="6" t="s">
        <v>1169</v>
      </c>
      <c r="K293" s="6" t="s">
        <v>1109</v>
      </c>
      <c r="L293" s="6" t="s">
        <v>1109</v>
      </c>
      <c r="M293" s="14">
        <v>45855.620138888888</v>
      </c>
      <c r="N293" s="6">
        <v>17076001</v>
      </c>
      <c r="O293" s="6" t="s">
        <v>92</v>
      </c>
      <c r="P293" s="6" t="s">
        <v>245</v>
      </c>
      <c r="Q293" s="6" t="s">
        <v>246</v>
      </c>
      <c r="R293" s="6" t="s">
        <v>247</v>
      </c>
      <c r="S293" s="6" t="s">
        <v>3</v>
      </c>
      <c r="T293" s="6" t="s">
        <v>248</v>
      </c>
      <c r="U293" s="6" t="s">
        <v>120</v>
      </c>
      <c r="V293" s="6" t="s">
        <v>1110</v>
      </c>
      <c r="W293" s="6" t="s">
        <v>92</v>
      </c>
      <c r="X293" s="6" t="s">
        <v>92</v>
      </c>
      <c r="Y293" s="6" t="s">
        <v>92</v>
      </c>
      <c r="Z293" s="6" t="s">
        <v>71</v>
      </c>
      <c r="AA293" s="6" t="s">
        <v>92</v>
      </c>
      <c r="AB293" s="6">
        <v>3975.72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1170</v>
      </c>
      <c r="AJ293" s="6" t="s">
        <v>264</v>
      </c>
      <c r="AK293" s="6" t="s">
        <v>15</v>
      </c>
      <c r="AL293" s="6" t="s">
        <v>56</v>
      </c>
      <c r="AM293" s="6" t="s">
        <v>265</v>
      </c>
      <c r="AN293" s="6" t="s">
        <v>22</v>
      </c>
      <c r="AO293" s="6" t="s">
        <v>253</v>
      </c>
      <c r="AP293" s="6" t="s">
        <v>254</v>
      </c>
      <c r="AQ293" s="6" t="s">
        <v>20</v>
      </c>
    </row>
    <row r="294" spans="1:43" hidden="1" x14ac:dyDescent="0.25">
      <c r="A294" s="6">
        <v>22585629</v>
      </c>
      <c r="B294" s="6">
        <v>23407314</v>
      </c>
      <c r="C294" s="6" t="s">
        <v>241</v>
      </c>
      <c r="D294" s="14">
        <v>45856.626597222217</v>
      </c>
      <c r="E294" s="14">
        <v>45856.629525462973</v>
      </c>
      <c r="F294" s="47" t="s">
        <v>27</v>
      </c>
      <c r="G294" s="47" t="s">
        <v>27</v>
      </c>
      <c r="H294" s="6" t="s">
        <v>1171</v>
      </c>
      <c r="I294" s="6" t="s">
        <v>15</v>
      </c>
      <c r="J294" s="6" t="s">
        <v>1172</v>
      </c>
      <c r="K294" s="6" t="s">
        <v>1109</v>
      </c>
      <c r="L294" s="6" t="s">
        <v>1109</v>
      </c>
      <c r="M294" s="14">
        <v>45855.59097222222</v>
      </c>
      <c r="N294" s="6">
        <v>17077287</v>
      </c>
      <c r="O294" s="6" t="s">
        <v>92</v>
      </c>
      <c r="P294" s="6" t="s">
        <v>245</v>
      </c>
      <c r="Q294" s="6" t="s">
        <v>246</v>
      </c>
      <c r="R294" s="6" t="s">
        <v>247</v>
      </c>
      <c r="S294" s="6" t="s">
        <v>3</v>
      </c>
      <c r="T294" s="6" t="s">
        <v>248</v>
      </c>
      <c r="U294" s="6" t="s">
        <v>120</v>
      </c>
      <c r="V294" s="6" t="s">
        <v>1110</v>
      </c>
      <c r="W294" s="6" t="s">
        <v>92</v>
      </c>
      <c r="X294" s="6" t="s">
        <v>92</v>
      </c>
      <c r="Y294" s="6" t="s">
        <v>92</v>
      </c>
      <c r="Z294" s="6" t="s">
        <v>71</v>
      </c>
      <c r="AA294" s="6" t="s">
        <v>92</v>
      </c>
      <c r="AB294" s="6">
        <v>4655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1173</v>
      </c>
      <c r="AJ294" s="6" t="s">
        <v>264</v>
      </c>
      <c r="AK294" s="6" t="s">
        <v>15</v>
      </c>
      <c r="AL294" s="6" t="s">
        <v>56</v>
      </c>
      <c r="AM294" s="6" t="s">
        <v>265</v>
      </c>
      <c r="AN294" s="6" t="s">
        <v>22</v>
      </c>
      <c r="AO294" s="6" t="s">
        <v>253</v>
      </c>
      <c r="AP294" s="6" t="s">
        <v>254</v>
      </c>
      <c r="AQ294" s="6" t="s">
        <v>20</v>
      </c>
    </row>
    <row r="295" spans="1:43" hidden="1" x14ac:dyDescent="0.25">
      <c r="A295" s="6">
        <v>22586517</v>
      </c>
      <c r="B295" s="6">
        <v>23408193</v>
      </c>
      <c r="C295" s="6" t="s">
        <v>241</v>
      </c>
      <c r="D295" s="14">
        <v>45856.668263888889</v>
      </c>
      <c r="E295" s="14">
        <v>45856.671736111108</v>
      </c>
      <c r="F295" s="47" t="s">
        <v>27</v>
      </c>
      <c r="G295" s="47" t="s">
        <v>27</v>
      </c>
      <c r="H295" s="6" t="s">
        <v>1174</v>
      </c>
      <c r="I295" s="6" t="s">
        <v>15</v>
      </c>
      <c r="J295" s="6" t="s">
        <v>1175</v>
      </c>
      <c r="K295" s="6" t="s">
        <v>1109</v>
      </c>
      <c r="L295" s="6" t="s">
        <v>1109</v>
      </c>
      <c r="M295" s="14">
        <v>45855.617361111108</v>
      </c>
      <c r="N295" s="6">
        <v>17070514</v>
      </c>
      <c r="O295" s="6" t="s">
        <v>92</v>
      </c>
      <c r="P295" s="6" t="s">
        <v>245</v>
      </c>
      <c r="Q295" s="6" t="s">
        <v>246</v>
      </c>
      <c r="R295" s="6" t="s">
        <v>247</v>
      </c>
      <c r="S295" s="6" t="s">
        <v>3</v>
      </c>
      <c r="T295" s="6" t="s">
        <v>248</v>
      </c>
      <c r="U295" s="6" t="s">
        <v>120</v>
      </c>
      <c r="V295" s="6" t="s">
        <v>1110</v>
      </c>
      <c r="W295" s="6" t="s">
        <v>92</v>
      </c>
      <c r="X295" s="6" t="s">
        <v>92</v>
      </c>
      <c r="Y295" s="6" t="s">
        <v>92</v>
      </c>
      <c r="Z295" s="6" t="s">
        <v>71</v>
      </c>
      <c r="AA295" s="6" t="s">
        <v>92</v>
      </c>
      <c r="AB295" s="6">
        <v>2665.18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1176</v>
      </c>
      <c r="AJ295" s="6" t="s">
        <v>264</v>
      </c>
      <c r="AK295" s="6" t="s">
        <v>15</v>
      </c>
      <c r="AL295" s="6" t="s">
        <v>56</v>
      </c>
      <c r="AM295" s="6" t="s">
        <v>265</v>
      </c>
      <c r="AN295" s="6" t="s">
        <v>22</v>
      </c>
      <c r="AO295" s="6" t="s">
        <v>253</v>
      </c>
      <c r="AP295" s="6" t="s">
        <v>254</v>
      </c>
      <c r="AQ295" s="6" t="s">
        <v>20</v>
      </c>
    </row>
    <row r="296" spans="1:43" x14ac:dyDescent="0.25">
      <c r="A296" s="6">
        <v>22586518</v>
      </c>
      <c r="B296" s="6">
        <v>23408194</v>
      </c>
      <c r="C296" s="6" t="s">
        <v>241</v>
      </c>
      <c r="D296" s="14">
        <v>45856.668275462973</v>
      </c>
      <c r="E296" s="14">
        <v>45856.671747685177</v>
      </c>
      <c r="F296" s="47" t="s">
        <v>27</v>
      </c>
      <c r="G296" s="47" t="s">
        <v>27</v>
      </c>
      <c r="H296" s="6" t="s">
        <v>1177</v>
      </c>
      <c r="I296" s="6" t="s">
        <v>15</v>
      </c>
      <c r="J296" s="6" t="s">
        <v>1178</v>
      </c>
      <c r="K296" s="6" t="s">
        <v>1109</v>
      </c>
      <c r="L296" s="6" t="s">
        <v>1109</v>
      </c>
      <c r="M296" s="14">
        <v>45855.618750000001</v>
      </c>
      <c r="N296" s="6">
        <v>17070561</v>
      </c>
      <c r="O296" s="6" t="s">
        <v>92</v>
      </c>
      <c r="P296" s="6" t="s">
        <v>245</v>
      </c>
      <c r="Q296" s="6" t="s">
        <v>246</v>
      </c>
      <c r="R296" s="6" t="s">
        <v>247</v>
      </c>
      <c r="S296" s="6" t="s">
        <v>3</v>
      </c>
      <c r="T296" s="6" t="s">
        <v>248</v>
      </c>
      <c r="U296" s="6" t="s">
        <v>120</v>
      </c>
      <c r="V296" s="6" t="s">
        <v>1110</v>
      </c>
      <c r="W296" s="6" t="s">
        <v>92</v>
      </c>
      <c r="X296" s="6" t="s">
        <v>92</v>
      </c>
      <c r="Y296" s="6" t="s">
        <v>92</v>
      </c>
      <c r="Z296" s="6" t="s">
        <v>71</v>
      </c>
      <c r="AA296" s="6" t="s">
        <v>92</v>
      </c>
      <c r="AB296" s="6">
        <v>2665.18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1179</v>
      </c>
      <c r="AJ296" s="6" t="s">
        <v>264</v>
      </c>
      <c r="AK296" s="6" t="s">
        <v>15</v>
      </c>
      <c r="AL296" s="6" t="s">
        <v>56</v>
      </c>
      <c r="AM296" s="6" t="s">
        <v>265</v>
      </c>
      <c r="AN296" s="6" t="s">
        <v>22</v>
      </c>
      <c r="AO296" s="6" t="s">
        <v>253</v>
      </c>
      <c r="AP296" s="6" t="s">
        <v>254</v>
      </c>
      <c r="AQ296" s="6" t="s">
        <v>20</v>
      </c>
    </row>
    <row r="297" spans="1:43" hidden="1" x14ac:dyDescent="0.25">
      <c r="A297" s="6">
        <v>22607201</v>
      </c>
      <c r="B297" s="6">
        <v>23424504</v>
      </c>
      <c r="C297" s="6" t="s">
        <v>241</v>
      </c>
      <c r="D297" s="14">
        <v>45860.709074074082</v>
      </c>
      <c r="E297" s="14">
        <v>45860.712534722217</v>
      </c>
      <c r="F297" s="47" t="s">
        <v>27</v>
      </c>
      <c r="G297" s="47" t="s">
        <v>27</v>
      </c>
      <c r="H297" s="6" t="s">
        <v>1180</v>
      </c>
      <c r="I297" s="6" t="s">
        <v>15</v>
      </c>
      <c r="J297" s="6" t="s">
        <v>1113</v>
      </c>
      <c r="K297" s="6" t="s">
        <v>1109</v>
      </c>
      <c r="L297" s="6" t="s">
        <v>1109</v>
      </c>
      <c r="M297" s="14">
        <v>45853.465277777781</v>
      </c>
      <c r="N297" s="6">
        <v>17050995</v>
      </c>
      <c r="O297" s="6" t="s">
        <v>92</v>
      </c>
      <c r="P297" s="6" t="s">
        <v>245</v>
      </c>
      <c r="Q297" s="6" t="s">
        <v>246</v>
      </c>
      <c r="R297" s="6" t="s">
        <v>247</v>
      </c>
      <c r="S297" s="6" t="s">
        <v>3</v>
      </c>
      <c r="T297" s="6" t="s">
        <v>248</v>
      </c>
      <c r="U297" s="6" t="s">
        <v>120</v>
      </c>
      <c r="V297" s="6" t="s">
        <v>1110</v>
      </c>
      <c r="W297" s="6" t="s">
        <v>92</v>
      </c>
      <c r="X297" s="6" t="s">
        <v>92</v>
      </c>
      <c r="Y297" s="6" t="s">
        <v>92</v>
      </c>
      <c r="Z297" s="6" t="s">
        <v>71</v>
      </c>
      <c r="AA297" s="6" t="s">
        <v>92</v>
      </c>
      <c r="AB297" s="6">
        <v>1176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1181</v>
      </c>
      <c r="AJ297" s="6" t="s">
        <v>264</v>
      </c>
      <c r="AK297" s="6" t="s">
        <v>15</v>
      </c>
      <c r="AL297" s="6" t="s">
        <v>56</v>
      </c>
      <c r="AM297" s="6" t="s">
        <v>265</v>
      </c>
      <c r="AN297" s="6" t="s">
        <v>22</v>
      </c>
      <c r="AO297" s="6" t="s">
        <v>253</v>
      </c>
      <c r="AP297" s="6" t="s">
        <v>254</v>
      </c>
      <c r="AQ297" s="6" t="s">
        <v>20</v>
      </c>
    </row>
    <row r="298" spans="1:43" hidden="1" x14ac:dyDescent="0.25">
      <c r="A298" s="6">
        <v>22607620</v>
      </c>
      <c r="B298" s="6">
        <v>23424885</v>
      </c>
      <c r="C298" s="6" t="s">
        <v>241</v>
      </c>
      <c r="D298" s="14">
        <v>45860.750474537039</v>
      </c>
      <c r="E298" s="14">
        <v>45860.750775462962</v>
      </c>
      <c r="F298" s="47" t="s">
        <v>27</v>
      </c>
      <c r="G298" s="47" t="s">
        <v>27</v>
      </c>
      <c r="H298" s="6" t="s">
        <v>1182</v>
      </c>
      <c r="I298" s="6" t="s">
        <v>15</v>
      </c>
      <c r="J298" s="6" t="s">
        <v>1113</v>
      </c>
      <c r="K298" s="6" t="s">
        <v>1109</v>
      </c>
      <c r="L298" s="6" t="s">
        <v>1109</v>
      </c>
      <c r="M298" s="14">
        <v>45854.638888888891</v>
      </c>
      <c r="N298" s="6">
        <v>17051665</v>
      </c>
      <c r="O298" s="6" t="s">
        <v>92</v>
      </c>
      <c r="P298" s="6" t="s">
        <v>245</v>
      </c>
      <c r="Q298" s="6" t="s">
        <v>246</v>
      </c>
      <c r="R298" s="6" t="s">
        <v>247</v>
      </c>
      <c r="S298" s="6" t="s">
        <v>3</v>
      </c>
      <c r="T298" s="6" t="s">
        <v>248</v>
      </c>
      <c r="U298" s="6" t="s">
        <v>120</v>
      </c>
      <c r="V298" s="6" t="s">
        <v>1110</v>
      </c>
      <c r="W298" s="6" t="s">
        <v>92</v>
      </c>
      <c r="X298" s="6" t="s">
        <v>92</v>
      </c>
      <c r="Y298" s="6" t="s">
        <v>92</v>
      </c>
      <c r="Z298" s="6" t="s">
        <v>71</v>
      </c>
      <c r="AA298" s="6" t="s">
        <v>92</v>
      </c>
      <c r="AB298" s="6">
        <v>588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1183</v>
      </c>
      <c r="AJ298" s="6" t="s">
        <v>264</v>
      </c>
      <c r="AK298" s="6" t="s">
        <v>15</v>
      </c>
      <c r="AL298" s="6" t="s">
        <v>56</v>
      </c>
      <c r="AM298" s="6" t="s">
        <v>265</v>
      </c>
      <c r="AN298" s="6" t="s">
        <v>22</v>
      </c>
      <c r="AO298" s="6" t="s">
        <v>253</v>
      </c>
      <c r="AP298" s="6" t="s">
        <v>254</v>
      </c>
      <c r="AQ298" s="6" t="s">
        <v>20</v>
      </c>
    </row>
    <row r="299" spans="1:43" x14ac:dyDescent="0.25">
      <c r="A299" s="6">
        <v>22607621</v>
      </c>
      <c r="B299" s="6">
        <v>23424886</v>
      </c>
      <c r="C299" s="6" t="s">
        <v>241</v>
      </c>
      <c r="D299" s="14">
        <v>45860.750497685192</v>
      </c>
      <c r="E299" s="14">
        <v>45860.750798611109</v>
      </c>
      <c r="F299" s="47" t="s">
        <v>27</v>
      </c>
      <c r="G299" s="47" t="s">
        <v>27</v>
      </c>
      <c r="H299" s="6" t="s">
        <v>1184</v>
      </c>
      <c r="I299" s="6" t="s">
        <v>15</v>
      </c>
      <c r="J299" s="6" t="s">
        <v>1113</v>
      </c>
      <c r="K299" s="6" t="s">
        <v>1109</v>
      </c>
      <c r="L299" s="6" t="s">
        <v>1109</v>
      </c>
      <c r="M299" s="14">
        <v>45854.63958333333</v>
      </c>
      <c r="N299" s="6">
        <v>17051665</v>
      </c>
      <c r="O299" s="6" t="s">
        <v>92</v>
      </c>
      <c r="P299" s="6" t="s">
        <v>245</v>
      </c>
      <c r="Q299" s="6" t="s">
        <v>246</v>
      </c>
      <c r="R299" s="6" t="s">
        <v>247</v>
      </c>
      <c r="S299" s="6" t="s">
        <v>3</v>
      </c>
      <c r="T299" s="6" t="s">
        <v>248</v>
      </c>
      <c r="U299" s="6" t="s">
        <v>120</v>
      </c>
      <c r="V299" s="6" t="s">
        <v>1110</v>
      </c>
      <c r="W299" s="6" t="s">
        <v>92</v>
      </c>
      <c r="X299" s="6" t="s">
        <v>92</v>
      </c>
      <c r="Y299" s="6" t="s">
        <v>92</v>
      </c>
      <c r="Z299" s="6" t="s">
        <v>71</v>
      </c>
      <c r="AA299" s="6" t="s">
        <v>92</v>
      </c>
      <c r="AB299" s="6">
        <v>588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1183</v>
      </c>
      <c r="AJ299" s="6" t="s">
        <v>264</v>
      </c>
      <c r="AK299" s="6" t="s">
        <v>15</v>
      </c>
      <c r="AL299" s="6" t="s">
        <v>56</v>
      </c>
      <c r="AM299" s="6" t="s">
        <v>265</v>
      </c>
      <c r="AN299" s="6" t="s">
        <v>22</v>
      </c>
      <c r="AO299" s="6" t="s">
        <v>253</v>
      </c>
      <c r="AP299" s="6" t="s">
        <v>254</v>
      </c>
      <c r="AQ299" s="6" t="s">
        <v>20</v>
      </c>
    </row>
    <row r="300" spans="1:43" x14ac:dyDescent="0.25">
      <c r="A300" s="6">
        <v>22611407</v>
      </c>
      <c r="B300" s="6">
        <v>23427981</v>
      </c>
      <c r="C300" s="6" t="s">
        <v>241</v>
      </c>
      <c r="D300" s="14">
        <v>45861.417048611111</v>
      </c>
      <c r="E300" s="14">
        <v>45861.417199074072</v>
      </c>
      <c r="F300" s="47" t="s">
        <v>27</v>
      </c>
      <c r="G300" s="47" t="s">
        <v>27</v>
      </c>
      <c r="H300" s="6" t="s">
        <v>1185</v>
      </c>
      <c r="I300" s="6" t="s">
        <v>15</v>
      </c>
      <c r="J300" s="6" t="s">
        <v>1113</v>
      </c>
      <c r="K300" s="6" t="s">
        <v>1109</v>
      </c>
      <c r="L300" s="6" t="s">
        <v>1109</v>
      </c>
      <c r="M300" s="14">
        <v>45853.463194444441</v>
      </c>
      <c r="N300" s="6">
        <v>17054472</v>
      </c>
      <c r="O300" s="6" t="s">
        <v>92</v>
      </c>
      <c r="P300" s="6" t="s">
        <v>245</v>
      </c>
      <c r="Q300" s="6" t="s">
        <v>246</v>
      </c>
      <c r="R300" s="6" t="s">
        <v>247</v>
      </c>
      <c r="S300" s="6" t="s">
        <v>3</v>
      </c>
      <c r="T300" s="6" t="s">
        <v>248</v>
      </c>
      <c r="U300" s="6" t="s">
        <v>120</v>
      </c>
      <c r="V300" s="6" t="s">
        <v>1110</v>
      </c>
      <c r="W300" s="6" t="s">
        <v>92</v>
      </c>
      <c r="X300" s="6" t="s">
        <v>92</v>
      </c>
      <c r="Y300" s="6" t="s">
        <v>92</v>
      </c>
      <c r="Z300" s="6" t="s">
        <v>71</v>
      </c>
      <c r="AA300" s="6" t="s">
        <v>92</v>
      </c>
      <c r="AB300" s="6">
        <v>1176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1186</v>
      </c>
      <c r="AJ300" s="6" t="s">
        <v>264</v>
      </c>
      <c r="AK300" s="6" t="s">
        <v>15</v>
      </c>
      <c r="AL300" s="6" t="s">
        <v>56</v>
      </c>
      <c r="AM300" s="6" t="s">
        <v>265</v>
      </c>
      <c r="AN300" s="6" t="s">
        <v>22</v>
      </c>
      <c r="AO300" s="6" t="s">
        <v>253</v>
      </c>
      <c r="AP300" s="6" t="s">
        <v>254</v>
      </c>
      <c r="AQ300" s="6" t="s">
        <v>20</v>
      </c>
    </row>
    <row r="301" spans="1:43" hidden="1" x14ac:dyDescent="0.25">
      <c r="A301" s="6">
        <v>22677106</v>
      </c>
      <c r="B301" s="6">
        <v>23481786</v>
      </c>
      <c r="C301" s="6" t="s">
        <v>241</v>
      </c>
      <c r="D301" s="14">
        <v>45873.376203703701</v>
      </c>
      <c r="E301" s="14">
        <v>45873.379942129628</v>
      </c>
      <c r="F301" s="6" t="s">
        <v>21</v>
      </c>
      <c r="G301" s="6" t="s">
        <v>21</v>
      </c>
      <c r="H301" s="6" t="s">
        <v>1187</v>
      </c>
      <c r="I301" s="6" t="s">
        <v>15</v>
      </c>
      <c r="J301" s="6" t="s">
        <v>1188</v>
      </c>
      <c r="K301" s="6" t="s">
        <v>1189</v>
      </c>
      <c r="L301" s="6" t="s">
        <v>1189</v>
      </c>
      <c r="M301" s="14">
        <v>45870.425000000003</v>
      </c>
      <c r="N301" s="6">
        <v>17178260</v>
      </c>
      <c r="O301" s="6" t="s">
        <v>1190</v>
      </c>
      <c r="P301" s="6" t="s">
        <v>245</v>
      </c>
      <c r="Q301" s="6" t="s">
        <v>246</v>
      </c>
      <c r="R301" s="6" t="s">
        <v>247</v>
      </c>
      <c r="S301" s="6" t="s">
        <v>8</v>
      </c>
      <c r="T301" s="6" t="s">
        <v>248</v>
      </c>
      <c r="U301" s="6" t="s">
        <v>120</v>
      </c>
      <c r="V301" s="6" t="s">
        <v>1110</v>
      </c>
      <c r="W301" s="6" t="s">
        <v>92</v>
      </c>
      <c r="X301" s="6" t="s">
        <v>92</v>
      </c>
      <c r="Y301" s="6" t="s">
        <v>92</v>
      </c>
      <c r="Z301" s="6" t="s">
        <v>71</v>
      </c>
      <c r="AA301" s="6" t="s">
        <v>92</v>
      </c>
      <c r="AB301" s="6">
        <v>236.66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1191</v>
      </c>
      <c r="AJ301" s="6" t="s">
        <v>264</v>
      </c>
      <c r="AK301" s="6" t="s">
        <v>15</v>
      </c>
      <c r="AL301" s="6" t="s">
        <v>56</v>
      </c>
      <c r="AM301" s="6" t="s">
        <v>265</v>
      </c>
      <c r="AN301" s="6" t="s">
        <v>22</v>
      </c>
      <c r="AO301" s="6" t="s">
        <v>253</v>
      </c>
      <c r="AP301" s="6" t="s">
        <v>254</v>
      </c>
      <c r="AQ301" s="6" t="s">
        <v>20</v>
      </c>
    </row>
    <row r="302" spans="1:43" hidden="1" x14ac:dyDescent="0.25">
      <c r="A302" s="6">
        <v>22677109</v>
      </c>
      <c r="B302" s="6">
        <v>23481789</v>
      </c>
      <c r="C302" s="6" t="s">
        <v>241</v>
      </c>
      <c r="D302" s="14">
        <v>45873.376550925917</v>
      </c>
      <c r="E302" s="14">
        <v>45873.380011574067</v>
      </c>
      <c r="F302" s="6" t="s">
        <v>21</v>
      </c>
      <c r="G302" s="6" t="s">
        <v>21</v>
      </c>
      <c r="H302" s="6" t="s">
        <v>1192</v>
      </c>
      <c r="I302" s="6" t="s">
        <v>15</v>
      </c>
      <c r="J302" s="6" t="s">
        <v>1193</v>
      </c>
      <c r="K302" s="6" t="s">
        <v>1189</v>
      </c>
      <c r="L302" s="6" t="s">
        <v>1189</v>
      </c>
      <c r="M302" s="14">
        <v>45873</v>
      </c>
      <c r="N302" s="6">
        <v>17187934</v>
      </c>
      <c r="O302" s="6" t="s">
        <v>92</v>
      </c>
      <c r="P302" s="6" t="s">
        <v>245</v>
      </c>
      <c r="Q302" s="6" t="s">
        <v>428</v>
      </c>
      <c r="R302" s="6" t="s">
        <v>428</v>
      </c>
      <c r="S302" s="6" t="s">
        <v>9</v>
      </c>
      <c r="T302" s="6" t="s">
        <v>248</v>
      </c>
      <c r="U302" s="6" t="s">
        <v>120</v>
      </c>
      <c r="V302" s="6" t="s">
        <v>1110</v>
      </c>
      <c r="W302" s="6" t="s">
        <v>92</v>
      </c>
      <c r="X302" s="6" t="s">
        <v>92</v>
      </c>
      <c r="Y302" s="6" t="s">
        <v>92</v>
      </c>
      <c r="Z302" s="6" t="s">
        <v>71</v>
      </c>
      <c r="AA302" s="6" t="s">
        <v>92</v>
      </c>
      <c r="AB302" s="6">
        <v>290</v>
      </c>
      <c r="AC302" s="6">
        <v>0</v>
      </c>
      <c r="AD302" s="6">
        <v>0</v>
      </c>
      <c r="AE302" s="6">
        <v>0</v>
      </c>
      <c r="AF302" s="6">
        <v>0</v>
      </c>
      <c r="AG302" s="6">
        <v>7.25</v>
      </c>
      <c r="AH302" s="6">
        <v>0</v>
      </c>
      <c r="AI302" s="6" t="s">
        <v>1194</v>
      </c>
      <c r="AJ302" s="6" t="s">
        <v>264</v>
      </c>
      <c r="AK302" s="6" t="s">
        <v>15</v>
      </c>
      <c r="AL302" s="6" t="s">
        <v>56</v>
      </c>
      <c r="AM302" s="6" t="s">
        <v>265</v>
      </c>
      <c r="AN302" s="6" t="s">
        <v>22</v>
      </c>
      <c r="AO302" s="6" t="s">
        <v>253</v>
      </c>
      <c r="AP302" s="6" t="s">
        <v>254</v>
      </c>
      <c r="AQ302" s="6" t="s">
        <v>20</v>
      </c>
    </row>
    <row r="303" spans="1:43" x14ac:dyDescent="0.25">
      <c r="A303" s="6">
        <v>22677968</v>
      </c>
      <c r="B303" s="6">
        <v>23482559</v>
      </c>
      <c r="C303" s="6" t="s">
        <v>241</v>
      </c>
      <c r="D303" s="14">
        <v>45873.500763888893</v>
      </c>
      <c r="E303" s="14">
        <v>45873.504560185182</v>
      </c>
      <c r="F303" s="6" t="s">
        <v>21</v>
      </c>
      <c r="G303" s="6" t="s">
        <v>21</v>
      </c>
      <c r="H303" s="6" t="s">
        <v>1195</v>
      </c>
      <c r="I303" s="6" t="s">
        <v>15</v>
      </c>
      <c r="J303" s="6" t="s">
        <v>1196</v>
      </c>
      <c r="K303" s="6" t="s">
        <v>1189</v>
      </c>
      <c r="L303" s="6" t="s">
        <v>1189</v>
      </c>
      <c r="M303" s="14">
        <v>45873</v>
      </c>
      <c r="N303" s="6">
        <v>17158893</v>
      </c>
      <c r="O303" s="6" t="s">
        <v>92</v>
      </c>
      <c r="P303" s="6" t="s">
        <v>245</v>
      </c>
      <c r="Q303" s="6" t="s">
        <v>428</v>
      </c>
      <c r="R303" s="6" t="s">
        <v>428</v>
      </c>
      <c r="S303" s="6" t="s">
        <v>9</v>
      </c>
      <c r="T303" s="6" t="s">
        <v>248</v>
      </c>
      <c r="U303" s="6" t="s">
        <v>120</v>
      </c>
      <c r="V303" s="6" t="s">
        <v>1110</v>
      </c>
      <c r="W303" s="6" t="s">
        <v>92</v>
      </c>
      <c r="X303" s="6" t="s">
        <v>92</v>
      </c>
      <c r="Y303" s="6" t="s">
        <v>92</v>
      </c>
      <c r="Z303" s="6" t="s">
        <v>71</v>
      </c>
      <c r="AA303" s="6" t="s">
        <v>92</v>
      </c>
      <c r="AB303" s="6">
        <v>251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1197</v>
      </c>
      <c r="AJ303" s="6" t="s">
        <v>264</v>
      </c>
      <c r="AK303" s="6" t="s">
        <v>15</v>
      </c>
      <c r="AL303" s="6" t="s">
        <v>56</v>
      </c>
      <c r="AM303" s="6" t="s">
        <v>265</v>
      </c>
      <c r="AN303" s="6" t="s">
        <v>22</v>
      </c>
      <c r="AO303" s="6" t="s">
        <v>253</v>
      </c>
      <c r="AP303" s="6" t="s">
        <v>254</v>
      </c>
      <c r="AQ303" s="6" t="s">
        <v>20</v>
      </c>
    </row>
    <row r="304" spans="1:43" hidden="1" x14ac:dyDescent="0.25">
      <c r="A304" s="6">
        <v>22700119</v>
      </c>
      <c r="B304" s="6">
        <v>23502359</v>
      </c>
      <c r="C304" s="6" t="s">
        <v>241</v>
      </c>
      <c r="D304" s="14">
        <v>45876.500706018523</v>
      </c>
      <c r="E304" s="14">
        <v>45876.500972222217</v>
      </c>
      <c r="F304" s="6" t="s">
        <v>19</v>
      </c>
      <c r="G304" s="6" t="s">
        <v>19</v>
      </c>
      <c r="H304" s="6" t="s">
        <v>1198</v>
      </c>
      <c r="I304" s="6" t="s">
        <v>15</v>
      </c>
      <c r="J304" s="6" t="s">
        <v>1199</v>
      </c>
      <c r="K304" s="6" t="s">
        <v>1189</v>
      </c>
      <c r="L304" s="6" t="s">
        <v>1189</v>
      </c>
      <c r="M304" s="14">
        <v>45806.42083333333</v>
      </c>
      <c r="N304" s="6">
        <v>16668023</v>
      </c>
      <c r="O304" s="6" t="s">
        <v>1200</v>
      </c>
      <c r="P304" s="6" t="s">
        <v>245</v>
      </c>
      <c r="Q304" s="6" t="s">
        <v>246</v>
      </c>
      <c r="R304" s="6" t="s">
        <v>247</v>
      </c>
      <c r="S304" s="6" t="s">
        <v>8</v>
      </c>
      <c r="T304" s="6" t="s">
        <v>248</v>
      </c>
      <c r="U304" s="6" t="s">
        <v>120</v>
      </c>
      <c r="V304" s="6" t="s">
        <v>1110</v>
      </c>
      <c r="W304" s="6" t="s">
        <v>92</v>
      </c>
      <c r="X304" s="6" t="s">
        <v>92</v>
      </c>
      <c r="Y304" s="6" t="s">
        <v>92</v>
      </c>
      <c r="Z304" s="6" t="s">
        <v>71</v>
      </c>
      <c r="AA304" s="6" t="s">
        <v>92</v>
      </c>
      <c r="AB304" s="6">
        <v>1180.77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1201</v>
      </c>
      <c r="AJ304" s="6" t="s">
        <v>264</v>
      </c>
      <c r="AK304" s="6" t="s">
        <v>15</v>
      </c>
      <c r="AL304" s="6" t="s">
        <v>56</v>
      </c>
      <c r="AM304" s="6" t="s">
        <v>265</v>
      </c>
      <c r="AN304" s="6" t="s">
        <v>22</v>
      </c>
      <c r="AO304" s="6" t="s">
        <v>253</v>
      </c>
      <c r="AP304" s="6" t="s">
        <v>254</v>
      </c>
      <c r="AQ304" s="6" t="s">
        <v>20</v>
      </c>
    </row>
    <row r="305" spans="1:43" x14ac:dyDescent="0.25">
      <c r="A305" s="6">
        <v>22687453</v>
      </c>
      <c r="B305" s="6">
        <v>23491112</v>
      </c>
      <c r="C305" s="6" t="s">
        <v>241</v>
      </c>
      <c r="D305" s="14">
        <v>45874.708715277768</v>
      </c>
      <c r="E305" s="14">
        <v>45874.709398148138</v>
      </c>
      <c r="F305" s="6" t="s">
        <v>21</v>
      </c>
      <c r="G305" s="6" t="s">
        <v>21</v>
      </c>
      <c r="H305" s="6" t="s">
        <v>1202</v>
      </c>
      <c r="I305" s="6" t="s">
        <v>15</v>
      </c>
      <c r="J305" s="6" t="s">
        <v>1203</v>
      </c>
      <c r="K305" s="6" t="s">
        <v>1189</v>
      </c>
      <c r="L305" s="6" t="s">
        <v>1189</v>
      </c>
      <c r="M305" s="14">
        <v>45874</v>
      </c>
      <c r="N305" s="6">
        <v>17141693</v>
      </c>
      <c r="O305" s="6" t="s">
        <v>92</v>
      </c>
      <c r="P305" s="6" t="s">
        <v>453</v>
      </c>
      <c r="Q305" s="6" t="s">
        <v>428</v>
      </c>
      <c r="R305" s="6" t="s">
        <v>428</v>
      </c>
      <c r="S305" s="6" t="s">
        <v>9</v>
      </c>
      <c r="T305" s="6" t="s">
        <v>248</v>
      </c>
      <c r="U305" s="6" t="s">
        <v>120</v>
      </c>
      <c r="V305" s="6" t="s">
        <v>1110</v>
      </c>
      <c r="W305" s="6" t="s">
        <v>92</v>
      </c>
      <c r="X305" s="6" t="s">
        <v>92</v>
      </c>
      <c r="Y305" s="6" t="s">
        <v>92</v>
      </c>
      <c r="Z305" s="6" t="s">
        <v>71</v>
      </c>
      <c r="AA305" s="6" t="s">
        <v>92</v>
      </c>
      <c r="AB305" s="6">
        <v>220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1204</v>
      </c>
      <c r="AJ305" s="6" t="s">
        <v>264</v>
      </c>
      <c r="AK305" s="6" t="s">
        <v>15</v>
      </c>
      <c r="AL305" s="6" t="s">
        <v>56</v>
      </c>
      <c r="AM305" s="6" t="s">
        <v>265</v>
      </c>
      <c r="AN305" s="6" t="s">
        <v>22</v>
      </c>
      <c r="AO305" s="6" t="s">
        <v>253</v>
      </c>
      <c r="AP305" s="6" t="s">
        <v>254</v>
      </c>
      <c r="AQ305" s="6" t="s">
        <v>20</v>
      </c>
    </row>
    <row r="306" spans="1:43" hidden="1" x14ac:dyDescent="0.25">
      <c r="A306" s="6">
        <v>22701252</v>
      </c>
      <c r="B306" s="6">
        <v>23503438</v>
      </c>
      <c r="C306" s="6" t="s">
        <v>241</v>
      </c>
      <c r="D306" s="14">
        <v>45876.585266203707</v>
      </c>
      <c r="E306" s="14">
        <v>45876.588310185187</v>
      </c>
      <c r="F306" s="6" t="s">
        <v>19</v>
      </c>
      <c r="G306" s="6" t="s">
        <v>19</v>
      </c>
      <c r="H306" s="6" t="s">
        <v>1205</v>
      </c>
      <c r="I306" s="6" t="s">
        <v>15</v>
      </c>
      <c r="J306" s="6" t="s">
        <v>1206</v>
      </c>
      <c r="K306" s="6" t="s">
        <v>1189</v>
      </c>
      <c r="L306" s="6" t="s">
        <v>1189</v>
      </c>
      <c r="M306" s="14">
        <v>45876</v>
      </c>
      <c r="N306" s="6">
        <v>17218296</v>
      </c>
      <c r="O306" s="6" t="s">
        <v>92</v>
      </c>
      <c r="P306" s="6" t="s">
        <v>245</v>
      </c>
      <c r="Q306" s="6" t="s">
        <v>428</v>
      </c>
      <c r="R306" s="6" t="s">
        <v>428</v>
      </c>
      <c r="S306" s="6" t="s">
        <v>9</v>
      </c>
      <c r="T306" s="6" t="s">
        <v>248</v>
      </c>
      <c r="U306" s="6" t="s">
        <v>120</v>
      </c>
      <c r="V306" s="6" t="s">
        <v>1110</v>
      </c>
      <c r="W306" s="6" t="s">
        <v>92</v>
      </c>
      <c r="X306" s="6" t="s">
        <v>92</v>
      </c>
      <c r="Y306" s="6" t="s">
        <v>92</v>
      </c>
      <c r="Z306" s="6" t="s">
        <v>71</v>
      </c>
      <c r="AA306" s="6" t="s">
        <v>92</v>
      </c>
      <c r="AB306" s="6">
        <v>315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1207</v>
      </c>
      <c r="AJ306" s="6" t="s">
        <v>264</v>
      </c>
      <c r="AK306" s="6" t="s">
        <v>15</v>
      </c>
      <c r="AL306" s="6" t="s">
        <v>56</v>
      </c>
      <c r="AM306" s="6" t="s">
        <v>265</v>
      </c>
      <c r="AN306" s="6" t="s">
        <v>22</v>
      </c>
      <c r="AO306" s="6" t="s">
        <v>253</v>
      </c>
      <c r="AP306" s="6" t="s">
        <v>254</v>
      </c>
      <c r="AQ306" s="6" t="s">
        <v>20</v>
      </c>
    </row>
    <row r="307" spans="1:43" hidden="1" x14ac:dyDescent="0.25">
      <c r="A307" s="6">
        <v>22701270</v>
      </c>
      <c r="B307" s="6">
        <v>23503451</v>
      </c>
      <c r="C307" s="6" t="s">
        <v>241</v>
      </c>
      <c r="D307" s="14">
        <v>45876.586018518523</v>
      </c>
      <c r="E307" s="14">
        <v>45876.589016203703</v>
      </c>
      <c r="F307" s="6" t="s">
        <v>19</v>
      </c>
      <c r="G307" s="6" t="s">
        <v>19</v>
      </c>
      <c r="H307" s="6" t="s">
        <v>1208</v>
      </c>
      <c r="I307" s="6" t="s">
        <v>15</v>
      </c>
      <c r="J307" s="6" t="s">
        <v>1209</v>
      </c>
      <c r="K307" s="6" t="s">
        <v>1189</v>
      </c>
      <c r="L307" s="6" t="s">
        <v>1189</v>
      </c>
      <c r="M307" s="14">
        <v>45876</v>
      </c>
      <c r="N307" s="6">
        <v>17231543</v>
      </c>
      <c r="O307" s="6" t="s">
        <v>92</v>
      </c>
      <c r="P307" s="6" t="s">
        <v>245</v>
      </c>
      <c r="Q307" s="6" t="s">
        <v>428</v>
      </c>
      <c r="R307" s="6" t="s">
        <v>428</v>
      </c>
      <c r="S307" s="6" t="s">
        <v>9</v>
      </c>
      <c r="T307" s="6" t="s">
        <v>248</v>
      </c>
      <c r="U307" s="6" t="s">
        <v>120</v>
      </c>
      <c r="V307" s="6" t="s">
        <v>1110</v>
      </c>
      <c r="W307" s="6" t="s">
        <v>92</v>
      </c>
      <c r="X307" s="6" t="s">
        <v>92</v>
      </c>
      <c r="Y307" s="6" t="s">
        <v>92</v>
      </c>
      <c r="Z307" s="6" t="s">
        <v>71</v>
      </c>
      <c r="AA307" s="6" t="s">
        <v>92</v>
      </c>
      <c r="AB307" s="6">
        <v>855</v>
      </c>
      <c r="AC307" s="6">
        <v>0</v>
      </c>
      <c r="AD307" s="6">
        <v>0</v>
      </c>
      <c r="AE307" s="6">
        <v>0</v>
      </c>
      <c r="AF307" s="6">
        <v>0</v>
      </c>
      <c r="AG307" s="6">
        <v>42.75</v>
      </c>
      <c r="AH307" s="6">
        <v>0</v>
      </c>
      <c r="AI307" s="6" t="s">
        <v>1210</v>
      </c>
      <c r="AJ307" s="6" t="s">
        <v>264</v>
      </c>
      <c r="AK307" s="6" t="s">
        <v>15</v>
      </c>
      <c r="AL307" s="6" t="s">
        <v>56</v>
      </c>
      <c r="AM307" s="6" t="s">
        <v>265</v>
      </c>
      <c r="AN307" s="6" t="s">
        <v>22</v>
      </c>
      <c r="AO307" s="6" t="s">
        <v>253</v>
      </c>
      <c r="AP307" s="6" t="s">
        <v>254</v>
      </c>
      <c r="AQ307" s="6" t="s">
        <v>20</v>
      </c>
    </row>
    <row r="308" spans="1:43" hidden="1" x14ac:dyDescent="0.25">
      <c r="A308" s="6">
        <v>22696370</v>
      </c>
      <c r="B308" s="6">
        <v>23499217</v>
      </c>
      <c r="C308" s="6" t="s">
        <v>241</v>
      </c>
      <c r="D308" s="14">
        <v>45875.793715277781</v>
      </c>
      <c r="E308" s="14">
        <v>45875.796180555553</v>
      </c>
      <c r="F308" s="6" t="s">
        <v>19</v>
      </c>
      <c r="G308" s="6" t="s">
        <v>19</v>
      </c>
      <c r="H308" s="6" t="s">
        <v>1211</v>
      </c>
      <c r="I308" s="6" t="s">
        <v>15</v>
      </c>
      <c r="J308" s="6" t="s">
        <v>1212</v>
      </c>
      <c r="K308" s="6" t="s">
        <v>1213</v>
      </c>
      <c r="L308" s="6" t="s">
        <v>1213</v>
      </c>
      <c r="M308" s="14">
        <v>45874</v>
      </c>
      <c r="N308" s="6">
        <v>17215337</v>
      </c>
      <c r="O308" s="6" t="s">
        <v>92</v>
      </c>
      <c r="P308" s="6" t="s">
        <v>453</v>
      </c>
      <c r="Q308" s="6" t="s">
        <v>428</v>
      </c>
      <c r="R308" s="6" t="s">
        <v>428</v>
      </c>
      <c r="S308" s="6" t="s">
        <v>9</v>
      </c>
      <c r="T308" s="6" t="s">
        <v>248</v>
      </c>
      <c r="U308" s="6" t="s">
        <v>120</v>
      </c>
      <c r="V308" s="6" t="s">
        <v>1110</v>
      </c>
      <c r="W308" s="6" t="s">
        <v>92</v>
      </c>
      <c r="X308" s="6" t="s">
        <v>92</v>
      </c>
      <c r="Y308" s="6" t="s">
        <v>92</v>
      </c>
      <c r="Z308" s="6" t="s">
        <v>71</v>
      </c>
      <c r="AA308" s="6" t="s">
        <v>92</v>
      </c>
      <c r="AB308" s="6">
        <v>496.12</v>
      </c>
      <c r="AC308" s="6">
        <v>0</v>
      </c>
      <c r="AD308" s="6">
        <v>0</v>
      </c>
      <c r="AE308" s="6">
        <v>0</v>
      </c>
      <c r="AF308" s="6">
        <v>0</v>
      </c>
      <c r="AG308" s="6">
        <v>14.88</v>
      </c>
      <c r="AH308" s="6">
        <v>0</v>
      </c>
      <c r="AI308" s="6" t="s">
        <v>1214</v>
      </c>
      <c r="AJ308" s="6" t="s">
        <v>264</v>
      </c>
      <c r="AK308" s="6" t="s">
        <v>15</v>
      </c>
      <c r="AL308" s="6" t="s">
        <v>56</v>
      </c>
      <c r="AM308" s="6" t="s">
        <v>265</v>
      </c>
      <c r="AN308" s="6" t="s">
        <v>22</v>
      </c>
      <c r="AO308" s="6" t="s">
        <v>253</v>
      </c>
      <c r="AP308" s="6" t="s">
        <v>254</v>
      </c>
      <c r="AQ308" s="6" t="s">
        <v>20</v>
      </c>
    </row>
    <row r="309" spans="1:43" hidden="1" x14ac:dyDescent="0.25">
      <c r="A309" s="6">
        <v>22699830</v>
      </c>
      <c r="B309" s="6">
        <v>23502089</v>
      </c>
      <c r="C309" s="6" t="s">
        <v>241</v>
      </c>
      <c r="D309" s="14">
        <v>45876.461793981478</v>
      </c>
      <c r="E309" s="14">
        <v>45876.467453703714</v>
      </c>
      <c r="F309" s="6" t="s">
        <v>19</v>
      </c>
      <c r="G309" s="6" t="s">
        <v>19</v>
      </c>
      <c r="H309" s="6" t="s">
        <v>1215</v>
      </c>
      <c r="I309" s="6" t="s">
        <v>15</v>
      </c>
      <c r="J309" s="6" t="s">
        <v>1216</v>
      </c>
      <c r="K309" s="6" t="s">
        <v>1213</v>
      </c>
      <c r="L309" s="6" t="s">
        <v>1213</v>
      </c>
      <c r="M309" s="14">
        <v>45876</v>
      </c>
      <c r="N309" s="6">
        <v>17231521</v>
      </c>
      <c r="O309" s="6" t="s">
        <v>92</v>
      </c>
      <c r="P309" s="6" t="s">
        <v>453</v>
      </c>
      <c r="Q309" s="6" t="s">
        <v>428</v>
      </c>
      <c r="R309" s="6" t="s">
        <v>428</v>
      </c>
      <c r="S309" s="6" t="s">
        <v>9</v>
      </c>
      <c r="T309" s="6" t="s">
        <v>248</v>
      </c>
      <c r="U309" s="6" t="s">
        <v>120</v>
      </c>
      <c r="V309" s="6" t="s">
        <v>1110</v>
      </c>
      <c r="W309" s="6" t="s">
        <v>92</v>
      </c>
      <c r="X309" s="6" t="s">
        <v>92</v>
      </c>
      <c r="Y309" s="6" t="s">
        <v>92</v>
      </c>
      <c r="Z309" s="6" t="s">
        <v>71</v>
      </c>
      <c r="AA309" s="6" t="s">
        <v>92</v>
      </c>
      <c r="AB309" s="6">
        <v>1042.5</v>
      </c>
      <c r="AC309" s="6">
        <v>0</v>
      </c>
      <c r="AD309" s="6">
        <v>0</v>
      </c>
      <c r="AE309" s="6">
        <v>0</v>
      </c>
      <c r="AF309" s="6">
        <v>0</v>
      </c>
      <c r="AG309" s="6">
        <v>52.12</v>
      </c>
      <c r="AH309" s="6">
        <v>0</v>
      </c>
      <c r="AI309" s="6" t="s">
        <v>1217</v>
      </c>
      <c r="AJ309" s="6" t="s">
        <v>264</v>
      </c>
      <c r="AK309" s="6" t="s">
        <v>15</v>
      </c>
      <c r="AL309" s="6" t="s">
        <v>56</v>
      </c>
      <c r="AM309" s="6" t="s">
        <v>265</v>
      </c>
      <c r="AN309" s="6" t="s">
        <v>22</v>
      </c>
      <c r="AO309" s="6" t="s">
        <v>253</v>
      </c>
      <c r="AP309" s="6" t="s">
        <v>254</v>
      </c>
      <c r="AQ309" s="6" t="s">
        <v>20</v>
      </c>
    </row>
    <row r="310" spans="1:43" hidden="1" x14ac:dyDescent="0.25">
      <c r="A310" s="6">
        <v>22691798</v>
      </c>
      <c r="B310" s="6">
        <v>23494828</v>
      </c>
      <c r="C310" s="6" t="s">
        <v>241</v>
      </c>
      <c r="D310" s="14">
        <v>45875.376805555563</v>
      </c>
      <c r="E310" s="14">
        <v>45875.380219907413</v>
      </c>
      <c r="F310" s="6" t="s">
        <v>19</v>
      </c>
      <c r="G310" s="6" t="s">
        <v>19</v>
      </c>
      <c r="H310" s="6" t="s">
        <v>1218</v>
      </c>
      <c r="I310" s="6" t="s">
        <v>15</v>
      </c>
      <c r="J310" s="6" t="s">
        <v>1219</v>
      </c>
      <c r="K310" s="6" t="s">
        <v>1213</v>
      </c>
      <c r="L310" s="6" t="s">
        <v>1213</v>
      </c>
      <c r="M310" s="14">
        <v>45874</v>
      </c>
      <c r="N310" s="6">
        <v>17220097</v>
      </c>
      <c r="O310" s="6" t="s">
        <v>92</v>
      </c>
      <c r="P310" s="6" t="s">
        <v>453</v>
      </c>
      <c r="Q310" s="6" t="s">
        <v>428</v>
      </c>
      <c r="R310" s="6" t="s">
        <v>428</v>
      </c>
      <c r="S310" s="6" t="s">
        <v>9</v>
      </c>
      <c r="T310" s="6" t="s">
        <v>248</v>
      </c>
      <c r="U310" s="6" t="s">
        <v>120</v>
      </c>
      <c r="V310" s="6" t="s">
        <v>1110</v>
      </c>
      <c r="W310" s="6" t="s">
        <v>92</v>
      </c>
      <c r="X310" s="6" t="s">
        <v>92</v>
      </c>
      <c r="Y310" s="6" t="s">
        <v>92</v>
      </c>
      <c r="Z310" s="6" t="s">
        <v>71</v>
      </c>
      <c r="AA310" s="6" t="s">
        <v>92</v>
      </c>
      <c r="AB310" s="6">
        <v>990.24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1220</v>
      </c>
      <c r="AJ310" s="6" t="s">
        <v>264</v>
      </c>
      <c r="AK310" s="6" t="s">
        <v>15</v>
      </c>
      <c r="AL310" s="6" t="s">
        <v>56</v>
      </c>
      <c r="AM310" s="6" t="s">
        <v>265</v>
      </c>
      <c r="AN310" s="6" t="s">
        <v>22</v>
      </c>
      <c r="AO310" s="6" t="s">
        <v>253</v>
      </c>
      <c r="AP310" s="6" t="s">
        <v>254</v>
      </c>
      <c r="AQ310" s="6" t="s">
        <v>20</v>
      </c>
    </row>
    <row r="311" spans="1:43" hidden="1" x14ac:dyDescent="0.25">
      <c r="A311" s="6">
        <v>22692862</v>
      </c>
      <c r="B311" s="6">
        <v>23495811</v>
      </c>
      <c r="C311" s="6" t="s">
        <v>241</v>
      </c>
      <c r="D311" s="14">
        <v>45875.504201388889</v>
      </c>
      <c r="E311" s="14">
        <v>45875.509456018517</v>
      </c>
      <c r="F311" s="6" t="s">
        <v>19</v>
      </c>
      <c r="G311" s="6" t="s">
        <v>19</v>
      </c>
      <c r="H311" s="6" t="s">
        <v>1221</v>
      </c>
      <c r="I311" s="6" t="s">
        <v>15</v>
      </c>
      <c r="J311" s="6" t="s">
        <v>1222</v>
      </c>
      <c r="K311" s="6" t="s">
        <v>1213</v>
      </c>
      <c r="L311" s="6" t="s">
        <v>1213</v>
      </c>
      <c r="M311" s="14">
        <v>45875</v>
      </c>
      <c r="N311" s="6">
        <v>17223345</v>
      </c>
      <c r="O311" s="6" t="s">
        <v>92</v>
      </c>
      <c r="P311" s="6" t="s">
        <v>453</v>
      </c>
      <c r="Q311" s="6" t="s">
        <v>428</v>
      </c>
      <c r="R311" s="6" t="s">
        <v>428</v>
      </c>
      <c r="S311" s="6" t="s">
        <v>9</v>
      </c>
      <c r="T311" s="6" t="s">
        <v>248</v>
      </c>
      <c r="U311" s="6" t="s">
        <v>120</v>
      </c>
      <c r="V311" s="6" t="s">
        <v>1110</v>
      </c>
      <c r="W311" s="6" t="s">
        <v>92</v>
      </c>
      <c r="X311" s="6" t="s">
        <v>92</v>
      </c>
      <c r="Y311" s="6" t="s">
        <v>92</v>
      </c>
      <c r="Z311" s="6" t="s">
        <v>71</v>
      </c>
      <c r="AA311" s="6" t="s">
        <v>92</v>
      </c>
      <c r="AB311" s="6">
        <v>1013.32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1223</v>
      </c>
      <c r="AJ311" s="6" t="s">
        <v>264</v>
      </c>
      <c r="AK311" s="6" t="s">
        <v>15</v>
      </c>
      <c r="AL311" s="6" t="s">
        <v>56</v>
      </c>
      <c r="AM311" s="6" t="s">
        <v>265</v>
      </c>
      <c r="AN311" s="6" t="s">
        <v>22</v>
      </c>
      <c r="AO311" s="6" t="s">
        <v>253</v>
      </c>
      <c r="AP311" s="6" t="s">
        <v>254</v>
      </c>
      <c r="AQ311" s="6" t="s">
        <v>20</v>
      </c>
    </row>
    <row r="312" spans="1:43" hidden="1" x14ac:dyDescent="0.25">
      <c r="A312" s="6">
        <v>22692865</v>
      </c>
      <c r="B312" s="6">
        <v>23495814</v>
      </c>
      <c r="C312" s="6" t="s">
        <v>241</v>
      </c>
      <c r="D312" s="14">
        <v>45875.504270833328</v>
      </c>
      <c r="E312" s="14">
        <v>45875.520208333342</v>
      </c>
      <c r="F312" s="6" t="s">
        <v>19</v>
      </c>
      <c r="G312" s="6" t="s">
        <v>19</v>
      </c>
      <c r="H312" s="6" t="s">
        <v>1224</v>
      </c>
      <c r="I312" s="6" t="s">
        <v>15</v>
      </c>
      <c r="J312" s="6" t="s">
        <v>1225</v>
      </c>
      <c r="K312" s="6" t="s">
        <v>1213</v>
      </c>
      <c r="L312" s="6" t="s">
        <v>1213</v>
      </c>
      <c r="M312" s="14">
        <v>45875.481249999997</v>
      </c>
      <c r="N312" s="6">
        <v>17223386</v>
      </c>
      <c r="O312" s="6" t="s">
        <v>92</v>
      </c>
      <c r="P312" s="6" t="s">
        <v>453</v>
      </c>
      <c r="Q312" s="6" t="s">
        <v>428</v>
      </c>
      <c r="R312" s="6" t="s">
        <v>477</v>
      </c>
      <c r="S312" s="6" t="s">
        <v>7</v>
      </c>
      <c r="T312" s="6" t="s">
        <v>248</v>
      </c>
      <c r="U312" s="6" t="s">
        <v>120</v>
      </c>
      <c r="V312" s="6" t="s">
        <v>1110</v>
      </c>
      <c r="W312" s="6" t="s">
        <v>92</v>
      </c>
      <c r="X312" s="6" t="s">
        <v>285</v>
      </c>
      <c r="Y312" s="6">
        <v>2971540022</v>
      </c>
      <c r="Z312" s="6" t="s">
        <v>71</v>
      </c>
      <c r="AA312" s="6" t="s">
        <v>92</v>
      </c>
      <c r="AB312" s="6">
        <v>429.07</v>
      </c>
      <c r="AC312" s="6">
        <v>60.62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1226</v>
      </c>
      <c r="AJ312" s="6" t="s">
        <v>436</v>
      </c>
      <c r="AK312" s="6" t="s">
        <v>15</v>
      </c>
      <c r="AL312" s="6" t="s">
        <v>60</v>
      </c>
      <c r="AM312" s="6" t="s">
        <v>437</v>
      </c>
      <c r="AN312" s="6" t="s">
        <v>28</v>
      </c>
      <c r="AO312" s="6" t="s">
        <v>253</v>
      </c>
      <c r="AP312" s="6" t="s">
        <v>480</v>
      </c>
      <c r="AQ312" s="6" t="s">
        <v>43</v>
      </c>
    </row>
    <row r="313" spans="1:43" hidden="1" x14ac:dyDescent="0.25">
      <c r="A313" s="6">
        <v>22679625</v>
      </c>
      <c r="B313" s="6">
        <v>23484082</v>
      </c>
      <c r="C313" s="6" t="s">
        <v>241</v>
      </c>
      <c r="D313" s="14">
        <v>45873.668321759258</v>
      </c>
      <c r="E313" s="14">
        <v>45873.671423611107</v>
      </c>
      <c r="F313" s="6" t="s">
        <v>21</v>
      </c>
      <c r="G313" s="6" t="s">
        <v>21</v>
      </c>
      <c r="H313" s="6" t="s">
        <v>1227</v>
      </c>
      <c r="I313" s="6" t="s">
        <v>15</v>
      </c>
      <c r="J313" s="6" t="s">
        <v>1228</v>
      </c>
      <c r="K313" s="6" t="s">
        <v>1213</v>
      </c>
      <c r="L313" s="6" t="s">
        <v>1213</v>
      </c>
      <c r="M313" s="14">
        <v>45873</v>
      </c>
      <c r="N313" s="6">
        <v>17202443</v>
      </c>
      <c r="O313" s="6" t="s">
        <v>92</v>
      </c>
      <c r="P313" s="6" t="s">
        <v>453</v>
      </c>
      <c r="Q313" s="6" t="s">
        <v>428</v>
      </c>
      <c r="R313" s="6" t="s">
        <v>428</v>
      </c>
      <c r="S313" s="6" t="s">
        <v>9</v>
      </c>
      <c r="T313" s="6" t="s">
        <v>248</v>
      </c>
      <c r="U313" s="6" t="s">
        <v>120</v>
      </c>
      <c r="V313" s="6" t="s">
        <v>1110</v>
      </c>
      <c r="W313" s="6" t="s">
        <v>92</v>
      </c>
      <c r="X313" s="6" t="s">
        <v>92</v>
      </c>
      <c r="Y313" s="6" t="s">
        <v>92</v>
      </c>
      <c r="Z313" s="6" t="s">
        <v>71</v>
      </c>
      <c r="AA313" s="6" t="s">
        <v>92</v>
      </c>
      <c r="AB313" s="6">
        <v>580</v>
      </c>
      <c r="AC313" s="6">
        <v>0</v>
      </c>
      <c r="AD313" s="6">
        <v>0</v>
      </c>
      <c r="AE313" s="6">
        <v>0</v>
      </c>
      <c r="AF313" s="6">
        <v>0</v>
      </c>
      <c r="AG313" s="6">
        <v>180</v>
      </c>
      <c r="AH313" s="6">
        <v>0</v>
      </c>
      <c r="AI313" s="6" t="s">
        <v>1229</v>
      </c>
      <c r="AJ313" s="6" t="s">
        <v>264</v>
      </c>
      <c r="AK313" s="6" t="s">
        <v>15</v>
      </c>
      <c r="AL313" s="6" t="s">
        <v>56</v>
      </c>
      <c r="AM313" s="6" t="s">
        <v>265</v>
      </c>
      <c r="AN313" s="6" t="s">
        <v>22</v>
      </c>
      <c r="AO313" s="6" t="s">
        <v>253</v>
      </c>
      <c r="AP313" s="6" t="s">
        <v>254</v>
      </c>
      <c r="AQ313" s="6" t="s">
        <v>20</v>
      </c>
    </row>
    <row r="314" spans="1:43" hidden="1" x14ac:dyDescent="0.25">
      <c r="A314" s="6">
        <v>22681620</v>
      </c>
      <c r="B314" s="6">
        <v>23486092</v>
      </c>
      <c r="C314" s="6" t="s">
        <v>241</v>
      </c>
      <c r="D314" s="14">
        <v>45873.793726851851</v>
      </c>
      <c r="E314" s="14">
        <v>45873.796736111108</v>
      </c>
      <c r="F314" s="6" t="s">
        <v>21</v>
      </c>
      <c r="G314" s="6" t="s">
        <v>21</v>
      </c>
      <c r="H314" s="6" t="s">
        <v>1230</v>
      </c>
      <c r="I314" s="6" t="s">
        <v>15</v>
      </c>
      <c r="J314" s="6" t="s">
        <v>1231</v>
      </c>
      <c r="K314" s="6" t="s">
        <v>1213</v>
      </c>
      <c r="L314" s="6" t="s">
        <v>1213</v>
      </c>
      <c r="M314" s="14">
        <v>45873</v>
      </c>
      <c r="N314" s="6">
        <v>17205759</v>
      </c>
      <c r="O314" s="6" t="s">
        <v>92</v>
      </c>
      <c r="P314" s="6" t="s">
        <v>453</v>
      </c>
      <c r="Q314" s="6" t="s">
        <v>428</v>
      </c>
      <c r="R314" s="6" t="s">
        <v>428</v>
      </c>
      <c r="S314" s="6" t="s">
        <v>9</v>
      </c>
      <c r="T314" s="6" t="s">
        <v>248</v>
      </c>
      <c r="U314" s="6" t="s">
        <v>120</v>
      </c>
      <c r="V314" s="6" t="s">
        <v>1110</v>
      </c>
      <c r="W314" s="6" t="s">
        <v>92</v>
      </c>
      <c r="X314" s="6" t="s">
        <v>92</v>
      </c>
      <c r="Y314" s="6" t="s">
        <v>92</v>
      </c>
      <c r="Z314" s="6" t="s">
        <v>71</v>
      </c>
      <c r="AA314" s="6" t="s">
        <v>92</v>
      </c>
      <c r="AB314" s="6">
        <v>139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1232</v>
      </c>
      <c r="AJ314" s="6" t="s">
        <v>264</v>
      </c>
      <c r="AK314" s="6" t="s">
        <v>15</v>
      </c>
      <c r="AL314" s="6" t="s">
        <v>56</v>
      </c>
      <c r="AM314" s="6" t="s">
        <v>265</v>
      </c>
      <c r="AN314" s="6" t="s">
        <v>22</v>
      </c>
      <c r="AO314" s="6" t="s">
        <v>253</v>
      </c>
      <c r="AP314" s="6" t="s">
        <v>254</v>
      </c>
      <c r="AQ314" s="6" t="s">
        <v>20</v>
      </c>
    </row>
    <row r="315" spans="1:43" hidden="1" x14ac:dyDescent="0.25">
      <c r="A315" s="6">
        <v>22659143</v>
      </c>
      <c r="B315" s="6">
        <v>23467925</v>
      </c>
      <c r="C315" s="6" t="s">
        <v>241</v>
      </c>
      <c r="D315" s="14">
        <v>45869.671030092592</v>
      </c>
      <c r="E315" s="14">
        <v>45869.675833333327</v>
      </c>
      <c r="F315" s="6" t="s">
        <v>23</v>
      </c>
      <c r="G315" s="6" t="s">
        <v>23</v>
      </c>
      <c r="H315" s="6" t="s">
        <v>1233</v>
      </c>
      <c r="I315" s="6" t="s">
        <v>15</v>
      </c>
      <c r="J315" s="6" t="s">
        <v>1234</v>
      </c>
      <c r="K315" s="6" t="s">
        <v>1213</v>
      </c>
      <c r="L315" s="6" t="s">
        <v>1213</v>
      </c>
      <c r="M315" s="14">
        <v>45869</v>
      </c>
      <c r="N315" s="6">
        <v>17180402</v>
      </c>
      <c r="O315" s="6" t="s">
        <v>92</v>
      </c>
      <c r="P315" s="6" t="s">
        <v>453</v>
      </c>
      <c r="Q315" s="6" t="s">
        <v>428</v>
      </c>
      <c r="R315" s="6" t="s">
        <v>428</v>
      </c>
      <c r="S315" s="6" t="s">
        <v>9</v>
      </c>
      <c r="T315" s="6" t="s">
        <v>248</v>
      </c>
      <c r="U315" s="6" t="s">
        <v>120</v>
      </c>
      <c r="V315" s="6" t="s">
        <v>1110</v>
      </c>
      <c r="W315" s="6" t="s">
        <v>92</v>
      </c>
      <c r="X315" s="6" t="s">
        <v>92</v>
      </c>
      <c r="Y315" s="6" t="s">
        <v>92</v>
      </c>
      <c r="Z315" s="6" t="s">
        <v>71</v>
      </c>
      <c r="AA315" s="6" t="s">
        <v>92</v>
      </c>
      <c r="AB315" s="6">
        <v>1160</v>
      </c>
      <c r="AC315" s="6">
        <v>0</v>
      </c>
      <c r="AD315" s="6">
        <v>0</v>
      </c>
      <c r="AE315" s="6">
        <v>0</v>
      </c>
      <c r="AF315" s="6">
        <v>0</v>
      </c>
      <c r="AG315" s="6">
        <v>180</v>
      </c>
      <c r="AH315" s="6">
        <v>0</v>
      </c>
      <c r="AI315" s="6" t="s">
        <v>1235</v>
      </c>
      <c r="AJ315" s="6" t="s">
        <v>264</v>
      </c>
      <c r="AK315" s="6" t="s">
        <v>15</v>
      </c>
      <c r="AL315" s="6" t="s">
        <v>56</v>
      </c>
      <c r="AM315" s="6" t="s">
        <v>265</v>
      </c>
      <c r="AN315" s="6" t="s">
        <v>22</v>
      </c>
      <c r="AO315" s="6" t="s">
        <v>253</v>
      </c>
      <c r="AP315" s="6" t="s">
        <v>254</v>
      </c>
      <c r="AQ315" s="6" t="s">
        <v>20</v>
      </c>
    </row>
    <row r="316" spans="1:43" hidden="1" x14ac:dyDescent="0.25">
      <c r="A316" s="6">
        <v>22659144</v>
      </c>
      <c r="B316" s="6">
        <v>23467926</v>
      </c>
      <c r="C316" s="6" t="s">
        <v>241</v>
      </c>
      <c r="D316" s="14">
        <v>45869.671041666668</v>
      </c>
      <c r="E316" s="14">
        <v>45869.675844907397</v>
      </c>
      <c r="F316" s="6" t="s">
        <v>23</v>
      </c>
      <c r="G316" s="6" t="s">
        <v>23</v>
      </c>
      <c r="H316" s="6" t="s">
        <v>1236</v>
      </c>
      <c r="I316" s="6" t="s">
        <v>15</v>
      </c>
      <c r="J316" s="6" t="s">
        <v>1228</v>
      </c>
      <c r="K316" s="6" t="s">
        <v>1213</v>
      </c>
      <c r="L316" s="6" t="s">
        <v>1213</v>
      </c>
      <c r="M316" s="14">
        <v>45869</v>
      </c>
      <c r="N316" s="6">
        <v>17180492</v>
      </c>
      <c r="O316" s="6" t="s">
        <v>92</v>
      </c>
      <c r="P316" s="6" t="s">
        <v>453</v>
      </c>
      <c r="Q316" s="6" t="s">
        <v>428</v>
      </c>
      <c r="R316" s="6" t="s">
        <v>428</v>
      </c>
      <c r="S316" s="6" t="s">
        <v>9</v>
      </c>
      <c r="T316" s="6" t="s">
        <v>248</v>
      </c>
      <c r="U316" s="6" t="s">
        <v>120</v>
      </c>
      <c r="V316" s="6" t="s">
        <v>1110</v>
      </c>
      <c r="W316" s="6" t="s">
        <v>92</v>
      </c>
      <c r="X316" s="6" t="s">
        <v>92</v>
      </c>
      <c r="Y316" s="6" t="s">
        <v>92</v>
      </c>
      <c r="Z316" s="6" t="s">
        <v>71</v>
      </c>
      <c r="AA316" s="6" t="s">
        <v>92</v>
      </c>
      <c r="AB316" s="6">
        <v>1160</v>
      </c>
      <c r="AC316" s="6">
        <v>0</v>
      </c>
      <c r="AD316" s="6">
        <v>0</v>
      </c>
      <c r="AE316" s="6">
        <v>0</v>
      </c>
      <c r="AF316" s="6">
        <v>0</v>
      </c>
      <c r="AG316" s="6">
        <v>180</v>
      </c>
      <c r="AH316" s="6">
        <v>0</v>
      </c>
      <c r="AI316" s="6" t="s">
        <v>1237</v>
      </c>
      <c r="AJ316" s="6" t="s">
        <v>264</v>
      </c>
      <c r="AK316" s="6" t="s">
        <v>15</v>
      </c>
      <c r="AL316" s="6" t="s">
        <v>56</v>
      </c>
      <c r="AM316" s="6" t="s">
        <v>265</v>
      </c>
      <c r="AN316" s="6" t="s">
        <v>22</v>
      </c>
      <c r="AO316" s="6" t="s">
        <v>253</v>
      </c>
      <c r="AP316" s="6" t="s">
        <v>254</v>
      </c>
      <c r="AQ316" s="6" t="s">
        <v>20</v>
      </c>
    </row>
    <row r="317" spans="1:43" hidden="1" x14ac:dyDescent="0.25">
      <c r="A317" s="6">
        <v>22679305</v>
      </c>
      <c r="B317" s="6">
        <v>23483773</v>
      </c>
      <c r="C317" s="6" t="s">
        <v>241</v>
      </c>
      <c r="D317" s="14">
        <v>45873.626736111109</v>
      </c>
      <c r="E317" s="14">
        <v>45873.629953703698</v>
      </c>
      <c r="F317" s="6" t="s">
        <v>21</v>
      </c>
      <c r="G317" s="6" t="s">
        <v>21</v>
      </c>
      <c r="H317" s="6" t="s">
        <v>1238</v>
      </c>
      <c r="I317" s="6" t="s">
        <v>15</v>
      </c>
      <c r="J317" s="6" t="s">
        <v>1239</v>
      </c>
      <c r="K317" s="6" t="s">
        <v>1213</v>
      </c>
      <c r="L317" s="6" t="s">
        <v>1213</v>
      </c>
      <c r="M317" s="14">
        <v>45873</v>
      </c>
      <c r="N317" s="6">
        <v>17201409</v>
      </c>
      <c r="O317" s="6" t="s">
        <v>92</v>
      </c>
      <c r="P317" s="6" t="s">
        <v>453</v>
      </c>
      <c r="Q317" s="6" t="s">
        <v>428</v>
      </c>
      <c r="R317" s="6" t="s">
        <v>428</v>
      </c>
      <c r="S317" s="6" t="s">
        <v>9</v>
      </c>
      <c r="T317" s="6" t="s">
        <v>248</v>
      </c>
      <c r="U317" s="6" t="s">
        <v>120</v>
      </c>
      <c r="V317" s="6" t="s">
        <v>1110</v>
      </c>
      <c r="W317" s="6" t="s">
        <v>92</v>
      </c>
      <c r="X317" s="6" t="s">
        <v>92</v>
      </c>
      <c r="Y317" s="6" t="s">
        <v>92</v>
      </c>
      <c r="Z317" s="6" t="s">
        <v>71</v>
      </c>
      <c r="AA317" s="6" t="s">
        <v>92</v>
      </c>
      <c r="AB317" s="6">
        <v>1184</v>
      </c>
      <c r="AC317" s="6">
        <v>0</v>
      </c>
      <c r="AD317" s="6">
        <v>0</v>
      </c>
      <c r="AE317" s="6">
        <v>0</v>
      </c>
      <c r="AF317" s="6">
        <v>0</v>
      </c>
      <c r="AG317" s="6">
        <v>59.2</v>
      </c>
      <c r="AH317" s="6">
        <v>0</v>
      </c>
      <c r="AI317" s="6" t="s">
        <v>1240</v>
      </c>
      <c r="AJ317" s="6" t="s">
        <v>264</v>
      </c>
      <c r="AK317" s="6" t="s">
        <v>15</v>
      </c>
      <c r="AL317" s="6" t="s">
        <v>56</v>
      </c>
      <c r="AM317" s="6" t="s">
        <v>265</v>
      </c>
      <c r="AN317" s="6" t="s">
        <v>22</v>
      </c>
      <c r="AO317" s="6" t="s">
        <v>253</v>
      </c>
      <c r="AP317" s="6" t="s">
        <v>254</v>
      </c>
      <c r="AQ317" s="6" t="s">
        <v>20</v>
      </c>
    </row>
    <row r="318" spans="1:43" hidden="1" x14ac:dyDescent="0.25">
      <c r="A318" s="6">
        <v>22677103</v>
      </c>
      <c r="B318" s="6">
        <v>23481783</v>
      </c>
      <c r="C318" s="6" t="s">
        <v>241</v>
      </c>
      <c r="D318" s="14">
        <v>45873.376087962963</v>
      </c>
      <c r="E318" s="14">
        <v>45873.379791666674</v>
      </c>
      <c r="F318" s="6" t="s">
        <v>21</v>
      </c>
      <c r="G318" s="6" t="s">
        <v>21</v>
      </c>
      <c r="H318" s="6" t="s">
        <v>1241</v>
      </c>
      <c r="I318" s="6" t="s">
        <v>15</v>
      </c>
      <c r="J318" s="6" t="s">
        <v>1242</v>
      </c>
      <c r="K318" s="6" t="s">
        <v>1213</v>
      </c>
      <c r="L318" s="6" t="s">
        <v>1213</v>
      </c>
      <c r="M318" s="14">
        <v>45868</v>
      </c>
      <c r="N318" s="6">
        <v>17169221</v>
      </c>
      <c r="O318" s="6" t="s">
        <v>92</v>
      </c>
      <c r="P318" s="6" t="s">
        <v>453</v>
      </c>
      <c r="Q318" s="6" t="s">
        <v>428</v>
      </c>
      <c r="R318" s="6" t="s">
        <v>428</v>
      </c>
      <c r="S318" s="6" t="s">
        <v>9</v>
      </c>
      <c r="T318" s="6" t="s">
        <v>248</v>
      </c>
      <c r="U318" s="6" t="s">
        <v>120</v>
      </c>
      <c r="V318" s="6" t="s">
        <v>1110</v>
      </c>
      <c r="W318" s="6" t="s">
        <v>92</v>
      </c>
      <c r="X318" s="6" t="s">
        <v>92</v>
      </c>
      <c r="Y318" s="6" t="s">
        <v>92</v>
      </c>
      <c r="Z318" s="6" t="s">
        <v>71</v>
      </c>
      <c r="AA318" s="6" t="s">
        <v>92</v>
      </c>
      <c r="AB318" s="6">
        <v>270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1243</v>
      </c>
      <c r="AJ318" s="6" t="s">
        <v>264</v>
      </c>
      <c r="AK318" s="6" t="s">
        <v>15</v>
      </c>
      <c r="AL318" s="6" t="s">
        <v>56</v>
      </c>
      <c r="AM318" s="6" t="s">
        <v>265</v>
      </c>
      <c r="AN318" s="6" t="s">
        <v>22</v>
      </c>
      <c r="AO318" s="6" t="s">
        <v>253</v>
      </c>
      <c r="AP318" s="6" t="s">
        <v>254</v>
      </c>
      <c r="AQ318" s="6" t="s">
        <v>20</v>
      </c>
    </row>
    <row r="319" spans="1:43" x14ac:dyDescent="0.25">
      <c r="A319" s="6">
        <v>22529814</v>
      </c>
      <c r="B319" s="6">
        <v>23357744</v>
      </c>
      <c r="C319" s="6" t="s">
        <v>241</v>
      </c>
      <c r="D319" s="14">
        <v>45846.459120370368</v>
      </c>
      <c r="E319" s="14">
        <v>45846.462800925918</v>
      </c>
      <c r="F319" s="47" t="s">
        <v>30</v>
      </c>
      <c r="G319" s="47" t="s">
        <v>30</v>
      </c>
      <c r="H319" s="6" t="s">
        <v>1244</v>
      </c>
      <c r="I319" s="6" t="s">
        <v>15</v>
      </c>
      <c r="J319" s="6" t="s">
        <v>1245</v>
      </c>
      <c r="K319" s="6" t="s">
        <v>1213</v>
      </c>
      <c r="L319" s="6" t="s">
        <v>1213</v>
      </c>
      <c r="M319" s="14">
        <v>45845</v>
      </c>
      <c r="N319" s="6">
        <v>16994702</v>
      </c>
      <c r="O319" s="6" t="s">
        <v>92</v>
      </c>
      <c r="P319" s="6" t="s">
        <v>453</v>
      </c>
      <c r="Q319" s="6" t="s">
        <v>428</v>
      </c>
      <c r="R319" s="6" t="s">
        <v>428</v>
      </c>
      <c r="S319" s="6" t="s">
        <v>9</v>
      </c>
      <c r="T319" s="6" t="s">
        <v>248</v>
      </c>
      <c r="U319" s="6" t="s">
        <v>120</v>
      </c>
      <c r="V319" s="6" t="s">
        <v>1110</v>
      </c>
      <c r="W319" s="6" t="s">
        <v>92</v>
      </c>
      <c r="X319" s="6" t="s">
        <v>1246</v>
      </c>
      <c r="Y319" s="6" t="s">
        <v>92</v>
      </c>
      <c r="Z319" s="6" t="s">
        <v>71</v>
      </c>
      <c r="AA319" s="6" t="s">
        <v>92</v>
      </c>
      <c r="AB319" s="6">
        <v>371.8</v>
      </c>
      <c r="AC319" s="6">
        <v>0</v>
      </c>
      <c r="AD319" s="6">
        <v>0</v>
      </c>
      <c r="AE319" s="6">
        <v>0</v>
      </c>
      <c r="AF319" s="6">
        <v>0</v>
      </c>
      <c r="AG319" s="6">
        <v>18.59</v>
      </c>
      <c r="AH319" s="6">
        <v>0</v>
      </c>
      <c r="AI319" s="6" t="s">
        <v>1247</v>
      </c>
      <c r="AJ319" s="6" t="s">
        <v>264</v>
      </c>
      <c r="AK319" s="6" t="s">
        <v>15</v>
      </c>
      <c r="AL319" s="6" t="s">
        <v>56</v>
      </c>
      <c r="AM319" s="6" t="s">
        <v>265</v>
      </c>
      <c r="AN319" s="6" t="s">
        <v>22</v>
      </c>
      <c r="AO319" s="6" t="s">
        <v>253</v>
      </c>
      <c r="AP319" s="6" t="s">
        <v>254</v>
      </c>
      <c r="AQ319" s="6" t="s">
        <v>20</v>
      </c>
    </row>
    <row r="320" spans="1:43" hidden="1" x14ac:dyDescent="0.25">
      <c r="A320" s="6">
        <v>22531721</v>
      </c>
      <c r="B320" s="6">
        <v>23359539</v>
      </c>
      <c r="C320" s="6" t="s">
        <v>241</v>
      </c>
      <c r="D320" s="14">
        <v>45846.668703703697</v>
      </c>
      <c r="E320" s="14">
        <v>45846.672731481478</v>
      </c>
      <c r="F320" s="47" t="s">
        <v>30</v>
      </c>
      <c r="G320" s="47" t="s">
        <v>30</v>
      </c>
      <c r="H320" s="6" t="s">
        <v>1248</v>
      </c>
      <c r="I320" s="6" t="s">
        <v>15</v>
      </c>
      <c r="J320" s="6" t="s">
        <v>1249</v>
      </c>
      <c r="K320" s="6" t="s">
        <v>1213</v>
      </c>
      <c r="L320" s="6" t="s">
        <v>1213</v>
      </c>
      <c r="M320" s="14">
        <v>45846</v>
      </c>
      <c r="N320" s="6">
        <v>17009338</v>
      </c>
      <c r="O320" s="6" t="s">
        <v>92</v>
      </c>
      <c r="P320" s="6" t="s">
        <v>453</v>
      </c>
      <c r="Q320" s="6" t="s">
        <v>428</v>
      </c>
      <c r="R320" s="6" t="s">
        <v>428</v>
      </c>
      <c r="S320" s="6" t="s">
        <v>9</v>
      </c>
      <c r="T320" s="6" t="s">
        <v>248</v>
      </c>
      <c r="U320" s="6" t="s">
        <v>120</v>
      </c>
      <c r="V320" s="6" t="s">
        <v>1110</v>
      </c>
      <c r="W320" s="6" t="s">
        <v>92</v>
      </c>
      <c r="X320" s="6" t="s">
        <v>92</v>
      </c>
      <c r="Y320" s="6" t="s">
        <v>92</v>
      </c>
      <c r="Z320" s="6" t="s">
        <v>71</v>
      </c>
      <c r="AA320" s="6" t="s">
        <v>92</v>
      </c>
      <c r="AB320" s="6">
        <v>231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1250</v>
      </c>
      <c r="AJ320" s="6" t="s">
        <v>264</v>
      </c>
      <c r="AK320" s="6" t="s">
        <v>15</v>
      </c>
      <c r="AL320" s="6" t="s">
        <v>56</v>
      </c>
      <c r="AM320" s="6" t="s">
        <v>265</v>
      </c>
      <c r="AN320" s="6" t="s">
        <v>22</v>
      </c>
      <c r="AO320" s="6" t="s">
        <v>253</v>
      </c>
      <c r="AP320" s="6" t="s">
        <v>254</v>
      </c>
      <c r="AQ320" s="6" t="s">
        <v>20</v>
      </c>
    </row>
    <row r="321" spans="1:43" hidden="1" x14ac:dyDescent="0.25">
      <c r="A321" s="6">
        <v>22649682</v>
      </c>
      <c r="B321" s="6">
        <v>23459220</v>
      </c>
      <c r="C321" s="6" t="s">
        <v>241</v>
      </c>
      <c r="D321" s="14">
        <v>45868.377569444441</v>
      </c>
      <c r="E321" s="14">
        <v>45868.380208333343</v>
      </c>
      <c r="F321" s="6" t="s">
        <v>25</v>
      </c>
      <c r="G321" s="6" t="s">
        <v>25</v>
      </c>
      <c r="H321" s="6" t="s">
        <v>1251</v>
      </c>
      <c r="I321" s="6" t="s">
        <v>15</v>
      </c>
      <c r="J321" s="6" t="s">
        <v>1252</v>
      </c>
      <c r="K321" s="6" t="s">
        <v>1213</v>
      </c>
      <c r="L321" s="6" t="s">
        <v>1213</v>
      </c>
      <c r="M321" s="14">
        <v>45868</v>
      </c>
      <c r="N321" s="6">
        <v>17165445</v>
      </c>
      <c r="O321" s="6" t="s">
        <v>92</v>
      </c>
      <c r="P321" s="6" t="s">
        <v>453</v>
      </c>
      <c r="Q321" s="6" t="s">
        <v>428</v>
      </c>
      <c r="R321" s="6" t="s">
        <v>428</v>
      </c>
      <c r="S321" s="6" t="s">
        <v>9</v>
      </c>
      <c r="T321" s="6" t="s">
        <v>248</v>
      </c>
      <c r="U321" s="6" t="s">
        <v>120</v>
      </c>
      <c r="V321" s="6" t="s">
        <v>1110</v>
      </c>
      <c r="W321" s="6" t="s">
        <v>92</v>
      </c>
      <c r="X321" s="6" t="s">
        <v>92</v>
      </c>
      <c r="Y321" s="6" t="s">
        <v>92</v>
      </c>
      <c r="Z321" s="6" t="s">
        <v>71</v>
      </c>
      <c r="AA321" s="6" t="s">
        <v>92</v>
      </c>
      <c r="AB321" s="6">
        <v>1080</v>
      </c>
      <c r="AC321" s="6">
        <v>0</v>
      </c>
      <c r="AD321" s="6">
        <v>0</v>
      </c>
      <c r="AE321" s="6">
        <v>0</v>
      </c>
      <c r="AF321" s="6">
        <v>0</v>
      </c>
      <c r="AG321" s="6">
        <v>180</v>
      </c>
      <c r="AH321" s="6">
        <v>0</v>
      </c>
      <c r="AI321" s="6" t="s">
        <v>1253</v>
      </c>
      <c r="AJ321" s="6" t="s">
        <v>264</v>
      </c>
      <c r="AK321" s="6" t="s">
        <v>15</v>
      </c>
      <c r="AL321" s="6" t="s">
        <v>56</v>
      </c>
      <c r="AM321" s="6" t="s">
        <v>265</v>
      </c>
      <c r="AN321" s="6" t="s">
        <v>22</v>
      </c>
      <c r="AO321" s="6" t="s">
        <v>253</v>
      </c>
      <c r="AP321" s="6" t="s">
        <v>254</v>
      </c>
      <c r="AQ321" s="6" t="s">
        <v>20</v>
      </c>
    </row>
    <row r="322" spans="1:43" hidden="1" x14ac:dyDescent="0.25">
      <c r="A322" s="6">
        <v>22702214</v>
      </c>
      <c r="B322" s="6">
        <v>23504356</v>
      </c>
      <c r="C322" s="6" t="s">
        <v>241</v>
      </c>
      <c r="D322" s="14">
        <v>45876.7112037037</v>
      </c>
      <c r="E322" s="14">
        <v>45876.713472222233</v>
      </c>
      <c r="F322" s="6" t="s">
        <v>19</v>
      </c>
      <c r="G322" s="6" t="s">
        <v>19</v>
      </c>
      <c r="H322" s="6" t="s">
        <v>1254</v>
      </c>
      <c r="I322" s="6" t="s">
        <v>15</v>
      </c>
      <c r="J322" s="6" t="s">
        <v>1255</v>
      </c>
      <c r="K322" s="6" t="s">
        <v>1213</v>
      </c>
      <c r="L322" s="6" t="s">
        <v>1213</v>
      </c>
      <c r="M322" s="14">
        <v>45876</v>
      </c>
      <c r="N322" s="6">
        <v>17237347</v>
      </c>
      <c r="O322" s="6" t="s">
        <v>92</v>
      </c>
      <c r="P322" s="6" t="s">
        <v>453</v>
      </c>
      <c r="Q322" s="6" t="s">
        <v>428</v>
      </c>
      <c r="R322" s="6" t="s">
        <v>428</v>
      </c>
      <c r="S322" s="6" t="s">
        <v>9</v>
      </c>
      <c r="T322" s="6" t="s">
        <v>248</v>
      </c>
      <c r="U322" s="6" t="s">
        <v>120</v>
      </c>
      <c r="V322" s="6" t="s">
        <v>1110</v>
      </c>
      <c r="W322" s="6" t="s">
        <v>92</v>
      </c>
      <c r="X322" s="6" t="s">
        <v>92</v>
      </c>
      <c r="Y322" s="6" t="s">
        <v>92</v>
      </c>
      <c r="Z322" s="6" t="s">
        <v>71</v>
      </c>
      <c r="AA322" s="6" t="s">
        <v>92</v>
      </c>
      <c r="AB322" s="6">
        <v>795.99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1256</v>
      </c>
      <c r="AJ322" s="6" t="s">
        <v>264</v>
      </c>
      <c r="AK322" s="6" t="s">
        <v>15</v>
      </c>
      <c r="AL322" s="6" t="s">
        <v>56</v>
      </c>
      <c r="AM322" s="6" t="s">
        <v>265</v>
      </c>
      <c r="AN322" s="6" t="s">
        <v>22</v>
      </c>
      <c r="AO322" s="6" t="s">
        <v>253</v>
      </c>
      <c r="AP322" s="6" t="s">
        <v>254</v>
      </c>
      <c r="AQ322" s="6" t="s">
        <v>20</v>
      </c>
    </row>
    <row r="323" spans="1:43" hidden="1" x14ac:dyDescent="0.25">
      <c r="A323" s="6">
        <v>22702216</v>
      </c>
      <c r="B323" s="6">
        <v>23504357</v>
      </c>
      <c r="C323" s="6" t="s">
        <v>241</v>
      </c>
      <c r="D323" s="14">
        <v>45876.711238425924</v>
      </c>
      <c r="E323" s="14">
        <v>45876.713495370372</v>
      </c>
      <c r="F323" s="6" t="s">
        <v>19</v>
      </c>
      <c r="G323" s="6" t="s">
        <v>19</v>
      </c>
      <c r="H323" s="6" t="s">
        <v>1257</v>
      </c>
      <c r="I323" s="6" t="s">
        <v>15</v>
      </c>
      <c r="J323" s="6" t="s">
        <v>1255</v>
      </c>
      <c r="K323" s="6" t="s">
        <v>1213</v>
      </c>
      <c r="L323" s="6" t="s">
        <v>1213</v>
      </c>
      <c r="M323" s="14">
        <v>45876</v>
      </c>
      <c r="N323" s="6">
        <v>17237393</v>
      </c>
      <c r="O323" s="6" t="s">
        <v>92</v>
      </c>
      <c r="P323" s="6" t="s">
        <v>453</v>
      </c>
      <c r="Q323" s="6" t="s">
        <v>428</v>
      </c>
      <c r="R323" s="6" t="s">
        <v>428</v>
      </c>
      <c r="S323" s="6" t="s">
        <v>9</v>
      </c>
      <c r="T323" s="6" t="s">
        <v>248</v>
      </c>
      <c r="U323" s="6" t="s">
        <v>120</v>
      </c>
      <c r="V323" s="6" t="s">
        <v>1110</v>
      </c>
      <c r="W323" s="6" t="s">
        <v>92</v>
      </c>
      <c r="X323" s="6" t="s">
        <v>92</v>
      </c>
      <c r="Y323" s="6" t="s">
        <v>92</v>
      </c>
      <c r="Z323" s="6" t="s">
        <v>71</v>
      </c>
      <c r="AA323" s="6" t="s">
        <v>92</v>
      </c>
      <c r="AB323" s="6">
        <v>795.99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1258</v>
      </c>
      <c r="AJ323" s="6" t="s">
        <v>264</v>
      </c>
      <c r="AK323" s="6" t="s">
        <v>15</v>
      </c>
      <c r="AL323" s="6" t="s">
        <v>56</v>
      </c>
      <c r="AM323" s="6" t="s">
        <v>265</v>
      </c>
      <c r="AN323" s="6" t="s">
        <v>22</v>
      </c>
      <c r="AO323" s="6" t="s">
        <v>253</v>
      </c>
      <c r="AP323" s="6" t="s">
        <v>254</v>
      </c>
      <c r="AQ323" s="6" t="s">
        <v>20</v>
      </c>
    </row>
    <row r="324" spans="1:43" hidden="1" x14ac:dyDescent="0.25">
      <c r="A324" s="6">
        <v>22702224</v>
      </c>
      <c r="B324" s="6">
        <v>23504366</v>
      </c>
      <c r="C324" s="6" t="s">
        <v>241</v>
      </c>
      <c r="D324" s="14">
        <v>45876.711458333331</v>
      </c>
      <c r="E324" s="14">
        <v>45876.713807870372</v>
      </c>
      <c r="F324" s="6" t="s">
        <v>19</v>
      </c>
      <c r="G324" s="6" t="s">
        <v>19</v>
      </c>
      <c r="H324" s="6" t="s">
        <v>1259</v>
      </c>
      <c r="I324" s="6" t="s">
        <v>15</v>
      </c>
      <c r="J324" s="6" t="s">
        <v>1260</v>
      </c>
      <c r="K324" s="6" t="s">
        <v>1213</v>
      </c>
      <c r="L324" s="6" t="s">
        <v>1213</v>
      </c>
      <c r="M324" s="14">
        <v>45876</v>
      </c>
      <c r="N324" s="6">
        <v>17237514</v>
      </c>
      <c r="O324" s="6" t="s">
        <v>92</v>
      </c>
      <c r="P324" s="6" t="s">
        <v>453</v>
      </c>
      <c r="Q324" s="6" t="s">
        <v>428</v>
      </c>
      <c r="R324" s="6" t="s">
        <v>428</v>
      </c>
      <c r="S324" s="6" t="s">
        <v>9</v>
      </c>
      <c r="T324" s="6" t="s">
        <v>248</v>
      </c>
      <c r="U324" s="6" t="s">
        <v>120</v>
      </c>
      <c r="V324" s="6" t="s">
        <v>1110</v>
      </c>
      <c r="W324" s="6" t="s">
        <v>92</v>
      </c>
      <c r="X324" s="6" t="s">
        <v>92</v>
      </c>
      <c r="Y324" s="6" t="s">
        <v>92</v>
      </c>
      <c r="Z324" s="6" t="s">
        <v>71</v>
      </c>
      <c r="AA324" s="6" t="s">
        <v>92</v>
      </c>
      <c r="AB324" s="6">
        <v>999.99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1261</v>
      </c>
      <c r="AJ324" s="6" t="s">
        <v>264</v>
      </c>
      <c r="AK324" s="6" t="s">
        <v>15</v>
      </c>
      <c r="AL324" s="6" t="s">
        <v>56</v>
      </c>
      <c r="AM324" s="6" t="s">
        <v>265</v>
      </c>
      <c r="AN324" s="6" t="s">
        <v>22</v>
      </c>
      <c r="AO324" s="6" t="s">
        <v>253</v>
      </c>
      <c r="AP324" s="6" t="s">
        <v>254</v>
      </c>
      <c r="AQ324" s="6" t="s">
        <v>20</v>
      </c>
    </row>
    <row r="325" spans="1:43" hidden="1" x14ac:dyDescent="0.25">
      <c r="A325" s="6">
        <v>22703689</v>
      </c>
      <c r="B325" s="6">
        <v>23505785</v>
      </c>
      <c r="C325" s="6" t="s">
        <v>241</v>
      </c>
      <c r="D325" s="14">
        <v>45876.794050925928</v>
      </c>
      <c r="E325" s="14">
        <v>45876.827488425923</v>
      </c>
      <c r="F325" s="6" t="s">
        <v>19</v>
      </c>
      <c r="G325" s="6" t="s">
        <v>19</v>
      </c>
      <c r="H325" s="6" t="s">
        <v>1262</v>
      </c>
      <c r="I325" s="6" t="s">
        <v>259</v>
      </c>
      <c r="J325" s="6" t="s">
        <v>1263</v>
      </c>
      <c r="K325" s="6" t="s">
        <v>665</v>
      </c>
      <c r="L325" s="6" t="s">
        <v>665</v>
      </c>
      <c r="M325" s="14">
        <v>45876.620138888888</v>
      </c>
      <c r="N325" s="6">
        <v>265</v>
      </c>
      <c r="O325" s="6" t="s">
        <v>1102</v>
      </c>
      <c r="P325" s="6" t="s">
        <v>453</v>
      </c>
      <c r="Q325" s="6" t="s">
        <v>246</v>
      </c>
      <c r="R325" s="6" t="s">
        <v>247</v>
      </c>
      <c r="S325" s="6" t="s">
        <v>8</v>
      </c>
      <c r="T325" s="6" t="s">
        <v>248</v>
      </c>
      <c r="U325" s="6" t="s">
        <v>1264</v>
      </c>
      <c r="V325" s="6" t="s">
        <v>1265</v>
      </c>
      <c r="W325" s="6" t="s">
        <v>92</v>
      </c>
      <c r="X325" s="6" t="s">
        <v>92</v>
      </c>
      <c r="Y325" s="6" t="s">
        <v>92</v>
      </c>
      <c r="Z325" s="6" t="s">
        <v>111</v>
      </c>
      <c r="AA325" s="6" t="s">
        <v>92</v>
      </c>
      <c r="AB325" s="6">
        <v>205.71340000000001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1266</v>
      </c>
      <c r="AJ325" s="6" t="s">
        <v>264</v>
      </c>
      <c r="AK325" s="6" t="s">
        <v>12</v>
      </c>
      <c r="AL325" s="6" t="s">
        <v>56</v>
      </c>
      <c r="AM325" s="6" t="s">
        <v>265</v>
      </c>
      <c r="AN325" s="6" t="s">
        <v>22</v>
      </c>
      <c r="AO325" s="6" t="s">
        <v>253</v>
      </c>
      <c r="AP325" s="6" t="s">
        <v>254</v>
      </c>
      <c r="AQ325" s="6" t="s">
        <v>20</v>
      </c>
    </row>
    <row r="326" spans="1:43" hidden="1" x14ac:dyDescent="0.25">
      <c r="A326" s="6">
        <v>22686476</v>
      </c>
      <c r="B326" s="6">
        <v>23490201</v>
      </c>
      <c r="C326" s="6" t="s">
        <v>241</v>
      </c>
      <c r="D326" s="14">
        <v>45874.595648148148</v>
      </c>
      <c r="E326" s="14">
        <v>45874.59778935185</v>
      </c>
      <c r="F326" s="6" t="s">
        <v>21</v>
      </c>
      <c r="G326" s="6" t="s">
        <v>21</v>
      </c>
      <c r="H326" s="6" t="s">
        <v>1267</v>
      </c>
      <c r="I326" s="6" t="s">
        <v>13</v>
      </c>
      <c r="J326" s="6" t="s">
        <v>1268</v>
      </c>
      <c r="K326" s="6" t="s">
        <v>884</v>
      </c>
      <c r="L326" s="6" t="s">
        <v>884</v>
      </c>
      <c r="M326" s="14">
        <v>45874.530555555553</v>
      </c>
      <c r="N326" s="6">
        <v>4576769</v>
      </c>
      <c r="O326" s="6" t="s">
        <v>92</v>
      </c>
      <c r="P326" s="6" t="s">
        <v>245</v>
      </c>
      <c r="Q326" s="6" t="s">
        <v>246</v>
      </c>
      <c r="R326" s="6" t="s">
        <v>247</v>
      </c>
      <c r="S326" s="6" t="s">
        <v>7</v>
      </c>
      <c r="T326" s="6" t="s">
        <v>248</v>
      </c>
      <c r="U326" s="6" t="s">
        <v>167</v>
      </c>
      <c r="V326" s="6" t="s">
        <v>1269</v>
      </c>
      <c r="W326" s="6" t="s">
        <v>92</v>
      </c>
      <c r="X326" s="6" t="s">
        <v>285</v>
      </c>
      <c r="Y326" s="6">
        <v>2971589631</v>
      </c>
      <c r="Z326" s="6" t="s">
        <v>111</v>
      </c>
      <c r="AA326" s="6" t="s">
        <v>92</v>
      </c>
      <c r="AB326" s="6">
        <v>1472.04</v>
      </c>
      <c r="AC326" s="6">
        <v>450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1270</v>
      </c>
      <c r="AJ326" s="6" t="s">
        <v>436</v>
      </c>
      <c r="AK326" s="6" t="s">
        <v>13</v>
      </c>
      <c r="AL326" s="6" t="s">
        <v>60</v>
      </c>
      <c r="AM326" s="6" t="s">
        <v>437</v>
      </c>
      <c r="AN326" s="6" t="s">
        <v>28</v>
      </c>
      <c r="AO326" s="6" t="s">
        <v>253</v>
      </c>
      <c r="AP326" s="6" t="s">
        <v>480</v>
      </c>
      <c r="AQ326" s="6" t="s">
        <v>43</v>
      </c>
    </row>
    <row r="327" spans="1:43" hidden="1" x14ac:dyDescent="0.25">
      <c r="A327" s="6">
        <v>22686477</v>
      </c>
      <c r="B327" s="6">
        <v>23490202</v>
      </c>
      <c r="C327" s="6" t="s">
        <v>241</v>
      </c>
      <c r="D327" s="14">
        <v>45874.595659722218</v>
      </c>
      <c r="E327" s="14">
        <v>45874.597800925927</v>
      </c>
      <c r="F327" s="6" t="s">
        <v>21</v>
      </c>
      <c r="G327" s="6" t="s">
        <v>21</v>
      </c>
      <c r="H327" s="6" t="s">
        <v>1271</v>
      </c>
      <c r="I327" s="6" t="s">
        <v>13</v>
      </c>
      <c r="J327" s="6" t="s">
        <v>1268</v>
      </c>
      <c r="K327" s="6" t="s">
        <v>884</v>
      </c>
      <c r="L327" s="6" t="s">
        <v>884</v>
      </c>
      <c r="M327" s="14">
        <v>45874.584722222222</v>
      </c>
      <c r="N327" s="6">
        <v>4576769</v>
      </c>
      <c r="O327" s="6" t="s">
        <v>92</v>
      </c>
      <c r="P327" s="6" t="s">
        <v>245</v>
      </c>
      <c r="Q327" s="6" t="s">
        <v>246</v>
      </c>
      <c r="R327" s="6" t="s">
        <v>247</v>
      </c>
      <c r="S327" s="6" t="s">
        <v>7</v>
      </c>
      <c r="T327" s="6" t="s">
        <v>248</v>
      </c>
      <c r="U327" s="6" t="s">
        <v>167</v>
      </c>
      <c r="V327" s="6" t="s">
        <v>1269</v>
      </c>
      <c r="W327" s="6" t="s">
        <v>92</v>
      </c>
      <c r="X327" s="6" t="s">
        <v>285</v>
      </c>
      <c r="Y327" s="6">
        <v>2971589633</v>
      </c>
      <c r="Z327" s="6" t="s">
        <v>111</v>
      </c>
      <c r="AA327" s="6" t="s">
        <v>92</v>
      </c>
      <c r="AB327" s="6">
        <v>2131.75</v>
      </c>
      <c r="AC327" s="6">
        <v>450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1270</v>
      </c>
      <c r="AJ327" s="6" t="s">
        <v>436</v>
      </c>
      <c r="AK327" s="6" t="s">
        <v>13</v>
      </c>
      <c r="AL327" s="6" t="s">
        <v>60</v>
      </c>
      <c r="AM327" s="6" t="s">
        <v>437</v>
      </c>
      <c r="AN327" s="6" t="s">
        <v>28</v>
      </c>
      <c r="AO327" s="6" t="s">
        <v>253</v>
      </c>
      <c r="AP327" s="6" t="s">
        <v>480</v>
      </c>
      <c r="AQ327" s="6" t="s">
        <v>43</v>
      </c>
    </row>
    <row r="328" spans="1:43" hidden="1" x14ac:dyDescent="0.25">
      <c r="A328" s="6">
        <v>22695720</v>
      </c>
      <c r="B328" s="6">
        <v>23498571</v>
      </c>
      <c r="C328" s="6" t="s">
        <v>241</v>
      </c>
      <c r="D328" s="14">
        <v>45875.766840277778</v>
      </c>
      <c r="E328" s="14">
        <v>45875.778993055559</v>
      </c>
      <c r="F328" s="6" t="s">
        <v>19</v>
      </c>
      <c r="G328" s="6" t="s">
        <v>19</v>
      </c>
      <c r="H328" s="6" t="s">
        <v>1272</v>
      </c>
      <c r="I328" s="6" t="s">
        <v>13</v>
      </c>
      <c r="J328" s="6" t="s">
        <v>1273</v>
      </c>
      <c r="K328" s="6" t="s">
        <v>1274</v>
      </c>
      <c r="L328" s="6" t="s">
        <v>1274</v>
      </c>
      <c r="M328" s="14">
        <v>45869.81527777778</v>
      </c>
      <c r="N328" s="6">
        <v>4575390</v>
      </c>
      <c r="O328" s="6" t="s">
        <v>92</v>
      </c>
      <c r="P328" s="6" t="s">
        <v>453</v>
      </c>
      <c r="Q328" s="6" t="s">
        <v>428</v>
      </c>
      <c r="R328" s="6" t="s">
        <v>477</v>
      </c>
      <c r="S328" s="6" t="s">
        <v>7</v>
      </c>
      <c r="T328" s="6" t="s">
        <v>248</v>
      </c>
      <c r="U328" s="6" t="s">
        <v>192</v>
      </c>
      <c r="V328" s="6" t="s">
        <v>1275</v>
      </c>
      <c r="W328" s="6" t="s">
        <v>92</v>
      </c>
      <c r="X328" s="6" t="s">
        <v>285</v>
      </c>
      <c r="Y328" s="6">
        <v>2971575248</v>
      </c>
      <c r="Z328" s="6" t="s">
        <v>111</v>
      </c>
      <c r="AA328" s="6" t="s">
        <v>92</v>
      </c>
      <c r="AB328" s="6">
        <v>4802.1138000000001</v>
      </c>
      <c r="AC328" s="6">
        <v>414.37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1276</v>
      </c>
      <c r="AJ328" s="6" t="s">
        <v>1277</v>
      </c>
      <c r="AK328" s="6" t="s">
        <v>13</v>
      </c>
      <c r="AL328" s="6" t="s">
        <v>57</v>
      </c>
      <c r="AM328" s="6" t="s">
        <v>288</v>
      </c>
      <c r="AN328" s="6" t="s">
        <v>28</v>
      </c>
      <c r="AO328" s="6" t="s">
        <v>253</v>
      </c>
      <c r="AP328" s="6" t="s">
        <v>480</v>
      </c>
      <c r="AQ328" s="6" t="s">
        <v>43</v>
      </c>
    </row>
    <row r="329" spans="1:43" hidden="1" x14ac:dyDescent="0.25">
      <c r="A329" s="6">
        <v>22703539</v>
      </c>
      <c r="B329" s="6">
        <v>23505633</v>
      </c>
      <c r="C329" s="6" t="s">
        <v>241</v>
      </c>
      <c r="D329" s="14">
        <v>45876.788668981477</v>
      </c>
      <c r="E329" s="14">
        <v>45876.800115740742</v>
      </c>
      <c r="F329" s="6" t="s">
        <v>19</v>
      </c>
      <c r="G329" s="6" t="s">
        <v>19</v>
      </c>
      <c r="H329" s="6" t="s">
        <v>1278</v>
      </c>
      <c r="I329" s="6" t="s">
        <v>13</v>
      </c>
      <c r="J329" s="6" t="s">
        <v>1279</v>
      </c>
      <c r="K329" s="6" t="s">
        <v>1280</v>
      </c>
      <c r="L329" s="6" t="s">
        <v>1280</v>
      </c>
      <c r="M329" s="14">
        <v>45876.791666666657</v>
      </c>
      <c r="N329" s="6">
        <v>4577083</v>
      </c>
      <c r="O329" s="6" t="s">
        <v>92</v>
      </c>
      <c r="P329" s="6" t="s">
        <v>245</v>
      </c>
      <c r="Q329" s="6" t="s">
        <v>428</v>
      </c>
      <c r="R329" s="6" t="s">
        <v>477</v>
      </c>
      <c r="S329" s="6" t="s">
        <v>7</v>
      </c>
      <c r="T329" s="6" t="s">
        <v>248</v>
      </c>
      <c r="U329" s="6" t="s">
        <v>1281</v>
      </c>
      <c r="V329" s="6" t="s">
        <v>1282</v>
      </c>
      <c r="W329" s="6" t="s">
        <v>92</v>
      </c>
      <c r="X329" s="6" t="s">
        <v>410</v>
      </c>
      <c r="Y329" s="6">
        <v>2971592843</v>
      </c>
      <c r="Z329" s="6" t="s">
        <v>111</v>
      </c>
      <c r="AA329" s="6" t="s">
        <v>92</v>
      </c>
      <c r="AB329" s="6">
        <v>8388.1985999999997</v>
      </c>
      <c r="AC329" s="6">
        <v>1276.25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1283</v>
      </c>
      <c r="AJ329" s="6" t="s">
        <v>897</v>
      </c>
      <c r="AK329" s="6" t="s">
        <v>13</v>
      </c>
      <c r="AL329" s="6" t="s">
        <v>68</v>
      </c>
      <c r="AM329" s="6" t="s">
        <v>67</v>
      </c>
      <c r="AN329" s="6" t="s">
        <v>22</v>
      </c>
      <c r="AO329" s="6" t="s">
        <v>253</v>
      </c>
      <c r="AP329" s="6" t="s">
        <v>254</v>
      </c>
      <c r="AQ329" s="6" t="s">
        <v>45</v>
      </c>
    </row>
    <row r="330" spans="1:43" hidden="1" x14ac:dyDescent="0.25">
      <c r="A330" s="6">
        <v>22703733</v>
      </c>
      <c r="B330" s="6">
        <v>23505821</v>
      </c>
      <c r="C330" s="6" t="s">
        <v>241</v>
      </c>
      <c r="D330" s="14">
        <v>45876.796111111107</v>
      </c>
      <c r="E330" s="14">
        <v>45876.806516203702</v>
      </c>
      <c r="F330" s="6" t="s">
        <v>19</v>
      </c>
      <c r="G330" s="6" t="s">
        <v>19</v>
      </c>
      <c r="H330" s="6" t="s">
        <v>1284</v>
      </c>
      <c r="I330" s="6" t="s">
        <v>13</v>
      </c>
      <c r="J330" s="6" t="s">
        <v>1285</v>
      </c>
      <c r="K330" s="6" t="s">
        <v>1280</v>
      </c>
      <c r="L330" s="6" t="s">
        <v>1280</v>
      </c>
      <c r="M330" s="14">
        <v>45876.627083333333</v>
      </c>
      <c r="N330" s="6">
        <v>4577084</v>
      </c>
      <c r="O330" s="6" t="s">
        <v>92</v>
      </c>
      <c r="P330" s="6" t="s">
        <v>245</v>
      </c>
      <c r="Q330" s="6" t="s">
        <v>428</v>
      </c>
      <c r="R330" s="6" t="s">
        <v>477</v>
      </c>
      <c r="S330" s="6" t="s">
        <v>7</v>
      </c>
      <c r="T330" s="6" t="s">
        <v>248</v>
      </c>
      <c r="U330" s="6" t="s">
        <v>1281</v>
      </c>
      <c r="V330" s="6" t="s">
        <v>1282</v>
      </c>
      <c r="W330" s="6" t="s">
        <v>92</v>
      </c>
      <c r="X330" s="6" t="s">
        <v>410</v>
      </c>
      <c r="Y330" s="6">
        <v>2971592842</v>
      </c>
      <c r="Z330" s="6" t="s">
        <v>111</v>
      </c>
      <c r="AA330" s="6" t="s">
        <v>92</v>
      </c>
      <c r="AB330" s="6">
        <v>8388.1985999999997</v>
      </c>
      <c r="AC330" s="6">
        <v>1276.25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1286</v>
      </c>
      <c r="AJ330" s="6" t="s">
        <v>897</v>
      </c>
      <c r="AK330" s="6" t="s">
        <v>13</v>
      </c>
      <c r="AL330" s="6" t="s">
        <v>68</v>
      </c>
      <c r="AM330" s="6" t="s">
        <v>67</v>
      </c>
      <c r="AN330" s="6" t="s">
        <v>22</v>
      </c>
      <c r="AO330" s="6" t="s">
        <v>253</v>
      </c>
      <c r="AP330" s="6" t="s">
        <v>254</v>
      </c>
      <c r="AQ330" s="6" t="s">
        <v>45</v>
      </c>
    </row>
    <row r="331" spans="1:43" hidden="1" x14ac:dyDescent="0.25">
      <c r="A331" s="6">
        <v>22703735</v>
      </c>
      <c r="B331" s="6">
        <v>23505823</v>
      </c>
      <c r="C331" s="6" t="s">
        <v>241</v>
      </c>
      <c r="D331" s="14">
        <v>45876.79614583333</v>
      </c>
      <c r="E331" s="14">
        <v>45876.806539351863</v>
      </c>
      <c r="F331" s="6" t="s">
        <v>19</v>
      </c>
      <c r="G331" s="6" t="s">
        <v>19</v>
      </c>
      <c r="H331" s="6" t="s">
        <v>1287</v>
      </c>
      <c r="I331" s="6" t="s">
        <v>13</v>
      </c>
      <c r="J331" s="6" t="s">
        <v>1288</v>
      </c>
      <c r="K331" s="6" t="s">
        <v>1280</v>
      </c>
      <c r="L331" s="6" t="s">
        <v>1280</v>
      </c>
      <c r="M331" s="14">
        <v>45876.791666666657</v>
      </c>
      <c r="N331" s="6">
        <v>4577087</v>
      </c>
      <c r="O331" s="6" t="s">
        <v>92</v>
      </c>
      <c r="P331" s="6" t="s">
        <v>245</v>
      </c>
      <c r="Q331" s="6" t="s">
        <v>428</v>
      </c>
      <c r="R331" s="6" t="s">
        <v>477</v>
      </c>
      <c r="S331" s="6" t="s">
        <v>7</v>
      </c>
      <c r="T331" s="6" t="s">
        <v>248</v>
      </c>
      <c r="U331" s="6" t="s">
        <v>1281</v>
      </c>
      <c r="V331" s="6" t="s">
        <v>1282</v>
      </c>
      <c r="W331" s="6" t="s">
        <v>92</v>
      </c>
      <c r="X331" s="6" t="s">
        <v>410</v>
      </c>
      <c r="Y331" s="6">
        <v>2971592841</v>
      </c>
      <c r="Z331" s="6" t="s">
        <v>111</v>
      </c>
      <c r="AA331" s="6" t="s">
        <v>92</v>
      </c>
      <c r="AB331" s="6">
        <v>8388.1985999999997</v>
      </c>
      <c r="AC331" s="6">
        <v>1276.47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1289</v>
      </c>
      <c r="AJ331" s="6" t="s">
        <v>897</v>
      </c>
      <c r="AK331" s="6" t="s">
        <v>13</v>
      </c>
      <c r="AL331" s="6" t="s">
        <v>68</v>
      </c>
      <c r="AM331" s="6" t="s">
        <v>67</v>
      </c>
      <c r="AN331" s="6" t="s">
        <v>22</v>
      </c>
      <c r="AO331" s="6" t="s">
        <v>253</v>
      </c>
      <c r="AP331" s="6" t="s">
        <v>254</v>
      </c>
      <c r="AQ331" s="6" t="s">
        <v>45</v>
      </c>
    </row>
    <row r="332" spans="1:43" hidden="1" x14ac:dyDescent="0.25">
      <c r="A332" s="6">
        <v>22704249</v>
      </c>
      <c r="B332" s="6">
        <v>23506282</v>
      </c>
      <c r="C332" s="6" t="s">
        <v>241</v>
      </c>
      <c r="D332" s="14">
        <v>45876.850324074083</v>
      </c>
      <c r="E332" s="14">
        <v>45876.861585648148</v>
      </c>
      <c r="F332" s="6" t="s">
        <v>19</v>
      </c>
      <c r="G332" s="6" t="s">
        <v>19</v>
      </c>
      <c r="H332" s="6" t="s">
        <v>1290</v>
      </c>
      <c r="I332" s="6" t="s">
        <v>13</v>
      </c>
      <c r="J332" s="6" t="s">
        <v>1291</v>
      </c>
      <c r="K332" s="6" t="s">
        <v>1280</v>
      </c>
      <c r="L332" s="6" t="s">
        <v>1280</v>
      </c>
      <c r="M332" s="14">
        <v>45876.791666666657</v>
      </c>
      <c r="N332" s="6">
        <v>4577081</v>
      </c>
      <c r="O332" s="6" t="s">
        <v>92</v>
      </c>
      <c r="P332" s="6" t="s">
        <v>245</v>
      </c>
      <c r="Q332" s="6" t="s">
        <v>428</v>
      </c>
      <c r="R332" s="6" t="s">
        <v>477</v>
      </c>
      <c r="S332" s="6" t="s">
        <v>7</v>
      </c>
      <c r="T332" s="6" t="s">
        <v>248</v>
      </c>
      <c r="U332" s="6" t="s">
        <v>1281</v>
      </c>
      <c r="V332" s="6" t="s">
        <v>1282</v>
      </c>
      <c r="W332" s="6" t="s">
        <v>92</v>
      </c>
      <c r="X332" s="6" t="s">
        <v>410</v>
      </c>
      <c r="Y332" s="6">
        <v>2971325509</v>
      </c>
      <c r="Z332" s="6" t="s">
        <v>111</v>
      </c>
      <c r="AA332" s="6" t="s">
        <v>92</v>
      </c>
      <c r="AB332" s="6">
        <v>8388.1985999999997</v>
      </c>
      <c r="AC332" s="6">
        <v>1276.25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1292</v>
      </c>
      <c r="AJ332" s="6" t="s">
        <v>897</v>
      </c>
      <c r="AK332" s="6" t="s">
        <v>13</v>
      </c>
      <c r="AL332" s="6" t="s">
        <v>68</v>
      </c>
      <c r="AM332" s="6" t="s">
        <v>67</v>
      </c>
      <c r="AN332" s="6" t="s">
        <v>22</v>
      </c>
      <c r="AO332" s="6" t="s">
        <v>253</v>
      </c>
      <c r="AP332" s="6" t="s">
        <v>254</v>
      </c>
      <c r="AQ332" s="6" t="s">
        <v>45</v>
      </c>
    </row>
    <row r="333" spans="1:43" hidden="1" x14ac:dyDescent="0.25">
      <c r="A333" s="6">
        <v>22621072</v>
      </c>
      <c r="B333" s="6">
        <v>23436532</v>
      </c>
      <c r="C333" s="6" t="s">
        <v>241</v>
      </c>
      <c r="D333" s="14">
        <v>45862.774305555547</v>
      </c>
      <c r="E333" s="14">
        <v>45862.809618055559</v>
      </c>
      <c r="F333" s="6" t="s">
        <v>25</v>
      </c>
      <c r="G333" s="6" t="s">
        <v>25</v>
      </c>
      <c r="H333" s="6" t="s">
        <v>1293</v>
      </c>
      <c r="I333" s="6" t="s">
        <v>259</v>
      </c>
      <c r="J333" s="6" t="s">
        <v>1294</v>
      </c>
      <c r="K333" s="6" t="s">
        <v>1295</v>
      </c>
      <c r="L333" s="6" t="s">
        <v>1295</v>
      </c>
      <c r="M333" s="14">
        <v>45862.668055555558</v>
      </c>
      <c r="N333" s="6">
        <v>73566</v>
      </c>
      <c r="O333" s="6" t="s">
        <v>92</v>
      </c>
      <c r="P333" s="6" t="s">
        <v>245</v>
      </c>
      <c r="Q333" s="6" t="s">
        <v>246</v>
      </c>
      <c r="R333" s="6" t="s">
        <v>247</v>
      </c>
      <c r="S333" s="6" t="s">
        <v>3</v>
      </c>
      <c r="T333" s="6" t="s">
        <v>248</v>
      </c>
      <c r="U333" s="6" t="s">
        <v>137</v>
      </c>
      <c r="V333" s="6" t="s">
        <v>1296</v>
      </c>
      <c r="W333" s="6" t="s">
        <v>92</v>
      </c>
      <c r="X333" s="6" t="s">
        <v>92</v>
      </c>
      <c r="Y333" s="6" t="s">
        <v>92</v>
      </c>
      <c r="Z333" s="6" t="s">
        <v>86</v>
      </c>
      <c r="AA333" s="6" t="s">
        <v>92</v>
      </c>
      <c r="AB333" s="6">
        <v>15732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1297</v>
      </c>
      <c r="AJ333" s="6" t="s">
        <v>264</v>
      </c>
      <c r="AK333" s="6" t="s">
        <v>12</v>
      </c>
      <c r="AL333" s="6" t="s">
        <v>56</v>
      </c>
      <c r="AM333" s="6" t="s">
        <v>265</v>
      </c>
      <c r="AN333" s="6" t="s">
        <v>22</v>
      </c>
      <c r="AO333" s="6" t="s">
        <v>253</v>
      </c>
      <c r="AP333" s="6" t="s">
        <v>254</v>
      </c>
      <c r="AQ333" s="6" t="s">
        <v>20</v>
      </c>
    </row>
    <row r="334" spans="1:43" hidden="1" x14ac:dyDescent="0.25">
      <c r="A334" s="6">
        <v>22624843</v>
      </c>
      <c r="B334" s="6">
        <v>23439592</v>
      </c>
      <c r="C334" s="6" t="s">
        <v>241</v>
      </c>
      <c r="D334" s="14">
        <v>45863.514849537038</v>
      </c>
      <c r="E334" s="14">
        <v>45863.535636574074</v>
      </c>
      <c r="F334" s="6" t="s">
        <v>25</v>
      </c>
      <c r="G334" s="6" t="s">
        <v>25</v>
      </c>
      <c r="H334" s="6" t="s">
        <v>1298</v>
      </c>
      <c r="I334" s="6" t="s">
        <v>259</v>
      </c>
      <c r="J334" s="6" t="s">
        <v>1294</v>
      </c>
      <c r="K334" s="6" t="s">
        <v>1295</v>
      </c>
      <c r="L334" s="6" t="s">
        <v>1295</v>
      </c>
      <c r="M334" s="14">
        <v>45863.459722222222</v>
      </c>
      <c r="N334" s="6">
        <v>73594</v>
      </c>
      <c r="O334" s="6" t="s">
        <v>92</v>
      </c>
      <c r="P334" s="6" t="s">
        <v>245</v>
      </c>
      <c r="Q334" s="6" t="s">
        <v>246</v>
      </c>
      <c r="R334" s="6" t="s">
        <v>247</v>
      </c>
      <c r="S334" s="6" t="s">
        <v>3</v>
      </c>
      <c r="T334" s="6" t="s">
        <v>248</v>
      </c>
      <c r="U334" s="6" t="s">
        <v>137</v>
      </c>
      <c r="V334" s="6" t="s">
        <v>1296</v>
      </c>
      <c r="W334" s="6" t="s">
        <v>92</v>
      </c>
      <c r="X334" s="6" t="s">
        <v>92</v>
      </c>
      <c r="Y334" s="6" t="s">
        <v>92</v>
      </c>
      <c r="Z334" s="6" t="s">
        <v>86</v>
      </c>
      <c r="AA334" s="6" t="s">
        <v>92</v>
      </c>
      <c r="AB334" s="6">
        <v>7475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1299</v>
      </c>
      <c r="AJ334" s="6" t="s">
        <v>264</v>
      </c>
      <c r="AK334" s="6" t="s">
        <v>12</v>
      </c>
      <c r="AL334" s="6" t="s">
        <v>56</v>
      </c>
      <c r="AM334" s="6" t="s">
        <v>265</v>
      </c>
      <c r="AN334" s="6" t="s">
        <v>22</v>
      </c>
      <c r="AO334" s="6" t="s">
        <v>253</v>
      </c>
      <c r="AP334" s="6" t="s">
        <v>254</v>
      </c>
      <c r="AQ334" s="6" t="s">
        <v>20</v>
      </c>
    </row>
    <row r="335" spans="1:43" hidden="1" x14ac:dyDescent="0.25">
      <c r="A335" s="6">
        <v>22567713</v>
      </c>
      <c r="B335" s="6">
        <v>23392097</v>
      </c>
      <c r="C335" s="6" t="s">
        <v>241</v>
      </c>
      <c r="D335" s="14">
        <v>45853.780347222222</v>
      </c>
      <c r="E335" s="14">
        <v>45853.820162037038</v>
      </c>
      <c r="F335" s="47" t="s">
        <v>29</v>
      </c>
      <c r="G335" s="47" t="s">
        <v>29</v>
      </c>
      <c r="H335" s="6" t="s">
        <v>1300</v>
      </c>
      <c r="I335" s="6" t="s">
        <v>259</v>
      </c>
      <c r="J335" s="6" t="s">
        <v>1301</v>
      </c>
      <c r="K335" s="6" t="s">
        <v>665</v>
      </c>
      <c r="L335" s="6" t="s">
        <v>665</v>
      </c>
      <c r="M335" s="14">
        <v>45853.56527777778</v>
      </c>
      <c r="N335" s="6">
        <v>71529</v>
      </c>
      <c r="O335" s="6" t="s">
        <v>92</v>
      </c>
      <c r="P335" s="6" t="s">
        <v>245</v>
      </c>
      <c r="Q335" s="6" t="s">
        <v>246</v>
      </c>
      <c r="R335" s="6" t="s">
        <v>247</v>
      </c>
      <c r="S335" s="6" t="s">
        <v>3</v>
      </c>
      <c r="T335" s="6" t="s">
        <v>248</v>
      </c>
      <c r="U335" s="6" t="s">
        <v>137</v>
      </c>
      <c r="V335" s="6" t="s">
        <v>1296</v>
      </c>
      <c r="W335" s="6" t="s">
        <v>92</v>
      </c>
      <c r="X335" s="6" t="s">
        <v>92</v>
      </c>
      <c r="Y335" s="6" t="s">
        <v>92</v>
      </c>
      <c r="Z335" s="6" t="s">
        <v>86</v>
      </c>
      <c r="AA335" s="6" t="s">
        <v>92</v>
      </c>
      <c r="AB335" s="6">
        <v>1175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1302</v>
      </c>
      <c r="AJ335" s="6" t="s">
        <v>264</v>
      </c>
      <c r="AK335" s="6" t="s">
        <v>12</v>
      </c>
      <c r="AL335" s="6" t="s">
        <v>56</v>
      </c>
      <c r="AM335" s="6" t="s">
        <v>265</v>
      </c>
      <c r="AN335" s="6" t="s">
        <v>22</v>
      </c>
      <c r="AO335" s="6" t="s">
        <v>253</v>
      </c>
      <c r="AP335" s="6" t="s">
        <v>254</v>
      </c>
      <c r="AQ335" s="6" t="s">
        <v>20</v>
      </c>
    </row>
    <row r="336" spans="1:43" hidden="1" x14ac:dyDescent="0.25">
      <c r="A336" s="6">
        <v>22705093</v>
      </c>
      <c r="B336" s="6">
        <v>23507042</v>
      </c>
      <c r="C336" s="6" t="s">
        <v>241</v>
      </c>
      <c r="D336" s="14">
        <v>45877.00744212963</v>
      </c>
      <c r="E336" s="14">
        <v>45877.258125</v>
      </c>
      <c r="F336" s="6" t="s">
        <v>19</v>
      </c>
      <c r="G336" s="6" t="s">
        <v>19</v>
      </c>
      <c r="H336" s="6" t="s">
        <v>1303</v>
      </c>
      <c r="I336" s="6" t="s">
        <v>259</v>
      </c>
      <c r="J336" s="6" t="s">
        <v>1304</v>
      </c>
      <c r="K336" s="6" t="s">
        <v>665</v>
      </c>
      <c r="L336" s="6" t="s">
        <v>665</v>
      </c>
      <c r="M336" s="14">
        <v>45876.54583333333</v>
      </c>
      <c r="N336" s="6">
        <v>75313</v>
      </c>
      <c r="O336" s="6" t="s">
        <v>92</v>
      </c>
      <c r="P336" s="6" t="s">
        <v>245</v>
      </c>
      <c r="Q336" s="6" t="s">
        <v>246</v>
      </c>
      <c r="R336" s="6" t="s">
        <v>247</v>
      </c>
      <c r="S336" s="6" t="s">
        <v>3</v>
      </c>
      <c r="T336" s="6" t="s">
        <v>248</v>
      </c>
      <c r="U336" s="6" t="s">
        <v>137</v>
      </c>
      <c r="V336" s="6" t="s">
        <v>1305</v>
      </c>
      <c r="W336" s="6" t="s">
        <v>92</v>
      </c>
      <c r="X336" s="6" t="s">
        <v>92</v>
      </c>
      <c r="Y336" s="6" t="s">
        <v>92</v>
      </c>
      <c r="Z336" s="6" t="s">
        <v>86</v>
      </c>
      <c r="AA336" s="6" t="s">
        <v>92</v>
      </c>
      <c r="AB336" s="6">
        <v>97.02</v>
      </c>
      <c r="AC336" s="6">
        <v>15.52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1306</v>
      </c>
      <c r="AJ336" s="6" t="s">
        <v>264</v>
      </c>
      <c r="AK336" s="6" t="s">
        <v>12</v>
      </c>
      <c r="AL336" s="6" t="s">
        <v>56</v>
      </c>
      <c r="AM336" s="6" t="s">
        <v>265</v>
      </c>
      <c r="AN336" s="6" t="s">
        <v>22</v>
      </c>
      <c r="AO336" s="6" t="s">
        <v>253</v>
      </c>
      <c r="AP336" s="6" t="s">
        <v>254</v>
      </c>
      <c r="AQ336" s="6" t="s">
        <v>20</v>
      </c>
    </row>
    <row r="337" spans="1:43" hidden="1" x14ac:dyDescent="0.25">
      <c r="A337" s="6">
        <v>22678463</v>
      </c>
      <c r="B337" s="6">
        <v>23483036</v>
      </c>
      <c r="C337" s="6" t="s">
        <v>241</v>
      </c>
      <c r="D337" s="14">
        <v>45873.518078703702</v>
      </c>
      <c r="E337" s="14">
        <v>45873.540613425917</v>
      </c>
      <c r="F337" s="6" t="s">
        <v>21</v>
      </c>
      <c r="G337" s="6" t="s">
        <v>21</v>
      </c>
      <c r="H337" s="6" t="s">
        <v>1307</v>
      </c>
      <c r="I337" s="6" t="s">
        <v>259</v>
      </c>
      <c r="J337" s="6" t="s">
        <v>1308</v>
      </c>
      <c r="K337" s="6" t="s">
        <v>1309</v>
      </c>
      <c r="L337" s="6" t="s">
        <v>1309</v>
      </c>
      <c r="M337" s="14">
        <v>45873.479166666657</v>
      </c>
      <c r="N337" s="6">
        <v>74380</v>
      </c>
      <c r="O337" s="6" t="s">
        <v>92</v>
      </c>
      <c r="P337" s="6" t="s">
        <v>245</v>
      </c>
      <c r="Q337" s="6" t="s">
        <v>246</v>
      </c>
      <c r="R337" s="6" t="s">
        <v>247</v>
      </c>
      <c r="S337" s="6" t="s">
        <v>3</v>
      </c>
      <c r="T337" s="6" t="s">
        <v>248</v>
      </c>
      <c r="U337" s="6" t="s">
        <v>137</v>
      </c>
      <c r="V337" s="6" t="s">
        <v>1310</v>
      </c>
      <c r="W337" s="6" t="s">
        <v>92</v>
      </c>
      <c r="X337" s="6" t="s">
        <v>92</v>
      </c>
      <c r="Y337" s="6" t="s">
        <v>92</v>
      </c>
      <c r="Z337" s="6" t="s">
        <v>86</v>
      </c>
      <c r="AA337" s="6" t="s">
        <v>92</v>
      </c>
      <c r="AB337" s="6">
        <v>590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1311</v>
      </c>
      <c r="AJ337" s="6" t="s">
        <v>264</v>
      </c>
      <c r="AK337" s="6" t="s">
        <v>12</v>
      </c>
      <c r="AL337" s="6" t="s">
        <v>56</v>
      </c>
      <c r="AM337" s="6" t="s">
        <v>265</v>
      </c>
      <c r="AN337" s="6" t="s">
        <v>22</v>
      </c>
      <c r="AO337" s="6" t="s">
        <v>253</v>
      </c>
      <c r="AP337" s="6" t="s">
        <v>254</v>
      </c>
      <c r="AQ337" s="6" t="s">
        <v>20</v>
      </c>
    </row>
    <row r="338" spans="1:43" hidden="1" x14ac:dyDescent="0.25">
      <c r="A338" s="6">
        <v>22666296</v>
      </c>
      <c r="B338" s="6">
        <v>23474141</v>
      </c>
      <c r="C338" s="6" t="s">
        <v>241</v>
      </c>
      <c r="D338" s="14">
        <v>45870.74015046296</v>
      </c>
      <c r="E338" s="14">
        <v>45874.315081018518</v>
      </c>
      <c r="F338" s="6" t="s">
        <v>21</v>
      </c>
      <c r="G338" s="6" t="s">
        <v>23</v>
      </c>
      <c r="H338" s="6" t="s">
        <v>1312</v>
      </c>
      <c r="I338" s="6" t="s">
        <v>17</v>
      </c>
      <c r="J338" s="6" t="s">
        <v>1313</v>
      </c>
      <c r="K338" s="6" t="s">
        <v>894</v>
      </c>
      <c r="L338" s="6" t="s">
        <v>894</v>
      </c>
      <c r="M338" s="14">
        <v>45870.400694444441</v>
      </c>
      <c r="N338" s="6" t="s">
        <v>1314</v>
      </c>
      <c r="O338" s="6" t="s">
        <v>92</v>
      </c>
      <c r="P338" s="6" t="s">
        <v>453</v>
      </c>
      <c r="Q338" s="6" t="s">
        <v>428</v>
      </c>
      <c r="R338" s="6" t="s">
        <v>477</v>
      </c>
      <c r="S338" s="6" t="s">
        <v>7</v>
      </c>
      <c r="T338" s="6" t="s">
        <v>248</v>
      </c>
      <c r="U338" s="6" t="s">
        <v>122</v>
      </c>
      <c r="V338" s="6" t="s">
        <v>1315</v>
      </c>
      <c r="W338" s="6" t="s">
        <v>92</v>
      </c>
      <c r="X338" s="6" t="s">
        <v>455</v>
      </c>
      <c r="Y338" s="6">
        <v>7700074761</v>
      </c>
      <c r="Z338" s="6" t="s">
        <v>73</v>
      </c>
      <c r="AA338" s="6" t="s">
        <v>92</v>
      </c>
      <c r="AB338" s="6">
        <v>1742.91</v>
      </c>
      <c r="AC338" s="6">
        <v>31.44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456</v>
      </c>
      <c r="AJ338" s="6" t="s">
        <v>1316</v>
      </c>
      <c r="AK338" s="6" t="s">
        <v>17</v>
      </c>
      <c r="AL338" s="6" t="s">
        <v>61</v>
      </c>
      <c r="AM338" s="6" t="s">
        <v>67</v>
      </c>
      <c r="AN338" s="6" t="s">
        <v>22</v>
      </c>
      <c r="AO338" s="6" t="s">
        <v>253</v>
      </c>
      <c r="AP338" s="6" t="s">
        <v>254</v>
      </c>
      <c r="AQ338" s="6" t="s">
        <v>20</v>
      </c>
    </row>
    <row r="339" spans="1:43" hidden="1" x14ac:dyDescent="0.25">
      <c r="A339" s="6">
        <v>22679705</v>
      </c>
      <c r="B339" s="6">
        <v>23484160</v>
      </c>
      <c r="C339" s="6" t="s">
        <v>241</v>
      </c>
      <c r="D339" s="14">
        <v>45873.677685185183</v>
      </c>
      <c r="E339" s="14">
        <v>45874.31527777778</v>
      </c>
      <c r="F339" s="6" t="s">
        <v>21</v>
      </c>
      <c r="G339" s="6" t="s">
        <v>21</v>
      </c>
      <c r="H339" s="6" t="s">
        <v>1317</v>
      </c>
      <c r="I339" s="6" t="s">
        <v>17</v>
      </c>
      <c r="J339" s="6" t="s">
        <v>1318</v>
      </c>
      <c r="K339" s="6" t="s">
        <v>894</v>
      </c>
      <c r="L339" s="6" t="s">
        <v>894</v>
      </c>
      <c r="M339" s="14">
        <v>45873.504861111112</v>
      </c>
      <c r="N339" s="6" t="s">
        <v>1319</v>
      </c>
      <c r="O339" s="6" t="s">
        <v>92</v>
      </c>
      <c r="P339" s="6" t="s">
        <v>453</v>
      </c>
      <c r="Q339" s="6" t="s">
        <v>428</v>
      </c>
      <c r="R339" s="6" t="s">
        <v>477</v>
      </c>
      <c r="S339" s="6" t="s">
        <v>7</v>
      </c>
      <c r="T339" s="6" t="s">
        <v>248</v>
      </c>
      <c r="U339" s="6" t="s">
        <v>122</v>
      </c>
      <c r="V339" s="6" t="s">
        <v>1315</v>
      </c>
      <c r="W339" s="6" t="s">
        <v>92</v>
      </c>
      <c r="X339" s="6" t="s">
        <v>455</v>
      </c>
      <c r="Y339" s="6">
        <v>7700074822</v>
      </c>
      <c r="Z339" s="6" t="s">
        <v>73</v>
      </c>
      <c r="AA339" s="6" t="s">
        <v>92</v>
      </c>
      <c r="AB339" s="6">
        <v>1732.87</v>
      </c>
      <c r="AC339" s="6">
        <v>108.92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456</v>
      </c>
      <c r="AJ339" s="6" t="s">
        <v>1316</v>
      </c>
      <c r="AK339" s="6" t="s">
        <v>17</v>
      </c>
      <c r="AL339" s="6" t="s">
        <v>61</v>
      </c>
      <c r="AM339" s="6" t="s">
        <v>67</v>
      </c>
      <c r="AN339" s="6" t="s">
        <v>22</v>
      </c>
      <c r="AO339" s="6" t="s">
        <v>253</v>
      </c>
      <c r="AP339" s="6" t="s">
        <v>254</v>
      </c>
      <c r="AQ339" s="6" t="s">
        <v>20</v>
      </c>
    </row>
    <row r="340" spans="1:43" hidden="1" x14ac:dyDescent="0.25">
      <c r="A340" s="6">
        <v>22679705</v>
      </c>
      <c r="B340" s="6">
        <v>23484497</v>
      </c>
      <c r="C340" s="6" t="s">
        <v>255</v>
      </c>
      <c r="D340" s="14">
        <v>45873.677685185183</v>
      </c>
      <c r="E340" s="14">
        <v>45874.31527777778</v>
      </c>
      <c r="F340" s="6" t="s">
        <v>21</v>
      </c>
      <c r="G340" s="6" t="s">
        <v>21</v>
      </c>
      <c r="H340" s="6" t="s">
        <v>1317</v>
      </c>
      <c r="I340" s="6" t="s">
        <v>17</v>
      </c>
      <c r="J340" s="6" t="s">
        <v>1318</v>
      </c>
      <c r="K340" s="6" t="s">
        <v>894</v>
      </c>
      <c r="L340" s="6" t="s">
        <v>894</v>
      </c>
      <c r="M340" s="14">
        <v>45873.504861111112</v>
      </c>
      <c r="N340" s="6" t="s">
        <v>1319</v>
      </c>
      <c r="O340" s="6" t="s">
        <v>92</v>
      </c>
      <c r="P340" s="6" t="s">
        <v>453</v>
      </c>
      <c r="Q340" s="6" t="s">
        <v>428</v>
      </c>
      <c r="R340" s="6" t="s">
        <v>477</v>
      </c>
      <c r="S340" s="6" t="s">
        <v>7</v>
      </c>
      <c r="T340" s="6" t="s">
        <v>248</v>
      </c>
      <c r="U340" s="6" t="s">
        <v>122</v>
      </c>
      <c r="V340" s="6" t="s">
        <v>1315</v>
      </c>
      <c r="W340" s="6" t="s">
        <v>92</v>
      </c>
      <c r="X340" s="6" t="s">
        <v>455</v>
      </c>
      <c r="Y340" s="6">
        <v>2142674468</v>
      </c>
      <c r="Z340" s="6" t="s">
        <v>73</v>
      </c>
      <c r="AA340" s="6" t="s">
        <v>92</v>
      </c>
      <c r="AB340" s="6">
        <v>1732.87</v>
      </c>
      <c r="AC340" s="6">
        <v>108.92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456</v>
      </c>
      <c r="AJ340" s="6" t="s">
        <v>1316</v>
      </c>
      <c r="AK340" s="6" t="s">
        <v>17</v>
      </c>
      <c r="AL340" s="6" t="s">
        <v>61</v>
      </c>
      <c r="AM340" s="6" t="s">
        <v>67</v>
      </c>
      <c r="AN340" s="6" t="s">
        <v>22</v>
      </c>
      <c r="AO340" s="6" t="s">
        <v>253</v>
      </c>
      <c r="AP340" s="6" t="s">
        <v>254</v>
      </c>
      <c r="AQ340" s="6" t="s">
        <v>20</v>
      </c>
    </row>
    <row r="341" spans="1:43" hidden="1" x14ac:dyDescent="0.25">
      <c r="A341" s="6">
        <v>22693935</v>
      </c>
      <c r="B341" s="6">
        <v>23496816</v>
      </c>
      <c r="C341" s="6" t="s">
        <v>241</v>
      </c>
      <c r="D341" s="14">
        <v>45875.594733796293</v>
      </c>
      <c r="E341" s="14">
        <v>45875.596238425933</v>
      </c>
      <c r="F341" s="6" t="s">
        <v>19</v>
      </c>
      <c r="G341" s="6" t="s">
        <v>19</v>
      </c>
      <c r="H341" s="6" t="s">
        <v>1320</v>
      </c>
      <c r="I341" s="6" t="s">
        <v>17</v>
      </c>
      <c r="J341" s="6" t="s">
        <v>1321</v>
      </c>
      <c r="K341" s="6" t="s">
        <v>894</v>
      </c>
      <c r="L341" s="6" t="s">
        <v>894</v>
      </c>
      <c r="M341" s="14">
        <v>45875.48541666667</v>
      </c>
      <c r="N341" s="6" t="s">
        <v>1322</v>
      </c>
      <c r="O341" s="6" t="s">
        <v>92</v>
      </c>
      <c r="P341" s="6" t="s">
        <v>453</v>
      </c>
      <c r="Q341" s="6" t="s">
        <v>659</v>
      </c>
      <c r="R341" s="6" t="s">
        <v>659</v>
      </c>
      <c r="S341" s="6" t="s">
        <v>9</v>
      </c>
      <c r="T341" s="6" t="s">
        <v>248</v>
      </c>
      <c r="U341" s="6" t="s">
        <v>122</v>
      </c>
      <c r="V341" s="6" t="s">
        <v>1323</v>
      </c>
      <c r="W341" s="6" t="s">
        <v>92</v>
      </c>
      <c r="X341" s="6" t="s">
        <v>92</v>
      </c>
      <c r="Y341" s="6" t="s">
        <v>92</v>
      </c>
      <c r="Z341" s="6" t="s">
        <v>73</v>
      </c>
      <c r="AA341" s="6" t="s">
        <v>92</v>
      </c>
      <c r="AB341" s="6">
        <v>530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456</v>
      </c>
      <c r="AJ341" s="6" t="s">
        <v>264</v>
      </c>
      <c r="AK341" s="6" t="s">
        <v>17</v>
      </c>
      <c r="AL341" s="6" t="s">
        <v>56</v>
      </c>
      <c r="AM341" s="6" t="s">
        <v>265</v>
      </c>
      <c r="AN341" s="6" t="s">
        <v>22</v>
      </c>
      <c r="AO341" s="6" t="s">
        <v>662</v>
      </c>
      <c r="AP341" s="6" t="s">
        <v>480</v>
      </c>
      <c r="AQ341" s="6" t="s">
        <v>39</v>
      </c>
    </row>
    <row r="342" spans="1:43" x14ac:dyDescent="0.25">
      <c r="A342" s="6">
        <v>22693936</v>
      </c>
      <c r="B342" s="6">
        <v>23496817</v>
      </c>
      <c r="C342" s="6" t="s">
        <v>241</v>
      </c>
      <c r="D342" s="14">
        <v>45875.59479166667</v>
      </c>
      <c r="E342" s="14">
        <v>45875.596250000002</v>
      </c>
      <c r="F342" s="6" t="s">
        <v>19</v>
      </c>
      <c r="G342" s="6" t="s">
        <v>19</v>
      </c>
      <c r="H342" s="6" t="s">
        <v>1324</v>
      </c>
      <c r="I342" s="6" t="s">
        <v>17</v>
      </c>
      <c r="J342" s="6" t="s">
        <v>1325</v>
      </c>
      <c r="K342" s="6" t="s">
        <v>894</v>
      </c>
      <c r="L342" s="6" t="s">
        <v>894</v>
      </c>
      <c r="M342" s="14">
        <v>45875.488888888889</v>
      </c>
      <c r="N342" s="6" t="s">
        <v>1326</v>
      </c>
      <c r="O342" s="6" t="s">
        <v>92</v>
      </c>
      <c r="P342" s="6" t="s">
        <v>453</v>
      </c>
      <c r="Q342" s="6" t="s">
        <v>659</v>
      </c>
      <c r="R342" s="6" t="s">
        <v>659</v>
      </c>
      <c r="S342" s="6" t="s">
        <v>9</v>
      </c>
      <c r="T342" s="6" t="s">
        <v>248</v>
      </c>
      <c r="U342" s="6" t="s">
        <v>122</v>
      </c>
      <c r="V342" s="6" t="s">
        <v>1323</v>
      </c>
      <c r="W342" s="6" t="s">
        <v>92</v>
      </c>
      <c r="X342" s="6" t="s">
        <v>92</v>
      </c>
      <c r="Y342" s="6" t="s">
        <v>92</v>
      </c>
      <c r="Z342" s="6" t="s">
        <v>73</v>
      </c>
      <c r="AA342" s="6" t="s">
        <v>92</v>
      </c>
      <c r="AB342" s="6">
        <v>530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456</v>
      </c>
      <c r="AJ342" s="6" t="s">
        <v>264</v>
      </c>
      <c r="AK342" s="6" t="s">
        <v>17</v>
      </c>
      <c r="AL342" s="6" t="s">
        <v>56</v>
      </c>
      <c r="AM342" s="6" t="s">
        <v>265</v>
      </c>
      <c r="AN342" s="6" t="s">
        <v>22</v>
      </c>
      <c r="AO342" s="6" t="s">
        <v>662</v>
      </c>
      <c r="AP342" s="6" t="s">
        <v>480</v>
      </c>
      <c r="AQ342" s="6" t="s">
        <v>39</v>
      </c>
    </row>
    <row r="343" spans="1:43" hidden="1" x14ac:dyDescent="0.25">
      <c r="A343" s="6">
        <v>22693993</v>
      </c>
      <c r="B343" s="6">
        <v>23496866</v>
      </c>
      <c r="C343" s="6" t="s">
        <v>241</v>
      </c>
      <c r="D343" s="14">
        <v>45875.605034722219</v>
      </c>
      <c r="E343" s="14">
        <v>45875.608611111107</v>
      </c>
      <c r="F343" s="6" t="s">
        <v>19</v>
      </c>
      <c r="G343" s="6" t="s">
        <v>19</v>
      </c>
      <c r="H343" s="6" t="s">
        <v>1327</v>
      </c>
      <c r="I343" s="6" t="s">
        <v>17</v>
      </c>
      <c r="J343" s="6" t="s">
        <v>1328</v>
      </c>
      <c r="K343" s="6" t="s">
        <v>894</v>
      </c>
      <c r="L343" s="6" t="s">
        <v>894</v>
      </c>
      <c r="M343" s="14">
        <v>45875.48333333333</v>
      </c>
      <c r="N343" s="6" t="s">
        <v>1329</v>
      </c>
      <c r="O343" s="6" t="s">
        <v>92</v>
      </c>
      <c r="P343" s="6" t="s">
        <v>453</v>
      </c>
      <c r="Q343" s="6" t="s">
        <v>659</v>
      </c>
      <c r="R343" s="6" t="s">
        <v>659</v>
      </c>
      <c r="S343" s="6" t="s">
        <v>9</v>
      </c>
      <c r="T343" s="6" t="s">
        <v>248</v>
      </c>
      <c r="U343" s="6" t="s">
        <v>122</v>
      </c>
      <c r="V343" s="6" t="s">
        <v>1315</v>
      </c>
      <c r="W343" s="6" t="s">
        <v>92</v>
      </c>
      <c r="X343" s="6" t="s">
        <v>1330</v>
      </c>
      <c r="Y343" s="6" t="s">
        <v>92</v>
      </c>
      <c r="Z343" s="6" t="s">
        <v>73</v>
      </c>
      <c r="AA343" s="6" t="s">
        <v>92</v>
      </c>
      <c r="AB343" s="6">
        <v>1392.7398000000001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456</v>
      </c>
      <c r="AJ343" s="6" t="s">
        <v>1331</v>
      </c>
      <c r="AK343" s="6" t="s">
        <v>17</v>
      </c>
      <c r="AL343" s="6" t="s">
        <v>56</v>
      </c>
      <c r="AM343" s="6" t="s">
        <v>265</v>
      </c>
      <c r="AN343" s="6" t="s">
        <v>22</v>
      </c>
      <c r="AO343" s="6" t="s">
        <v>662</v>
      </c>
      <c r="AP343" s="6" t="s">
        <v>480</v>
      </c>
      <c r="AQ343" s="6" t="s">
        <v>39</v>
      </c>
    </row>
    <row r="344" spans="1:43" hidden="1" x14ac:dyDescent="0.25">
      <c r="A344" s="6">
        <v>22693993</v>
      </c>
      <c r="B344" s="6">
        <v>23496867</v>
      </c>
      <c r="C344" s="6" t="s">
        <v>255</v>
      </c>
      <c r="D344" s="14">
        <v>45875.605034722219</v>
      </c>
      <c r="E344" s="14">
        <v>45875.608611111107</v>
      </c>
      <c r="F344" s="6" t="s">
        <v>19</v>
      </c>
      <c r="G344" s="6" t="s">
        <v>19</v>
      </c>
      <c r="H344" s="6" t="s">
        <v>1327</v>
      </c>
      <c r="I344" s="6" t="s">
        <v>17</v>
      </c>
      <c r="J344" s="6" t="s">
        <v>1328</v>
      </c>
      <c r="K344" s="6" t="s">
        <v>894</v>
      </c>
      <c r="L344" s="6" t="s">
        <v>894</v>
      </c>
      <c r="M344" s="14">
        <v>45875.48333333333</v>
      </c>
      <c r="N344" s="6" t="s">
        <v>1329</v>
      </c>
      <c r="O344" s="6" t="s">
        <v>92</v>
      </c>
      <c r="P344" s="6" t="s">
        <v>453</v>
      </c>
      <c r="Q344" s="6" t="s">
        <v>659</v>
      </c>
      <c r="R344" s="6" t="s">
        <v>659</v>
      </c>
      <c r="S344" s="6" t="s">
        <v>9</v>
      </c>
      <c r="T344" s="6" t="s">
        <v>248</v>
      </c>
      <c r="U344" s="6" t="s">
        <v>122</v>
      </c>
      <c r="V344" s="6" t="s">
        <v>1315</v>
      </c>
      <c r="W344" s="6" t="s">
        <v>92</v>
      </c>
      <c r="X344" s="6" t="s">
        <v>92</v>
      </c>
      <c r="Y344" s="6" t="s">
        <v>92</v>
      </c>
      <c r="Z344" s="6" t="s">
        <v>73</v>
      </c>
      <c r="AA344" s="6" t="s">
        <v>92</v>
      </c>
      <c r="AB344" s="6">
        <v>1719.9278999999999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456</v>
      </c>
      <c r="AJ344" s="6" t="s">
        <v>1331</v>
      </c>
      <c r="AK344" s="6" t="s">
        <v>17</v>
      </c>
      <c r="AL344" s="6" t="s">
        <v>56</v>
      </c>
      <c r="AM344" s="6" t="s">
        <v>265</v>
      </c>
      <c r="AN344" s="6" t="s">
        <v>22</v>
      </c>
      <c r="AO344" s="6" t="s">
        <v>662</v>
      </c>
      <c r="AP344" s="6" t="s">
        <v>480</v>
      </c>
      <c r="AQ344" s="6" t="s">
        <v>39</v>
      </c>
    </row>
    <row r="345" spans="1:43" hidden="1" x14ac:dyDescent="0.25">
      <c r="A345" s="6">
        <v>22694290</v>
      </c>
      <c r="B345" s="6">
        <v>23497143</v>
      </c>
      <c r="C345" s="6" t="s">
        <v>241</v>
      </c>
      <c r="D345" s="14">
        <v>45875.647488425922</v>
      </c>
      <c r="E345" s="14">
        <v>45875.649212962962</v>
      </c>
      <c r="F345" s="6" t="s">
        <v>19</v>
      </c>
      <c r="G345" s="6" t="s">
        <v>19</v>
      </c>
      <c r="H345" s="6" t="s">
        <v>1332</v>
      </c>
      <c r="I345" s="6" t="s">
        <v>17</v>
      </c>
      <c r="J345" s="6" t="s">
        <v>1333</v>
      </c>
      <c r="K345" s="6" t="s">
        <v>894</v>
      </c>
      <c r="L345" s="6" t="s">
        <v>894</v>
      </c>
      <c r="M345" s="14">
        <v>45875.539583333331</v>
      </c>
      <c r="N345" s="6" t="s">
        <v>1334</v>
      </c>
      <c r="O345" s="6" t="s">
        <v>92</v>
      </c>
      <c r="P345" s="6" t="s">
        <v>453</v>
      </c>
      <c r="Q345" s="6" t="s">
        <v>428</v>
      </c>
      <c r="R345" s="6" t="s">
        <v>477</v>
      </c>
      <c r="S345" s="6" t="s">
        <v>7</v>
      </c>
      <c r="T345" s="6" t="s">
        <v>248</v>
      </c>
      <c r="U345" s="6" t="s">
        <v>122</v>
      </c>
      <c r="V345" s="6" t="s">
        <v>1335</v>
      </c>
      <c r="W345" s="6" t="s">
        <v>92</v>
      </c>
      <c r="X345" s="6" t="s">
        <v>455</v>
      </c>
      <c r="Y345" s="6">
        <v>7700074988</v>
      </c>
      <c r="Z345" s="6" t="s">
        <v>73</v>
      </c>
      <c r="AA345" s="6" t="s">
        <v>92</v>
      </c>
      <c r="AB345" s="6">
        <v>453.09</v>
      </c>
      <c r="AC345" s="6">
        <v>60.62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456</v>
      </c>
      <c r="AJ345" s="6" t="s">
        <v>1316</v>
      </c>
      <c r="AK345" s="6" t="s">
        <v>17</v>
      </c>
      <c r="AL345" s="6" t="s">
        <v>61</v>
      </c>
      <c r="AM345" s="6" t="s">
        <v>67</v>
      </c>
      <c r="AN345" s="6" t="s">
        <v>22</v>
      </c>
      <c r="AO345" s="6" t="s">
        <v>253</v>
      </c>
      <c r="AP345" s="6" t="s">
        <v>254</v>
      </c>
      <c r="AQ345" s="6" t="s">
        <v>20</v>
      </c>
    </row>
    <row r="346" spans="1:43" hidden="1" x14ac:dyDescent="0.25">
      <c r="A346" s="6">
        <v>22681347</v>
      </c>
      <c r="B346" s="6">
        <v>23485816</v>
      </c>
      <c r="C346" s="6" t="s">
        <v>241</v>
      </c>
      <c r="D346" s="14">
        <v>45873.781828703701</v>
      </c>
      <c r="E346" s="14">
        <v>45874.400289351863</v>
      </c>
      <c r="F346" s="6" t="s">
        <v>21</v>
      </c>
      <c r="G346" s="6" t="s">
        <v>21</v>
      </c>
      <c r="H346" s="6" t="s">
        <v>1336</v>
      </c>
      <c r="I346" s="6" t="s">
        <v>17</v>
      </c>
      <c r="J346" s="6" t="s">
        <v>1337</v>
      </c>
      <c r="K346" s="6" t="s">
        <v>894</v>
      </c>
      <c r="L346" s="6" t="s">
        <v>894</v>
      </c>
      <c r="M346" s="14">
        <v>45873.384722222218</v>
      </c>
      <c r="N346" s="6" t="s">
        <v>1338</v>
      </c>
      <c r="O346" s="6" t="s">
        <v>92</v>
      </c>
      <c r="P346" s="6" t="s">
        <v>453</v>
      </c>
      <c r="Q346" s="6" t="s">
        <v>659</v>
      </c>
      <c r="R346" s="6" t="s">
        <v>659</v>
      </c>
      <c r="S346" s="6" t="s">
        <v>9</v>
      </c>
      <c r="T346" s="6" t="s">
        <v>248</v>
      </c>
      <c r="U346" s="6" t="s">
        <v>122</v>
      </c>
      <c r="V346" s="6" t="s">
        <v>1315</v>
      </c>
      <c r="W346" s="6" t="s">
        <v>92</v>
      </c>
      <c r="X346" s="6" t="s">
        <v>92</v>
      </c>
      <c r="Y346" s="6" t="s">
        <v>92</v>
      </c>
      <c r="Z346" s="6" t="s">
        <v>73</v>
      </c>
      <c r="AA346" s="6" t="s">
        <v>92</v>
      </c>
      <c r="AB346" s="6">
        <v>2193.6976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456</v>
      </c>
      <c r="AJ346" s="6" t="s">
        <v>264</v>
      </c>
      <c r="AK346" s="6" t="s">
        <v>17</v>
      </c>
      <c r="AL346" s="6" t="s">
        <v>56</v>
      </c>
      <c r="AM346" s="6" t="s">
        <v>265</v>
      </c>
      <c r="AN346" s="6" t="s">
        <v>22</v>
      </c>
      <c r="AO346" s="6" t="s">
        <v>662</v>
      </c>
      <c r="AP346" s="6" t="s">
        <v>480</v>
      </c>
      <c r="AQ346" s="6" t="s">
        <v>39</v>
      </c>
    </row>
    <row r="347" spans="1:43" hidden="1" x14ac:dyDescent="0.25">
      <c r="A347" s="6">
        <v>22684556</v>
      </c>
      <c r="B347" s="6">
        <v>23488413</v>
      </c>
      <c r="C347" s="6" t="s">
        <v>241</v>
      </c>
      <c r="D347" s="14">
        <v>45874.397002314807</v>
      </c>
      <c r="E347" s="14">
        <v>45874.400636574072</v>
      </c>
      <c r="F347" s="6" t="s">
        <v>21</v>
      </c>
      <c r="G347" s="6" t="s">
        <v>21</v>
      </c>
      <c r="H347" s="6" t="s">
        <v>1339</v>
      </c>
      <c r="I347" s="6" t="s">
        <v>17</v>
      </c>
      <c r="J347" s="6" t="s">
        <v>1337</v>
      </c>
      <c r="K347" s="6" t="s">
        <v>894</v>
      </c>
      <c r="L347" s="6" t="s">
        <v>894</v>
      </c>
      <c r="M347" s="14">
        <v>45873.396527777782</v>
      </c>
      <c r="N347" s="6" t="s">
        <v>1340</v>
      </c>
      <c r="O347" s="6" t="s">
        <v>92</v>
      </c>
      <c r="P347" s="6" t="s">
        <v>453</v>
      </c>
      <c r="Q347" s="6" t="s">
        <v>659</v>
      </c>
      <c r="R347" s="6" t="s">
        <v>659</v>
      </c>
      <c r="S347" s="6" t="s">
        <v>9</v>
      </c>
      <c r="T347" s="6" t="s">
        <v>248</v>
      </c>
      <c r="U347" s="6" t="s">
        <v>122</v>
      </c>
      <c r="V347" s="6" t="s">
        <v>1315</v>
      </c>
      <c r="W347" s="6" t="s">
        <v>92</v>
      </c>
      <c r="X347" s="6" t="s">
        <v>1341</v>
      </c>
      <c r="Y347" s="6" t="s">
        <v>92</v>
      </c>
      <c r="Z347" s="6" t="s">
        <v>73</v>
      </c>
      <c r="AA347" s="6" t="s">
        <v>92</v>
      </c>
      <c r="AB347" s="6">
        <v>791.26319999999998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456</v>
      </c>
      <c r="AJ347" s="6" t="s">
        <v>1331</v>
      </c>
      <c r="AK347" s="6" t="s">
        <v>17</v>
      </c>
      <c r="AL347" s="6" t="s">
        <v>56</v>
      </c>
      <c r="AM347" s="6" t="s">
        <v>265</v>
      </c>
      <c r="AN347" s="6" t="s">
        <v>22</v>
      </c>
      <c r="AO347" s="6" t="s">
        <v>662</v>
      </c>
      <c r="AP347" s="6" t="s">
        <v>480</v>
      </c>
      <c r="AQ347" s="6" t="s">
        <v>39</v>
      </c>
    </row>
    <row r="348" spans="1:43" x14ac:dyDescent="0.25">
      <c r="A348" s="6">
        <v>22684556</v>
      </c>
      <c r="B348" s="6">
        <v>23488414</v>
      </c>
      <c r="C348" s="6" t="s">
        <v>255</v>
      </c>
      <c r="D348" s="14">
        <v>45874.397002314807</v>
      </c>
      <c r="E348" s="14">
        <v>45874.400636574072</v>
      </c>
      <c r="F348" s="6" t="s">
        <v>21</v>
      </c>
      <c r="G348" s="6" t="s">
        <v>21</v>
      </c>
      <c r="H348" s="6" t="s">
        <v>1339</v>
      </c>
      <c r="I348" s="6" t="s">
        <v>17</v>
      </c>
      <c r="J348" s="6" t="s">
        <v>1337</v>
      </c>
      <c r="K348" s="6" t="s">
        <v>894</v>
      </c>
      <c r="L348" s="6" t="s">
        <v>894</v>
      </c>
      <c r="M348" s="14">
        <v>45873.396527777782</v>
      </c>
      <c r="N348" s="6" t="s">
        <v>1340</v>
      </c>
      <c r="O348" s="6" t="s">
        <v>92</v>
      </c>
      <c r="P348" s="6" t="s">
        <v>453</v>
      </c>
      <c r="Q348" s="6" t="s">
        <v>659</v>
      </c>
      <c r="R348" s="6" t="s">
        <v>659</v>
      </c>
      <c r="S348" s="6" t="s">
        <v>9</v>
      </c>
      <c r="T348" s="6" t="s">
        <v>248</v>
      </c>
      <c r="U348" s="6" t="s">
        <v>122</v>
      </c>
      <c r="V348" s="6" t="s">
        <v>1315</v>
      </c>
      <c r="W348" s="6" t="s">
        <v>92</v>
      </c>
      <c r="X348" s="6" t="s">
        <v>92</v>
      </c>
      <c r="Y348" s="6" t="s">
        <v>92</v>
      </c>
      <c r="Z348" s="6" t="s">
        <v>73</v>
      </c>
      <c r="AA348" s="6" t="s">
        <v>92</v>
      </c>
      <c r="AB348" s="6">
        <v>1063.3692000000001</v>
      </c>
      <c r="AC348" s="6">
        <v>34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456</v>
      </c>
      <c r="AJ348" s="6" t="s">
        <v>1331</v>
      </c>
      <c r="AK348" s="6" t="s">
        <v>17</v>
      </c>
      <c r="AL348" s="6" t="s">
        <v>56</v>
      </c>
      <c r="AM348" s="6" t="s">
        <v>265</v>
      </c>
      <c r="AN348" s="6" t="s">
        <v>22</v>
      </c>
      <c r="AO348" s="6" t="s">
        <v>662</v>
      </c>
      <c r="AP348" s="6" t="s">
        <v>480</v>
      </c>
      <c r="AQ348" s="6" t="s">
        <v>39</v>
      </c>
    </row>
    <row r="349" spans="1:43" hidden="1" x14ac:dyDescent="0.25">
      <c r="A349" s="6">
        <v>22703619</v>
      </c>
      <c r="B349" s="6">
        <v>23505715</v>
      </c>
      <c r="C349" s="6" t="s">
        <v>241</v>
      </c>
      <c r="D349" s="14">
        <v>45876.792222222219</v>
      </c>
      <c r="E349" s="14">
        <v>45876.796180555553</v>
      </c>
      <c r="F349" s="6" t="s">
        <v>19</v>
      </c>
      <c r="G349" s="6" t="s">
        <v>19</v>
      </c>
      <c r="H349" s="6" t="s">
        <v>1342</v>
      </c>
      <c r="I349" s="6" t="s">
        <v>17</v>
      </c>
      <c r="J349" s="6" t="s">
        <v>1337</v>
      </c>
      <c r="K349" s="6" t="s">
        <v>894</v>
      </c>
      <c r="L349" s="6" t="s">
        <v>894</v>
      </c>
      <c r="M349" s="14">
        <v>45876.504861111112</v>
      </c>
      <c r="N349" s="6" t="s">
        <v>1343</v>
      </c>
      <c r="O349" s="6" t="s">
        <v>92</v>
      </c>
      <c r="P349" s="6" t="s">
        <v>453</v>
      </c>
      <c r="Q349" s="6" t="s">
        <v>659</v>
      </c>
      <c r="R349" s="6" t="s">
        <v>659</v>
      </c>
      <c r="S349" s="6" t="s">
        <v>9</v>
      </c>
      <c r="T349" s="6" t="s">
        <v>248</v>
      </c>
      <c r="U349" s="6" t="s">
        <v>122</v>
      </c>
      <c r="V349" s="6" t="s">
        <v>1315</v>
      </c>
      <c r="W349" s="6" t="s">
        <v>92</v>
      </c>
      <c r="X349" s="6" t="s">
        <v>92</v>
      </c>
      <c r="Y349" s="6" t="s">
        <v>92</v>
      </c>
      <c r="Z349" s="6" t="s">
        <v>73</v>
      </c>
      <c r="AA349" s="6" t="s">
        <v>92</v>
      </c>
      <c r="AB349" s="6">
        <v>1256.269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456</v>
      </c>
      <c r="AJ349" s="6" t="s">
        <v>264</v>
      </c>
      <c r="AK349" s="6" t="s">
        <v>17</v>
      </c>
      <c r="AL349" s="6" t="s">
        <v>56</v>
      </c>
      <c r="AM349" s="6" t="s">
        <v>265</v>
      </c>
      <c r="AN349" s="6" t="s">
        <v>22</v>
      </c>
      <c r="AO349" s="6" t="s">
        <v>662</v>
      </c>
      <c r="AP349" s="6" t="s">
        <v>480</v>
      </c>
      <c r="AQ349" s="6" t="s">
        <v>39</v>
      </c>
    </row>
    <row r="350" spans="1:43" hidden="1" x14ac:dyDescent="0.25">
      <c r="A350" s="6">
        <v>22702911</v>
      </c>
      <c r="B350" s="6">
        <v>23505029</v>
      </c>
      <c r="C350" s="6" t="s">
        <v>241</v>
      </c>
      <c r="D350" s="14">
        <v>45876.762141203697</v>
      </c>
      <c r="E350" s="14">
        <v>45876.763078703712</v>
      </c>
      <c r="F350" s="6" t="s">
        <v>19</v>
      </c>
      <c r="G350" s="6" t="s">
        <v>19</v>
      </c>
      <c r="H350" s="6" t="s">
        <v>1344</v>
      </c>
      <c r="I350" s="6" t="s">
        <v>17</v>
      </c>
      <c r="J350" s="6" t="s">
        <v>1345</v>
      </c>
      <c r="K350" s="6" t="s">
        <v>1346</v>
      </c>
      <c r="L350" s="6" t="s">
        <v>1346</v>
      </c>
      <c r="M350" s="14">
        <v>45876.644444444442</v>
      </c>
      <c r="N350" s="6" t="s">
        <v>1347</v>
      </c>
      <c r="O350" s="6" t="s">
        <v>92</v>
      </c>
      <c r="P350" s="6" t="s">
        <v>245</v>
      </c>
      <c r="Q350" s="6" t="s">
        <v>659</v>
      </c>
      <c r="R350" s="6" t="s">
        <v>659</v>
      </c>
      <c r="S350" s="6" t="s">
        <v>9</v>
      </c>
      <c r="T350" s="6" t="s">
        <v>248</v>
      </c>
      <c r="U350" s="6" t="s">
        <v>122</v>
      </c>
      <c r="V350" s="6" t="s">
        <v>1315</v>
      </c>
      <c r="W350" s="6" t="s">
        <v>92</v>
      </c>
      <c r="X350" s="6" t="s">
        <v>92</v>
      </c>
      <c r="Y350" s="6" t="s">
        <v>92</v>
      </c>
      <c r="Z350" s="6" t="s">
        <v>73</v>
      </c>
      <c r="AA350" s="6" t="s">
        <v>92</v>
      </c>
      <c r="AB350" s="6">
        <v>985</v>
      </c>
      <c r="AC350" s="6">
        <v>49.25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456</v>
      </c>
      <c r="AJ350" s="6" t="s">
        <v>264</v>
      </c>
      <c r="AK350" s="6" t="s">
        <v>17</v>
      </c>
      <c r="AL350" s="6" t="s">
        <v>56</v>
      </c>
      <c r="AM350" s="6" t="s">
        <v>265</v>
      </c>
      <c r="AN350" s="6" t="s">
        <v>22</v>
      </c>
      <c r="AO350" s="6" t="s">
        <v>253</v>
      </c>
      <c r="AP350" s="6" t="s">
        <v>254</v>
      </c>
      <c r="AQ350" s="6" t="s">
        <v>20</v>
      </c>
    </row>
    <row r="351" spans="1:43" hidden="1" x14ac:dyDescent="0.25">
      <c r="A351" s="6">
        <v>22692769</v>
      </c>
      <c r="B351" s="6">
        <v>23495717</v>
      </c>
      <c r="C351" s="6" t="s">
        <v>241</v>
      </c>
      <c r="D351" s="14">
        <v>45875.500925925917</v>
      </c>
      <c r="E351" s="14">
        <v>45875.50439814815</v>
      </c>
      <c r="F351" s="6" t="s">
        <v>19</v>
      </c>
      <c r="G351" s="6" t="s">
        <v>19</v>
      </c>
      <c r="H351" s="6" t="s">
        <v>1348</v>
      </c>
      <c r="I351" s="6" t="s">
        <v>17</v>
      </c>
      <c r="J351" s="6" t="s">
        <v>1349</v>
      </c>
      <c r="K351" s="6" t="s">
        <v>1346</v>
      </c>
      <c r="L351" s="6" t="s">
        <v>1346</v>
      </c>
      <c r="M351" s="14">
        <v>45875.394444444442</v>
      </c>
      <c r="N351" s="6" t="s">
        <v>1350</v>
      </c>
      <c r="O351" s="6" t="s">
        <v>92</v>
      </c>
      <c r="P351" s="6" t="s">
        <v>245</v>
      </c>
      <c r="Q351" s="6" t="s">
        <v>659</v>
      </c>
      <c r="R351" s="6" t="s">
        <v>659</v>
      </c>
      <c r="S351" s="6" t="s">
        <v>9</v>
      </c>
      <c r="T351" s="6" t="s">
        <v>248</v>
      </c>
      <c r="U351" s="6" t="s">
        <v>122</v>
      </c>
      <c r="V351" s="6" t="s">
        <v>1315</v>
      </c>
      <c r="W351" s="6" t="s">
        <v>92</v>
      </c>
      <c r="X351" s="6" t="s">
        <v>92</v>
      </c>
      <c r="Y351" s="6" t="s">
        <v>92</v>
      </c>
      <c r="Z351" s="6" t="s">
        <v>73</v>
      </c>
      <c r="AA351" s="6" t="s">
        <v>92</v>
      </c>
      <c r="AB351" s="6">
        <v>1876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456</v>
      </c>
      <c r="AJ351" s="6" t="s">
        <v>264</v>
      </c>
      <c r="AK351" s="6" t="s">
        <v>17</v>
      </c>
      <c r="AL351" s="6" t="s">
        <v>56</v>
      </c>
      <c r="AM351" s="6" t="s">
        <v>265</v>
      </c>
      <c r="AN351" s="6" t="s">
        <v>22</v>
      </c>
      <c r="AO351" s="6" t="s">
        <v>253</v>
      </c>
      <c r="AP351" s="6" t="s">
        <v>254</v>
      </c>
      <c r="AQ351" s="6" t="s">
        <v>20</v>
      </c>
    </row>
    <row r="352" spans="1:43" hidden="1" x14ac:dyDescent="0.25">
      <c r="A352" s="6">
        <v>22687065</v>
      </c>
      <c r="B352" s="6">
        <v>23490754</v>
      </c>
      <c r="C352" s="6" t="s">
        <v>241</v>
      </c>
      <c r="D352" s="14">
        <v>45874.668206018519</v>
      </c>
      <c r="E352" s="14">
        <v>45874.671481481477</v>
      </c>
      <c r="F352" s="6" t="s">
        <v>21</v>
      </c>
      <c r="G352" s="6" t="s">
        <v>21</v>
      </c>
      <c r="H352" s="6" t="s">
        <v>1351</v>
      </c>
      <c r="I352" s="6" t="s">
        <v>17</v>
      </c>
      <c r="J352" s="6" t="s">
        <v>1352</v>
      </c>
      <c r="K352" s="6" t="s">
        <v>1346</v>
      </c>
      <c r="L352" s="6" t="s">
        <v>1346</v>
      </c>
      <c r="M352" s="14">
        <v>45874.527777777781</v>
      </c>
      <c r="N352" s="6" t="s">
        <v>1353</v>
      </c>
      <c r="O352" s="6" t="s">
        <v>1354</v>
      </c>
      <c r="P352" s="6" t="s">
        <v>245</v>
      </c>
      <c r="Q352" s="6" t="s">
        <v>246</v>
      </c>
      <c r="R352" s="6" t="s">
        <v>247</v>
      </c>
      <c r="S352" s="6" t="s">
        <v>8</v>
      </c>
      <c r="T352" s="6" t="s">
        <v>248</v>
      </c>
      <c r="U352" s="6" t="s">
        <v>122</v>
      </c>
      <c r="V352" s="6" t="s">
        <v>1315</v>
      </c>
      <c r="W352" s="6" t="s">
        <v>92</v>
      </c>
      <c r="X352" s="6" t="s">
        <v>92</v>
      </c>
      <c r="Y352" s="6" t="s">
        <v>92</v>
      </c>
      <c r="Z352" s="6" t="s">
        <v>73</v>
      </c>
      <c r="AA352" s="6" t="s">
        <v>92</v>
      </c>
      <c r="AB352" s="6">
        <v>942.95</v>
      </c>
      <c r="AC352" s="6">
        <v>131.13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456</v>
      </c>
      <c r="AJ352" s="6" t="s">
        <v>264</v>
      </c>
      <c r="AK352" s="6" t="s">
        <v>17</v>
      </c>
      <c r="AL352" s="6" t="s">
        <v>56</v>
      </c>
      <c r="AM352" s="6" t="s">
        <v>265</v>
      </c>
      <c r="AN352" s="6" t="s">
        <v>22</v>
      </c>
      <c r="AO352" s="6" t="s">
        <v>253</v>
      </c>
      <c r="AP352" s="6" t="s">
        <v>254</v>
      </c>
      <c r="AQ352" s="6" t="s">
        <v>20</v>
      </c>
    </row>
    <row r="353" spans="1:43" x14ac:dyDescent="0.25">
      <c r="A353" s="6">
        <v>22694284</v>
      </c>
      <c r="B353" s="6">
        <v>23497133</v>
      </c>
      <c r="C353" s="6" t="s">
        <v>241</v>
      </c>
      <c r="D353" s="14">
        <v>45875.647129629629</v>
      </c>
      <c r="E353" s="14">
        <v>45875.650254629632</v>
      </c>
      <c r="F353" s="6" t="s">
        <v>19</v>
      </c>
      <c r="G353" s="6" t="s">
        <v>19</v>
      </c>
      <c r="H353" s="6" t="s">
        <v>1355</v>
      </c>
      <c r="I353" s="6" t="s">
        <v>17</v>
      </c>
      <c r="J353" s="6" t="s">
        <v>1356</v>
      </c>
      <c r="K353" s="6" t="s">
        <v>1346</v>
      </c>
      <c r="L353" s="6" t="s">
        <v>1346</v>
      </c>
      <c r="M353" s="14">
        <v>45875.519444444442</v>
      </c>
      <c r="N353" s="6" t="s">
        <v>1357</v>
      </c>
      <c r="O353" s="6" t="s">
        <v>92</v>
      </c>
      <c r="P353" s="6" t="s">
        <v>245</v>
      </c>
      <c r="Q353" s="6" t="s">
        <v>659</v>
      </c>
      <c r="R353" s="6" t="s">
        <v>659</v>
      </c>
      <c r="S353" s="6" t="s">
        <v>9</v>
      </c>
      <c r="T353" s="6" t="s">
        <v>248</v>
      </c>
      <c r="U353" s="6" t="s">
        <v>122</v>
      </c>
      <c r="V353" s="6" t="s">
        <v>1315</v>
      </c>
      <c r="W353" s="6" t="s">
        <v>92</v>
      </c>
      <c r="X353" s="6" t="s">
        <v>92</v>
      </c>
      <c r="Y353" s="6" t="s">
        <v>92</v>
      </c>
      <c r="Z353" s="6" t="s">
        <v>73</v>
      </c>
      <c r="AA353" s="6" t="s">
        <v>92</v>
      </c>
      <c r="AB353" s="6">
        <v>400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456</v>
      </c>
      <c r="AJ353" s="6" t="s">
        <v>264</v>
      </c>
      <c r="AK353" s="6" t="s">
        <v>17</v>
      </c>
      <c r="AL353" s="6" t="s">
        <v>56</v>
      </c>
      <c r="AM353" s="6" t="s">
        <v>265</v>
      </c>
      <c r="AN353" s="6" t="s">
        <v>22</v>
      </c>
      <c r="AO353" s="6" t="s">
        <v>253</v>
      </c>
      <c r="AP353" s="6" t="s">
        <v>254</v>
      </c>
      <c r="AQ353" s="6" t="s">
        <v>20</v>
      </c>
    </row>
    <row r="354" spans="1:43" hidden="1" x14ac:dyDescent="0.25">
      <c r="A354" s="6">
        <v>22694284</v>
      </c>
      <c r="B354" s="6">
        <v>23497134</v>
      </c>
      <c r="C354" s="6" t="s">
        <v>255</v>
      </c>
      <c r="D354" s="14">
        <v>45875.647129629629</v>
      </c>
      <c r="E354" s="14">
        <v>45875.650254629632</v>
      </c>
      <c r="F354" s="6" t="s">
        <v>19</v>
      </c>
      <c r="G354" s="6" t="s">
        <v>19</v>
      </c>
      <c r="H354" s="6" t="s">
        <v>1355</v>
      </c>
      <c r="I354" s="6" t="s">
        <v>17</v>
      </c>
      <c r="J354" s="6" t="s">
        <v>1356</v>
      </c>
      <c r="K354" s="6" t="s">
        <v>1346</v>
      </c>
      <c r="L354" s="6" t="s">
        <v>1346</v>
      </c>
      <c r="M354" s="14">
        <v>45875.519444444442</v>
      </c>
      <c r="N354" s="6" t="s">
        <v>1357</v>
      </c>
      <c r="O354" s="6" t="s">
        <v>92</v>
      </c>
      <c r="P354" s="6" t="s">
        <v>245</v>
      </c>
      <c r="Q354" s="6" t="s">
        <v>659</v>
      </c>
      <c r="R354" s="6" t="s">
        <v>659</v>
      </c>
      <c r="S354" s="6" t="s">
        <v>9</v>
      </c>
      <c r="T354" s="6" t="s">
        <v>248</v>
      </c>
      <c r="U354" s="6" t="s">
        <v>122</v>
      </c>
      <c r="V354" s="6" t="s">
        <v>1315</v>
      </c>
      <c r="W354" s="6" t="s">
        <v>92</v>
      </c>
      <c r="X354" s="6" t="s">
        <v>1358</v>
      </c>
      <c r="Y354" s="6" t="s">
        <v>92</v>
      </c>
      <c r="Z354" s="6" t="s">
        <v>73</v>
      </c>
      <c r="AA354" s="6" t="s">
        <v>92</v>
      </c>
      <c r="AB354" s="6">
        <v>646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0</v>
      </c>
      <c r="AI354" s="6" t="s">
        <v>456</v>
      </c>
      <c r="AJ354" s="6" t="s">
        <v>264</v>
      </c>
      <c r="AK354" s="6" t="s">
        <v>17</v>
      </c>
      <c r="AL354" s="6" t="s">
        <v>56</v>
      </c>
      <c r="AM354" s="6" t="s">
        <v>265</v>
      </c>
      <c r="AN354" s="6" t="s">
        <v>22</v>
      </c>
      <c r="AO354" s="6" t="s">
        <v>253</v>
      </c>
      <c r="AP354" s="6" t="s">
        <v>254</v>
      </c>
      <c r="AQ354" s="6" t="s">
        <v>20</v>
      </c>
    </row>
    <row r="355" spans="1:43" hidden="1" x14ac:dyDescent="0.25">
      <c r="A355" s="6">
        <v>22694285</v>
      </c>
      <c r="B355" s="6">
        <v>23497135</v>
      </c>
      <c r="C355" s="6" t="s">
        <v>241</v>
      </c>
      <c r="D355" s="14">
        <v>45875.647199074083</v>
      </c>
      <c r="E355" s="14">
        <v>45875.650277777779</v>
      </c>
      <c r="F355" s="6" t="s">
        <v>19</v>
      </c>
      <c r="G355" s="6" t="s">
        <v>19</v>
      </c>
      <c r="H355" s="6" t="s">
        <v>1359</v>
      </c>
      <c r="I355" s="6" t="s">
        <v>17</v>
      </c>
      <c r="J355" s="6" t="s">
        <v>1360</v>
      </c>
      <c r="K355" s="6" t="s">
        <v>1346</v>
      </c>
      <c r="L355" s="6" t="s">
        <v>1346</v>
      </c>
      <c r="M355" s="14">
        <v>45875.525694444441</v>
      </c>
      <c r="N355" s="6" t="s">
        <v>1361</v>
      </c>
      <c r="O355" s="6" t="s">
        <v>92</v>
      </c>
      <c r="P355" s="6" t="s">
        <v>245</v>
      </c>
      <c r="Q355" s="6" t="s">
        <v>659</v>
      </c>
      <c r="R355" s="6" t="s">
        <v>659</v>
      </c>
      <c r="S355" s="6" t="s">
        <v>9</v>
      </c>
      <c r="T355" s="6" t="s">
        <v>248</v>
      </c>
      <c r="U355" s="6" t="s">
        <v>122</v>
      </c>
      <c r="V355" s="6" t="s">
        <v>1315</v>
      </c>
      <c r="W355" s="6" t="s">
        <v>92</v>
      </c>
      <c r="X355" s="6" t="s">
        <v>92</v>
      </c>
      <c r="Y355" s="6" t="s">
        <v>92</v>
      </c>
      <c r="Z355" s="6" t="s">
        <v>73</v>
      </c>
      <c r="AA355" s="6" t="s">
        <v>92</v>
      </c>
      <c r="AB355" s="6">
        <v>400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456</v>
      </c>
      <c r="AJ355" s="6" t="s">
        <v>264</v>
      </c>
      <c r="AK355" s="6" t="s">
        <v>17</v>
      </c>
      <c r="AL355" s="6" t="s">
        <v>56</v>
      </c>
      <c r="AM355" s="6" t="s">
        <v>265</v>
      </c>
      <c r="AN355" s="6" t="s">
        <v>22</v>
      </c>
      <c r="AO355" s="6" t="s">
        <v>253</v>
      </c>
      <c r="AP355" s="6" t="s">
        <v>254</v>
      </c>
      <c r="AQ355" s="6" t="s">
        <v>20</v>
      </c>
    </row>
    <row r="356" spans="1:43" hidden="1" x14ac:dyDescent="0.25">
      <c r="A356" s="6">
        <v>22694285</v>
      </c>
      <c r="B356" s="6">
        <v>23497136</v>
      </c>
      <c r="C356" s="6" t="s">
        <v>255</v>
      </c>
      <c r="D356" s="14">
        <v>45875.647199074083</v>
      </c>
      <c r="E356" s="14">
        <v>45875.650277777779</v>
      </c>
      <c r="F356" s="6" t="s">
        <v>19</v>
      </c>
      <c r="G356" s="6" t="s">
        <v>19</v>
      </c>
      <c r="H356" s="6" t="s">
        <v>1359</v>
      </c>
      <c r="I356" s="6" t="s">
        <v>17</v>
      </c>
      <c r="J356" s="6" t="s">
        <v>1360</v>
      </c>
      <c r="K356" s="6" t="s">
        <v>1346</v>
      </c>
      <c r="L356" s="6" t="s">
        <v>1346</v>
      </c>
      <c r="M356" s="14">
        <v>45875.525694444441</v>
      </c>
      <c r="N356" s="6" t="s">
        <v>1361</v>
      </c>
      <c r="O356" s="6" t="s">
        <v>92</v>
      </c>
      <c r="P356" s="6" t="s">
        <v>245</v>
      </c>
      <c r="Q356" s="6" t="s">
        <v>659</v>
      </c>
      <c r="R356" s="6" t="s">
        <v>659</v>
      </c>
      <c r="S356" s="6" t="s">
        <v>9</v>
      </c>
      <c r="T356" s="6" t="s">
        <v>248</v>
      </c>
      <c r="U356" s="6" t="s">
        <v>122</v>
      </c>
      <c r="V356" s="6" t="s">
        <v>1315</v>
      </c>
      <c r="W356" s="6" t="s">
        <v>92</v>
      </c>
      <c r="X356" s="6" t="s">
        <v>1358</v>
      </c>
      <c r="Y356" s="6" t="s">
        <v>92</v>
      </c>
      <c r="Z356" s="6" t="s">
        <v>73</v>
      </c>
      <c r="AA356" s="6" t="s">
        <v>92</v>
      </c>
      <c r="AB356" s="6">
        <v>646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 t="s">
        <v>456</v>
      </c>
      <c r="AJ356" s="6" t="s">
        <v>264</v>
      </c>
      <c r="AK356" s="6" t="s">
        <v>17</v>
      </c>
      <c r="AL356" s="6" t="s">
        <v>56</v>
      </c>
      <c r="AM356" s="6" t="s">
        <v>265</v>
      </c>
      <c r="AN356" s="6" t="s">
        <v>22</v>
      </c>
      <c r="AO356" s="6" t="s">
        <v>253</v>
      </c>
      <c r="AP356" s="6" t="s">
        <v>254</v>
      </c>
      <c r="AQ356" s="6" t="s">
        <v>20</v>
      </c>
    </row>
    <row r="357" spans="1:43" hidden="1" x14ac:dyDescent="0.25">
      <c r="A357" s="6">
        <v>22694286</v>
      </c>
      <c r="B357" s="6">
        <v>23497137</v>
      </c>
      <c r="C357" s="6" t="s">
        <v>241</v>
      </c>
      <c r="D357" s="14">
        <v>45875.647268518522</v>
      </c>
      <c r="E357" s="14">
        <v>45875.650277777779</v>
      </c>
      <c r="F357" s="6" t="s">
        <v>19</v>
      </c>
      <c r="G357" s="6" t="s">
        <v>19</v>
      </c>
      <c r="H357" s="6" t="s">
        <v>1362</v>
      </c>
      <c r="I357" s="6" t="s">
        <v>17</v>
      </c>
      <c r="J357" s="6" t="s">
        <v>1363</v>
      </c>
      <c r="K357" s="6" t="s">
        <v>1346</v>
      </c>
      <c r="L357" s="6" t="s">
        <v>1346</v>
      </c>
      <c r="M357" s="14">
        <v>45875.527777777781</v>
      </c>
      <c r="N357" s="6" t="s">
        <v>1364</v>
      </c>
      <c r="O357" s="6" t="s">
        <v>92</v>
      </c>
      <c r="P357" s="6" t="s">
        <v>245</v>
      </c>
      <c r="Q357" s="6" t="s">
        <v>659</v>
      </c>
      <c r="R357" s="6" t="s">
        <v>659</v>
      </c>
      <c r="S357" s="6" t="s">
        <v>9</v>
      </c>
      <c r="T357" s="6" t="s">
        <v>248</v>
      </c>
      <c r="U357" s="6" t="s">
        <v>122</v>
      </c>
      <c r="V357" s="6" t="s">
        <v>1315</v>
      </c>
      <c r="W357" s="6" t="s">
        <v>92</v>
      </c>
      <c r="X357" s="6" t="s">
        <v>92</v>
      </c>
      <c r="Y357" s="6" t="s">
        <v>92</v>
      </c>
      <c r="Z357" s="6" t="s">
        <v>73</v>
      </c>
      <c r="AA357" s="6" t="s">
        <v>92</v>
      </c>
      <c r="AB357" s="6">
        <v>400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456</v>
      </c>
      <c r="AJ357" s="6" t="s">
        <v>264</v>
      </c>
      <c r="AK357" s="6" t="s">
        <v>17</v>
      </c>
      <c r="AL357" s="6" t="s">
        <v>56</v>
      </c>
      <c r="AM357" s="6" t="s">
        <v>265</v>
      </c>
      <c r="AN357" s="6" t="s">
        <v>22</v>
      </c>
      <c r="AO357" s="6" t="s">
        <v>253</v>
      </c>
      <c r="AP357" s="6" t="s">
        <v>254</v>
      </c>
      <c r="AQ357" s="6" t="s">
        <v>20</v>
      </c>
    </row>
    <row r="358" spans="1:43" hidden="1" x14ac:dyDescent="0.25">
      <c r="A358" s="6">
        <v>22694286</v>
      </c>
      <c r="B358" s="6">
        <v>23497138</v>
      </c>
      <c r="C358" s="6" t="s">
        <v>255</v>
      </c>
      <c r="D358" s="14">
        <v>45875.647268518522</v>
      </c>
      <c r="E358" s="14">
        <v>45875.650277777779</v>
      </c>
      <c r="F358" s="6" t="s">
        <v>19</v>
      </c>
      <c r="G358" s="6" t="s">
        <v>19</v>
      </c>
      <c r="H358" s="6" t="s">
        <v>1362</v>
      </c>
      <c r="I358" s="6" t="s">
        <v>17</v>
      </c>
      <c r="J358" s="6" t="s">
        <v>1363</v>
      </c>
      <c r="K358" s="6" t="s">
        <v>1346</v>
      </c>
      <c r="L358" s="6" t="s">
        <v>1346</v>
      </c>
      <c r="M358" s="14">
        <v>45875.527777777781</v>
      </c>
      <c r="N358" s="6" t="s">
        <v>1364</v>
      </c>
      <c r="O358" s="6" t="s">
        <v>92</v>
      </c>
      <c r="P358" s="6" t="s">
        <v>245</v>
      </c>
      <c r="Q358" s="6" t="s">
        <v>659</v>
      </c>
      <c r="R358" s="6" t="s">
        <v>659</v>
      </c>
      <c r="S358" s="6" t="s">
        <v>9</v>
      </c>
      <c r="T358" s="6" t="s">
        <v>248</v>
      </c>
      <c r="U358" s="6" t="s">
        <v>122</v>
      </c>
      <c r="V358" s="6" t="s">
        <v>1315</v>
      </c>
      <c r="W358" s="6" t="s">
        <v>92</v>
      </c>
      <c r="X358" s="6" t="s">
        <v>1358</v>
      </c>
      <c r="Y358" s="6" t="s">
        <v>92</v>
      </c>
      <c r="Z358" s="6" t="s">
        <v>73</v>
      </c>
      <c r="AA358" s="6" t="s">
        <v>92</v>
      </c>
      <c r="AB358" s="6">
        <v>646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456</v>
      </c>
      <c r="AJ358" s="6" t="s">
        <v>264</v>
      </c>
      <c r="AK358" s="6" t="s">
        <v>17</v>
      </c>
      <c r="AL358" s="6" t="s">
        <v>56</v>
      </c>
      <c r="AM358" s="6" t="s">
        <v>265</v>
      </c>
      <c r="AN358" s="6" t="s">
        <v>22</v>
      </c>
      <c r="AO358" s="6" t="s">
        <v>253</v>
      </c>
      <c r="AP358" s="6" t="s">
        <v>254</v>
      </c>
      <c r="AQ358" s="6" t="s">
        <v>20</v>
      </c>
    </row>
    <row r="359" spans="1:43" hidden="1" x14ac:dyDescent="0.25">
      <c r="A359" s="6">
        <v>22693996</v>
      </c>
      <c r="B359" s="6">
        <v>23496873</v>
      </c>
      <c r="C359" s="6" t="s">
        <v>241</v>
      </c>
      <c r="D359" s="14">
        <v>45875.60533564815</v>
      </c>
      <c r="E359" s="14">
        <v>45875.608738425923</v>
      </c>
      <c r="F359" s="6" t="s">
        <v>19</v>
      </c>
      <c r="G359" s="6" t="s">
        <v>19</v>
      </c>
      <c r="H359" s="6" t="s">
        <v>1365</v>
      </c>
      <c r="I359" s="6" t="s">
        <v>17</v>
      </c>
      <c r="J359" s="6" t="s">
        <v>1366</v>
      </c>
      <c r="K359" s="6" t="s">
        <v>1346</v>
      </c>
      <c r="L359" s="6" t="s">
        <v>1346</v>
      </c>
      <c r="M359" s="14">
        <v>45875.505555555559</v>
      </c>
      <c r="N359" s="6" t="s">
        <v>1367</v>
      </c>
      <c r="O359" s="6" t="s">
        <v>1368</v>
      </c>
      <c r="P359" s="6" t="s">
        <v>245</v>
      </c>
      <c r="Q359" s="6" t="s">
        <v>246</v>
      </c>
      <c r="R359" s="6" t="s">
        <v>247</v>
      </c>
      <c r="S359" s="6" t="s">
        <v>8</v>
      </c>
      <c r="T359" s="6" t="s">
        <v>248</v>
      </c>
      <c r="U359" s="6" t="s">
        <v>122</v>
      </c>
      <c r="V359" s="6" t="s">
        <v>1315</v>
      </c>
      <c r="W359" s="6" t="s">
        <v>92</v>
      </c>
      <c r="X359" s="6" t="s">
        <v>92</v>
      </c>
      <c r="Y359" s="6" t="s">
        <v>92</v>
      </c>
      <c r="Z359" s="6" t="s">
        <v>73</v>
      </c>
      <c r="AA359" s="6" t="s">
        <v>92</v>
      </c>
      <c r="AB359" s="6">
        <v>467.88</v>
      </c>
      <c r="AC359" s="6">
        <v>430.82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456</v>
      </c>
      <c r="AJ359" s="6" t="s">
        <v>264</v>
      </c>
      <c r="AK359" s="6" t="s">
        <v>17</v>
      </c>
      <c r="AL359" s="6" t="s">
        <v>56</v>
      </c>
      <c r="AM359" s="6" t="s">
        <v>265</v>
      </c>
      <c r="AN359" s="6" t="s">
        <v>22</v>
      </c>
      <c r="AO359" s="6" t="s">
        <v>253</v>
      </c>
      <c r="AP359" s="6" t="s">
        <v>254</v>
      </c>
      <c r="AQ359" s="6" t="s">
        <v>20</v>
      </c>
    </row>
    <row r="360" spans="1:43" hidden="1" x14ac:dyDescent="0.25">
      <c r="A360" s="6">
        <v>22702878</v>
      </c>
      <c r="B360" s="6">
        <v>23504995</v>
      </c>
      <c r="C360" s="6" t="s">
        <v>241</v>
      </c>
      <c r="D360" s="14">
        <v>45876.760995370372</v>
      </c>
      <c r="E360" s="14">
        <v>45876.765185185177</v>
      </c>
      <c r="F360" s="6" t="s">
        <v>19</v>
      </c>
      <c r="G360" s="6" t="s">
        <v>19</v>
      </c>
      <c r="H360" s="6" t="s">
        <v>1369</v>
      </c>
      <c r="I360" s="6" t="s">
        <v>17</v>
      </c>
      <c r="J360" s="6" t="s">
        <v>1370</v>
      </c>
      <c r="K360" s="6" t="s">
        <v>916</v>
      </c>
      <c r="L360" s="6" t="s">
        <v>894</v>
      </c>
      <c r="M360" s="14">
        <v>45876.536805555559</v>
      </c>
      <c r="N360" s="6" t="s">
        <v>1369</v>
      </c>
      <c r="O360" s="6" t="s">
        <v>92</v>
      </c>
      <c r="P360" s="6" t="s">
        <v>453</v>
      </c>
      <c r="Q360" s="6" t="s">
        <v>557</v>
      </c>
      <c r="R360" s="6" t="s">
        <v>617</v>
      </c>
      <c r="S360" s="6" t="s">
        <v>7</v>
      </c>
      <c r="T360" s="6" t="s">
        <v>248</v>
      </c>
      <c r="U360" s="6" t="s">
        <v>122</v>
      </c>
      <c r="V360" s="6" t="s">
        <v>1315</v>
      </c>
      <c r="W360" s="6" t="s">
        <v>92</v>
      </c>
      <c r="X360" s="6" t="s">
        <v>285</v>
      </c>
      <c r="Y360" s="6">
        <v>2971622834</v>
      </c>
      <c r="Z360" s="6" t="s">
        <v>73</v>
      </c>
      <c r="AA360" s="6" t="s">
        <v>92</v>
      </c>
      <c r="AB360" s="6">
        <v>0</v>
      </c>
      <c r="AC360" s="6">
        <v>0</v>
      </c>
      <c r="AD360" s="6">
        <v>399.42</v>
      </c>
      <c r="AE360" s="6">
        <v>0</v>
      </c>
      <c r="AF360" s="6">
        <v>51.05</v>
      </c>
      <c r="AG360" s="6">
        <v>0</v>
      </c>
      <c r="AH360" s="6">
        <v>0</v>
      </c>
      <c r="AI360" s="6" t="s">
        <v>456</v>
      </c>
      <c r="AJ360" s="6" t="s">
        <v>1371</v>
      </c>
      <c r="AK360" s="6" t="s">
        <v>17</v>
      </c>
      <c r="AL360" s="6" t="s">
        <v>57</v>
      </c>
      <c r="AM360" s="6" t="s">
        <v>288</v>
      </c>
      <c r="AN360" s="6" t="s">
        <v>28</v>
      </c>
      <c r="AO360" s="6" t="s">
        <v>253</v>
      </c>
      <c r="AP360" s="6" t="s">
        <v>480</v>
      </c>
      <c r="AQ360" s="6" t="s">
        <v>43</v>
      </c>
    </row>
    <row r="361" spans="1:43" hidden="1" x14ac:dyDescent="0.25">
      <c r="A361" s="6">
        <v>22611726</v>
      </c>
      <c r="B361" s="6">
        <v>23428259</v>
      </c>
      <c r="C361" s="6" t="s">
        <v>241</v>
      </c>
      <c r="D361" s="14">
        <v>45861.460023148153</v>
      </c>
      <c r="E361" s="14">
        <v>45876.637835648151</v>
      </c>
      <c r="F361" s="6" t="s">
        <v>19</v>
      </c>
      <c r="G361" s="6" t="s">
        <v>27</v>
      </c>
      <c r="H361" s="6" t="s">
        <v>1372</v>
      </c>
      <c r="I361" s="6" t="s">
        <v>17</v>
      </c>
      <c r="J361" s="6" t="s">
        <v>1373</v>
      </c>
      <c r="K361" s="6" t="s">
        <v>916</v>
      </c>
      <c r="L361" s="6" t="s">
        <v>894</v>
      </c>
      <c r="M361" s="14">
        <v>45856.26666666667</v>
      </c>
      <c r="N361" s="6" t="s">
        <v>1372</v>
      </c>
      <c r="O361" s="6" t="s">
        <v>92</v>
      </c>
      <c r="P361" s="6" t="s">
        <v>453</v>
      </c>
      <c r="Q361" s="6" t="s">
        <v>428</v>
      </c>
      <c r="R361" s="6" t="s">
        <v>428</v>
      </c>
      <c r="S361" s="6" t="s">
        <v>7</v>
      </c>
      <c r="T361" s="6" t="s">
        <v>248</v>
      </c>
      <c r="U361" s="6" t="s">
        <v>122</v>
      </c>
      <c r="V361" s="6" t="s">
        <v>1315</v>
      </c>
      <c r="W361" s="6" t="s">
        <v>92</v>
      </c>
      <c r="X361" s="6" t="s">
        <v>285</v>
      </c>
      <c r="Y361" s="6">
        <v>2971499806</v>
      </c>
      <c r="Z361" s="6" t="s">
        <v>73</v>
      </c>
      <c r="AA361" s="6" t="s">
        <v>92</v>
      </c>
      <c r="AB361" s="6">
        <v>1215.06</v>
      </c>
      <c r="AC361" s="6">
        <v>55.65</v>
      </c>
      <c r="AD361" s="6">
        <v>0</v>
      </c>
      <c r="AE361" s="6">
        <v>0</v>
      </c>
      <c r="AF361" s="6">
        <v>55.65</v>
      </c>
      <c r="AG361" s="6">
        <v>0</v>
      </c>
      <c r="AH361" s="6">
        <v>0</v>
      </c>
      <c r="AI361" s="6" t="s">
        <v>456</v>
      </c>
      <c r="AJ361" s="6" t="s">
        <v>1374</v>
      </c>
      <c r="AK361" s="6" t="s">
        <v>17</v>
      </c>
      <c r="AL361" s="6" t="s">
        <v>57</v>
      </c>
      <c r="AM361" s="6" t="s">
        <v>288</v>
      </c>
      <c r="AN361" s="6" t="s">
        <v>28</v>
      </c>
      <c r="AO361" s="6" t="s">
        <v>253</v>
      </c>
      <c r="AP361" s="6" t="s">
        <v>480</v>
      </c>
      <c r="AQ361" s="6" t="s">
        <v>43</v>
      </c>
    </row>
    <row r="362" spans="1:43" x14ac:dyDescent="0.25">
      <c r="A362" s="6">
        <v>22687781</v>
      </c>
      <c r="B362" s="6">
        <v>23491421</v>
      </c>
      <c r="C362" s="6" t="s">
        <v>241</v>
      </c>
      <c r="D362" s="14">
        <v>45874.740624999999</v>
      </c>
      <c r="E362" s="14">
        <v>45874.743726851862</v>
      </c>
      <c r="F362" s="6" t="s">
        <v>21</v>
      </c>
      <c r="G362" s="6" t="s">
        <v>21</v>
      </c>
      <c r="H362" s="6" t="s">
        <v>1375</v>
      </c>
      <c r="I362" s="6" t="s">
        <v>17</v>
      </c>
      <c r="J362" s="6" t="s">
        <v>1376</v>
      </c>
      <c r="K362" s="6" t="s">
        <v>616</v>
      </c>
      <c r="L362" s="6" t="s">
        <v>894</v>
      </c>
      <c r="M362" s="14">
        <v>45874.543749999997</v>
      </c>
      <c r="N362" s="6" t="s">
        <v>1375</v>
      </c>
      <c r="O362" s="6" t="s">
        <v>92</v>
      </c>
      <c r="P362" s="6" t="s">
        <v>453</v>
      </c>
      <c r="Q362" s="6" t="s">
        <v>557</v>
      </c>
      <c r="R362" s="6" t="s">
        <v>617</v>
      </c>
      <c r="S362" s="6" t="s">
        <v>7</v>
      </c>
      <c r="T362" s="6" t="s">
        <v>248</v>
      </c>
      <c r="U362" s="6" t="s">
        <v>122</v>
      </c>
      <c r="V362" s="6" t="s">
        <v>1315</v>
      </c>
      <c r="W362" s="6" t="s">
        <v>92</v>
      </c>
      <c r="X362" s="6" t="s">
        <v>285</v>
      </c>
      <c r="Y362" s="6">
        <v>2971607845</v>
      </c>
      <c r="Z362" s="6" t="s">
        <v>73</v>
      </c>
      <c r="AA362" s="6" t="s">
        <v>92</v>
      </c>
      <c r="AB362" s="6">
        <v>0</v>
      </c>
      <c r="AC362" s="6">
        <v>0</v>
      </c>
      <c r="AD362" s="6">
        <v>64.650000000000006</v>
      </c>
      <c r="AE362" s="6">
        <v>0</v>
      </c>
      <c r="AF362" s="6">
        <v>64.650000000000006</v>
      </c>
      <c r="AG362" s="6">
        <v>0</v>
      </c>
      <c r="AH362" s="6">
        <v>0</v>
      </c>
      <c r="AI362" s="6" t="s">
        <v>456</v>
      </c>
      <c r="AJ362" s="6" t="s">
        <v>559</v>
      </c>
      <c r="AK362" s="6" t="s">
        <v>17</v>
      </c>
      <c r="AL362" s="6" t="s">
        <v>65</v>
      </c>
      <c r="AM362" s="6" t="s">
        <v>560</v>
      </c>
      <c r="AN362" s="6" t="s">
        <v>22</v>
      </c>
      <c r="AO362" s="6" t="s">
        <v>253</v>
      </c>
      <c r="AP362" s="6" t="s">
        <v>254</v>
      </c>
      <c r="AQ362" s="6" t="s">
        <v>41</v>
      </c>
    </row>
    <row r="363" spans="1:43" hidden="1" x14ac:dyDescent="0.25">
      <c r="A363" s="6">
        <v>22696508</v>
      </c>
      <c r="B363" s="6">
        <v>23499347</v>
      </c>
      <c r="C363" s="6" t="s">
        <v>241</v>
      </c>
      <c r="D363" s="14">
        <v>45875.804155092592</v>
      </c>
      <c r="E363" s="14">
        <v>45875.805717592593</v>
      </c>
      <c r="F363" s="6" t="s">
        <v>19</v>
      </c>
      <c r="G363" s="6" t="s">
        <v>19</v>
      </c>
      <c r="H363" s="6" t="s">
        <v>1377</v>
      </c>
      <c r="I363" s="6" t="s">
        <v>17</v>
      </c>
      <c r="J363" s="6" t="s">
        <v>1378</v>
      </c>
      <c r="K363" s="6" t="s">
        <v>616</v>
      </c>
      <c r="L363" s="6" t="s">
        <v>894</v>
      </c>
      <c r="M363" s="14">
        <v>45875.507638888892</v>
      </c>
      <c r="N363" s="6" t="s">
        <v>1377</v>
      </c>
      <c r="O363" s="6" t="s">
        <v>92</v>
      </c>
      <c r="P363" s="6" t="s">
        <v>453</v>
      </c>
      <c r="Q363" s="6" t="s">
        <v>557</v>
      </c>
      <c r="R363" s="6" t="s">
        <v>617</v>
      </c>
      <c r="S363" s="6" t="s">
        <v>7</v>
      </c>
      <c r="T363" s="6" t="s">
        <v>248</v>
      </c>
      <c r="U363" s="6" t="s">
        <v>122</v>
      </c>
      <c r="V363" s="6" t="s">
        <v>1315</v>
      </c>
      <c r="W363" s="6" t="s">
        <v>92</v>
      </c>
      <c r="X363" s="6" t="s">
        <v>285</v>
      </c>
      <c r="Y363" s="6">
        <v>2971622800</v>
      </c>
      <c r="Z363" s="6" t="s">
        <v>73</v>
      </c>
      <c r="AA363" s="6" t="s">
        <v>92</v>
      </c>
      <c r="AB363" s="6">
        <v>0</v>
      </c>
      <c r="AC363" s="6">
        <v>0</v>
      </c>
      <c r="AD363" s="6">
        <v>450</v>
      </c>
      <c r="AE363" s="6">
        <v>0</v>
      </c>
      <c r="AF363" s="6">
        <v>9.7899999999999991</v>
      </c>
      <c r="AG363" s="6">
        <v>0</v>
      </c>
      <c r="AH363" s="6">
        <v>0</v>
      </c>
      <c r="AI363" s="6" t="s">
        <v>456</v>
      </c>
      <c r="AJ363" s="6" t="s">
        <v>1379</v>
      </c>
      <c r="AK363" s="6" t="s">
        <v>17</v>
      </c>
      <c r="AL363" s="6" t="s">
        <v>57</v>
      </c>
      <c r="AM363" s="6" t="s">
        <v>288</v>
      </c>
      <c r="AN363" s="6" t="s">
        <v>28</v>
      </c>
      <c r="AO363" s="6" t="s">
        <v>253</v>
      </c>
      <c r="AP363" s="6" t="s">
        <v>480</v>
      </c>
      <c r="AQ363" s="6" t="s">
        <v>43</v>
      </c>
    </row>
    <row r="364" spans="1:43" hidden="1" x14ac:dyDescent="0.25">
      <c r="A364" s="6">
        <v>22699391</v>
      </c>
      <c r="B364" s="6">
        <v>23501647</v>
      </c>
      <c r="C364" s="6" t="s">
        <v>241</v>
      </c>
      <c r="D364" s="14">
        <v>45876.407222222217</v>
      </c>
      <c r="E364" s="14">
        <v>45876.408854166657</v>
      </c>
      <c r="F364" s="6" t="s">
        <v>19</v>
      </c>
      <c r="G364" s="6" t="s">
        <v>19</v>
      </c>
      <c r="H364" s="6" t="s">
        <v>1380</v>
      </c>
      <c r="I364" s="6" t="s">
        <v>17</v>
      </c>
      <c r="J364" s="6" t="s">
        <v>1381</v>
      </c>
      <c r="K364" s="6" t="s">
        <v>1346</v>
      </c>
      <c r="L364" s="6" t="s">
        <v>1346</v>
      </c>
      <c r="M364" s="14">
        <v>45876.290972222218</v>
      </c>
      <c r="N364" s="6" t="s">
        <v>1382</v>
      </c>
      <c r="O364" s="6" t="s">
        <v>92</v>
      </c>
      <c r="P364" s="6" t="s">
        <v>245</v>
      </c>
      <c r="Q364" s="6" t="s">
        <v>428</v>
      </c>
      <c r="R364" s="6" t="s">
        <v>477</v>
      </c>
      <c r="S364" s="6" t="s">
        <v>7</v>
      </c>
      <c r="T364" s="6" t="s">
        <v>248</v>
      </c>
      <c r="U364" s="6" t="s">
        <v>122</v>
      </c>
      <c r="V364" s="6" t="s">
        <v>1335</v>
      </c>
      <c r="W364" s="6" t="s">
        <v>92</v>
      </c>
      <c r="X364" s="6" t="s">
        <v>420</v>
      </c>
      <c r="Y364" s="6">
        <v>7700075052</v>
      </c>
      <c r="Z364" s="6" t="s">
        <v>73</v>
      </c>
      <c r="AA364" s="6" t="s">
        <v>92</v>
      </c>
      <c r="AB364" s="6">
        <v>991.9</v>
      </c>
      <c r="AC364" s="6">
        <v>58.89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456</v>
      </c>
      <c r="AJ364" s="6" t="s">
        <v>1316</v>
      </c>
      <c r="AK364" s="6" t="s">
        <v>17</v>
      </c>
      <c r="AL364" s="6" t="s">
        <v>61</v>
      </c>
      <c r="AM364" s="6" t="s">
        <v>67</v>
      </c>
      <c r="AN364" s="6" t="s">
        <v>22</v>
      </c>
      <c r="AO364" s="6" t="s">
        <v>253</v>
      </c>
      <c r="AP364" s="6" t="s">
        <v>254</v>
      </c>
      <c r="AQ364" s="6" t="s">
        <v>41</v>
      </c>
    </row>
    <row r="365" spans="1:43" hidden="1" x14ac:dyDescent="0.25">
      <c r="A365" s="6">
        <v>22702888</v>
      </c>
      <c r="B365" s="6">
        <v>23505006</v>
      </c>
      <c r="C365" s="6" t="s">
        <v>241</v>
      </c>
      <c r="D365" s="14">
        <v>45876.761620370373</v>
      </c>
      <c r="E365" s="14">
        <v>45876.769108796303</v>
      </c>
      <c r="F365" s="6" t="s">
        <v>19</v>
      </c>
      <c r="G365" s="6" t="s">
        <v>19</v>
      </c>
      <c r="H365" s="6" t="s">
        <v>1383</v>
      </c>
      <c r="I365" s="6" t="s">
        <v>17</v>
      </c>
      <c r="J365" s="6" t="s">
        <v>1384</v>
      </c>
      <c r="K365" s="6" t="s">
        <v>1385</v>
      </c>
      <c r="L365" s="6" t="s">
        <v>1385</v>
      </c>
      <c r="M365" s="14">
        <v>45876.578472222223</v>
      </c>
      <c r="N365" s="6" t="s">
        <v>1386</v>
      </c>
      <c r="O365" s="6" t="s">
        <v>92</v>
      </c>
      <c r="P365" s="6" t="s">
        <v>245</v>
      </c>
      <c r="Q365" s="6" t="s">
        <v>428</v>
      </c>
      <c r="R365" s="6" t="s">
        <v>428</v>
      </c>
      <c r="S365" s="6" t="s">
        <v>9</v>
      </c>
      <c r="T365" s="6" t="s">
        <v>248</v>
      </c>
      <c r="U365" s="6" t="s">
        <v>122</v>
      </c>
      <c r="V365" s="6" t="s">
        <v>1315</v>
      </c>
      <c r="W365" s="6" t="s">
        <v>92</v>
      </c>
      <c r="X365" s="6" t="s">
        <v>92</v>
      </c>
      <c r="Y365" s="6" t="s">
        <v>92</v>
      </c>
      <c r="Z365" s="6" t="s">
        <v>73</v>
      </c>
      <c r="AA365" s="6" t="s">
        <v>92</v>
      </c>
      <c r="AB365" s="6">
        <v>2088</v>
      </c>
      <c r="AC365" s="6">
        <v>104.4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456</v>
      </c>
      <c r="AJ365" s="6" t="s">
        <v>264</v>
      </c>
      <c r="AK365" s="6" t="s">
        <v>17</v>
      </c>
      <c r="AL365" s="6" t="s">
        <v>56</v>
      </c>
      <c r="AM365" s="6" t="s">
        <v>265</v>
      </c>
      <c r="AN365" s="6" t="s">
        <v>22</v>
      </c>
      <c r="AO365" s="6" t="s">
        <v>253</v>
      </c>
      <c r="AP365" s="6" t="s">
        <v>254</v>
      </c>
      <c r="AQ365" s="6" t="s">
        <v>20</v>
      </c>
    </row>
    <row r="366" spans="1:43" hidden="1" x14ac:dyDescent="0.25">
      <c r="A366" s="6">
        <v>22702909</v>
      </c>
      <c r="B366" s="6">
        <v>23505027</v>
      </c>
      <c r="C366" s="6" t="s">
        <v>241</v>
      </c>
      <c r="D366" s="14">
        <v>45876.762083333328</v>
      </c>
      <c r="E366" s="14">
        <v>45876.775451388887</v>
      </c>
      <c r="F366" s="6" t="s">
        <v>19</v>
      </c>
      <c r="G366" s="6" t="s">
        <v>19</v>
      </c>
      <c r="H366" s="6" t="s">
        <v>1387</v>
      </c>
      <c r="I366" s="6" t="s">
        <v>17</v>
      </c>
      <c r="J366" s="6" t="s">
        <v>1388</v>
      </c>
      <c r="K366" s="6" t="s">
        <v>1385</v>
      </c>
      <c r="L366" s="6" t="s">
        <v>1385</v>
      </c>
      <c r="M366" s="14">
        <v>45876.636111111111</v>
      </c>
      <c r="N366" s="6" t="s">
        <v>1389</v>
      </c>
      <c r="O366" s="6" t="s">
        <v>92</v>
      </c>
      <c r="P366" s="6" t="s">
        <v>245</v>
      </c>
      <c r="Q366" s="6" t="s">
        <v>428</v>
      </c>
      <c r="R366" s="6" t="s">
        <v>477</v>
      </c>
      <c r="S366" s="6" t="s">
        <v>7</v>
      </c>
      <c r="T366" s="6" t="s">
        <v>248</v>
      </c>
      <c r="U366" s="6" t="s">
        <v>122</v>
      </c>
      <c r="V366" s="6" t="s">
        <v>1315</v>
      </c>
      <c r="W366" s="6" t="s">
        <v>92</v>
      </c>
      <c r="X366" s="6" t="s">
        <v>420</v>
      </c>
      <c r="Y366" s="6" t="s">
        <v>1389</v>
      </c>
      <c r="Z366" s="6" t="s">
        <v>73</v>
      </c>
      <c r="AA366" s="6" t="s">
        <v>92</v>
      </c>
      <c r="AB366" s="6">
        <v>3341.86</v>
      </c>
      <c r="AC366" s="6">
        <v>900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456</v>
      </c>
      <c r="AJ366" s="6" t="s">
        <v>467</v>
      </c>
      <c r="AK366" s="6" t="s">
        <v>17</v>
      </c>
      <c r="AL366" s="6" t="s">
        <v>70</v>
      </c>
      <c r="AM366" s="6" t="s">
        <v>67</v>
      </c>
      <c r="AN366" s="6" t="s">
        <v>22</v>
      </c>
      <c r="AO366" s="6" t="s">
        <v>253</v>
      </c>
      <c r="AP366" s="6" t="s">
        <v>254</v>
      </c>
      <c r="AQ366" s="6" t="s">
        <v>41</v>
      </c>
    </row>
    <row r="367" spans="1:43" hidden="1" x14ac:dyDescent="0.25">
      <c r="A367" s="6">
        <v>22686314</v>
      </c>
      <c r="B367" s="6">
        <v>23490061</v>
      </c>
      <c r="C367" s="6" t="s">
        <v>241</v>
      </c>
      <c r="D367" s="14">
        <v>45874.574004629627</v>
      </c>
      <c r="E367" s="14">
        <v>45874.58153935185</v>
      </c>
      <c r="F367" s="6" t="s">
        <v>21</v>
      </c>
      <c r="G367" s="6" t="s">
        <v>21</v>
      </c>
      <c r="H367" s="6" t="s">
        <v>1390</v>
      </c>
      <c r="I367" s="6" t="s">
        <v>17</v>
      </c>
      <c r="J367" s="6" t="s">
        <v>1391</v>
      </c>
      <c r="K367" s="6" t="s">
        <v>1385</v>
      </c>
      <c r="L367" s="6" t="s">
        <v>1385</v>
      </c>
      <c r="M367" s="14">
        <v>45874.415972222218</v>
      </c>
      <c r="N367" s="6" t="s">
        <v>1392</v>
      </c>
      <c r="O367" s="6" t="s">
        <v>1393</v>
      </c>
      <c r="P367" s="6" t="s">
        <v>245</v>
      </c>
      <c r="Q367" s="6" t="s">
        <v>246</v>
      </c>
      <c r="R367" s="6" t="s">
        <v>247</v>
      </c>
      <c r="S367" s="6" t="s">
        <v>8</v>
      </c>
      <c r="T367" s="6" t="s">
        <v>248</v>
      </c>
      <c r="U367" s="6" t="s">
        <v>122</v>
      </c>
      <c r="V367" s="6" t="s">
        <v>1315</v>
      </c>
      <c r="W367" s="6" t="s">
        <v>92</v>
      </c>
      <c r="X367" s="6" t="s">
        <v>92</v>
      </c>
      <c r="Y367" s="6" t="s">
        <v>92</v>
      </c>
      <c r="Z367" s="6" t="s">
        <v>73</v>
      </c>
      <c r="AA367" s="6" t="s">
        <v>92</v>
      </c>
      <c r="AB367" s="6">
        <v>14699.92</v>
      </c>
      <c r="AC367" s="6">
        <v>521.05999999999995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456</v>
      </c>
      <c r="AJ367" s="6" t="s">
        <v>264</v>
      </c>
      <c r="AK367" s="6" t="s">
        <v>17</v>
      </c>
      <c r="AL367" s="6" t="s">
        <v>56</v>
      </c>
      <c r="AM367" s="6" t="s">
        <v>265</v>
      </c>
      <c r="AN367" s="6" t="s">
        <v>22</v>
      </c>
      <c r="AO367" s="6" t="s">
        <v>253</v>
      </c>
      <c r="AP367" s="6" t="s">
        <v>254</v>
      </c>
      <c r="AQ367" s="6" t="s">
        <v>20</v>
      </c>
    </row>
    <row r="368" spans="1:43" hidden="1" x14ac:dyDescent="0.25">
      <c r="A368" s="6">
        <v>22703010</v>
      </c>
      <c r="B368" s="6">
        <v>23505127</v>
      </c>
      <c r="C368" s="6" t="s">
        <v>241</v>
      </c>
      <c r="D368" s="14">
        <v>45876.765775462962</v>
      </c>
      <c r="E368" s="14">
        <v>45876.775439814817</v>
      </c>
      <c r="F368" s="6" t="s">
        <v>19</v>
      </c>
      <c r="G368" s="6" t="s">
        <v>19</v>
      </c>
      <c r="H368" s="6" t="s">
        <v>1394</v>
      </c>
      <c r="I368" s="6" t="s">
        <v>17</v>
      </c>
      <c r="J368" s="6" t="s">
        <v>1395</v>
      </c>
      <c r="K368" s="6" t="s">
        <v>616</v>
      </c>
      <c r="L368" s="6" t="s">
        <v>1396</v>
      </c>
      <c r="M368" s="14">
        <v>45876.262499999997</v>
      </c>
      <c r="N368" s="6" t="s">
        <v>1394</v>
      </c>
      <c r="O368" s="6" t="s">
        <v>92</v>
      </c>
      <c r="P368" s="6" t="s">
        <v>453</v>
      </c>
      <c r="Q368" s="6" t="s">
        <v>557</v>
      </c>
      <c r="R368" s="6" t="s">
        <v>617</v>
      </c>
      <c r="S368" s="6" t="s">
        <v>7</v>
      </c>
      <c r="T368" s="6" t="s">
        <v>248</v>
      </c>
      <c r="U368" s="6" t="s">
        <v>122</v>
      </c>
      <c r="V368" s="6" t="s">
        <v>1315</v>
      </c>
      <c r="W368" s="6" t="s">
        <v>92</v>
      </c>
      <c r="X368" s="6" t="s">
        <v>285</v>
      </c>
      <c r="Y368" s="6">
        <v>2971622845</v>
      </c>
      <c r="Z368" s="6" t="s">
        <v>73</v>
      </c>
      <c r="AA368" s="6" t="s">
        <v>92</v>
      </c>
      <c r="AB368" s="6">
        <v>0</v>
      </c>
      <c r="AC368" s="6">
        <v>0</v>
      </c>
      <c r="AD368" s="6">
        <v>0</v>
      </c>
      <c r="AE368" s="6">
        <v>0</v>
      </c>
      <c r="AF368" s="6">
        <v>16.350000000000001</v>
      </c>
      <c r="AG368" s="6">
        <v>0</v>
      </c>
      <c r="AH368" s="6">
        <v>0</v>
      </c>
      <c r="AI368" s="6" t="s">
        <v>456</v>
      </c>
      <c r="AJ368" s="6" t="s">
        <v>1397</v>
      </c>
      <c r="AK368" s="6" t="s">
        <v>17</v>
      </c>
      <c r="AL368" s="6" t="s">
        <v>70</v>
      </c>
      <c r="AM368" s="6" t="s">
        <v>67</v>
      </c>
      <c r="AN368" s="6" t="s">
        <v>22</v>
      </c>
      <c r="AO368" s="6" t="s">
        <v>253</v>
      </c>
      <c r="AP368" s="6" t="s">
        <v>254</v>
      </c>
      <c r="AQ368" s="6" t="s">
        <v>41</v>
      </c>
    </row>
    <row r="369" spans="1:43" hidden="1" x14ac:dyDescent="0.25">
      <c r="A369" s="6">
        <v>22703010</v>
      </c>
      <c r="B369" s="6">
        <v>23505128</v>
      </c>
      <c r="C369" s="6" t="s">
        <v>255</v>
      </c>
      <c r="D369" s="14">
        <v>45876.765775462962</v>
      </c>
      <c r="E369" s="14">
        <v>45876.775439814817</v>
      </c>
      <c r="F369" s="6" t="s">
        <v>19</v>
      </c>
      <c r="G369" s="6" t="s">
        <v>19</v>
      </c>
      <c r="H369" s="6" t="s">
        <v>1394</v>
      </c>
      <c r="I369" s="6" t="s">
        <v>17</v>
      </c>
      <c r="J369" s="6" t="s">
        <v>1395</v>
      </c>
      <c r="K369" s="6" t="s">
        <v>616</v>
      </c>
      <c r="L369" s="6" t="s">
        <v>1396</v>
      </c>
      <c r="M369" s="14">
        <v>45876.262499999997</v>
      </c>
      <c r="N369" s="6" t="s">
        <v>1394</v>
      </c>
      <c r="O369" s="6" t="s">
        <v>92</v>
      </c>
      <c r="P369" s="6" t="s">
        <v>453</v>
      </c>
      <c r="Q369" s="6" t="s">
        <v>557</v>
      </c>
      <c r="R369" s="6" t="s">
        <v>617</v>
      </c>
      <c r="S369" s="6" t="s">
        <v>7</v>
      </c>
      <c r="T369" s="6" t="s">
        <v>248</v>
      </c>
      <c r="U369" s="6" t="s">
        <v>122</v>
      </c>
      <c r="V369" s="6" t="s">
        <v>1315</v>
      </c>
      <c r="W369" s="6" t="s">
        <v>92</v>
      </c>
      <c r="X369" s="6" t="s">
        <v>285</v>
      </c>
      <c r="Y369" s="6">
        <v>2971622845</v>
      </c>
      <c r="Z369" s="6" t="s">
        <v>73</v>
      </c>
      <c r="AA369" s="6" t="s">
        <v>92</v>
      </c>
      <c r="AB369" s="6">
        <v>0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456</v>
      </c>
      <c r="AJ369" s="6" t="s">
        <v>1397</v>
      </c>
      <c r="AK369" s="6" t="s">
        <v>17</v>
      </c>
      <c r="AL369" s="6" t="s">
        <v>70</v>
      </c>
      <c r="AM369" s="6" t="s">
        <v>67</v>
      </c>
      <c r="AN369" s="6" t="s">
        <v>22</v>
      </c>
      <c r="AO369" s="6" t="s">
        <v>253</v>
      </c>
      <c r="AP369" s="6" t="s">
        <v>254</v>
      </c>
      <c r="AQ369" s="6" t="s">
        <v>41</v>
      </c>
    </row>
    <row r="370" spans="1:43" hidden="1" x14ac:dyDescent="0.25">
      <c r="A370" s="6">
        <v>22703622</v>
      </c>
      <c r="B370" s="6">
        <v>23505717</v>
      </c>
      <c r="C370" s="6" t="s">
        <v>241</v>
      </c>
      <c r="D370" s="14">
        <v>45876.792291666658</v>
      </c>
      <c r="E370" s="14">
        <v>45876.79451388889</v>
      </c>
      <c r="F370" s="6" t="s">
        <v>19</v>
      </c>
      <c r="G370" s="6" t="s">
        <v>19</v>
      </c>
      <c r="H370" s="6" t="s">
        <v>1398</v>
      </c>
      <c r="I370" s="6" t="s">
        <v>17</v>
      </c>
      <c r="J370" s="6" t="s">
        <v>1399</v>
      </c>
      <c r="K370" s="6" t="s">
        <v>616</v>
      </c>
      <c r="L370" s="6" t="s">
        <v>1396</v>
      </c>
      <c r="M370" s="14">
        <v>45876.259027777778</v>
      </c>
      <c r="N370" s="6" t="s">
        <v>1400</v>
      </c>
      <c r="O370" s="6" t="s">
        <v>92</v>
      </c>
      <c r="P370" s="6" t="s">
        <v>245</v>
      </c>
      <c r="Q370" s="6" t="s">
        <v>557</v>
      </c>
      <c r="R370" s="6" t="s">
        <v>617</v>
      </c>
      <c r="S370" s="6" t="s">
        <v>7</v>
      </c>
      <c r="T370" s="6" t="s">
        <v>248</v>
      </c>
      <c r="U370" s="6" t="s">
        <v>122</v>
      </c>
      <c r="V370" s="6" t="s">
        <v>1315</v>
      </c>
      <c r="W370" s="6" t="s">
        <v>92</v>
      </c>
      <c r="X370" s="6" t="s">
        <v>285</v>
      </c>
      <c r="Y370" s="6">
        <v>2971606827</v>
      </c>
      <c r="Z370" s="6" t="s">
        <v>73</v>
      </c>
      <c r="AA370" s="6" t="s">
        <v>92</v>
      </c>
      <c r="AB370" s="6">
        <v>0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456</v>
      </c>
      <c r="AJ370" s="6" t="s">
        <v>1401</v>
      </c>
      <c r="AK370" s="6" t="s">
        <v>17</v>
      </c>
      <c r="AL370" s="6" t="s">
        <v>57</v>
      </c>
      <c r="AM370" s="6" t="s">
        <v>288</v>
      </c>
      <c r="AN370" s="6" t="s">
        <v>28</v>
      </c>
      <c r="AO370" s="6" t="s">
        <v>253</v>
      </c>
      <c r="AP370" s="6" t="s">
        <v>480</v>
      </c>
      <c r="AQ370" s="6" t="s">
        <v>43</v>
      </c>
    </row>
    <row r="371" spans="1:43" hidden="1" x14ac:dyDescent="0.25">
      <c r="A371" s="6">
        <v>22703625</v>
      </c>
      <c r="B371" s="6">
        <v>23505721</v>
      </c>
      <c r="C371" s="6" t="s">
        <v>241</v>
      </c>
      <c r="D371" s="14">
        <v>45876.792395833327</v>
      </c>
      <c r="E371" s="14">
        <v>45876.794548611113</v>
      </c>
      <c r="F371" s="6" t="s">
        <v>19</v>
      </c>
      <c r="G371" s="6" t="s">
        <v>19</v>
      </c>
      <c r="H371" s="6" t="s">
        <v>1402</v>
      </c>
      <c r="I371" s="6" t="s">
        <v>17</v>
      </c>
      <c r="J371" s="6" t="s">
        <v>1395</v>
      </c>
      <c r="K371" s="6" t="s">
        <v>616</v>
      </c>
      <c r="L371" s="6" t="s">
        <v>1396</v>
      </c>
      <c r="M371" s="14">
        <v>45876.262499999997</v>
      </c>
      <c r="N371" s="6" t="s">
        <v>1403</v>
      </c>
      <c r="O371" s="6" t="s">
        <v>92</v>
      </c>
      <c r="P371" s="6" t="s">
        <v>245</v>
      </c>
      <c r="Q371" s="6" t="s">
        <v>557</v>
      </c>
      <c r="R371" s="6" t="s">
        <v>617</v>
      </c>
      <c r="S371" s="6" t="s">
        <v>7</v>
      </c>
      <c r="T371" s="6" t="s">
        <v>248</v>
      </c>
      <c r="U371" s="6" t="s">
        <v>122</v>
      </c>
      <c r="V371" s="6" t="s">
        <v>1315</v>
      </c>
      <c r="W371" s="6" t="s">
        <v>92</v>
      </c>
      <c r="X371" s="6" t="s">
        <v>285</v>
      </c>
      <c r="Y371" s="6">
        <v>2971622845</v>
      </c>
      <c r="Z371" s="6" t="s">
        <v>73</v>
      </c>
      <c r="AA371" s="6" t="s">
        <v>92</v>
      </c>
      <c r="AB371" s="6">
        <v>0</v>
      </c>
      <c r="AC371" s="6">
        <v>0</v>
      </c>
      <c r="AD371" s="6">
        <v>0</v>
      </c>
      <c r="AE371" s="6">
        <v>0</v>
      </c>
      <c r="AF371" s="6">
        <v>16.350000000000001</v>
      </c>
      <c r="AG371" s="6">
        <v>0</v>
      </c>
      <c r="AH371" s="6">
        <v>0</v>
      </c>
      <c r="AI371" s="6" t="s">
        <v>456</v>
      </c>
      <c r="AJ371" s="6" t="s">
        <v>559</v>
      </c>
      <c r="AK371" s="6" t="s">
        <v>17</v>
      </c>
      <c r="AL371" s="6" t="s">
        <v>65</v>
      </c>
      <c r="AM371" s="6" t="s">
        <v>560</v>
      </c>
      <c r="AN371" s="6" t="s">
        <v>22</v>
      </c>
      <c r="AO371" s="6" t="s">
        <v>253</v>
      </c>
      <c r="AP371" s="6" t="s">
        <v>254</v>
      </c>
      <c r="AQ371" s="6" t="s">
        <v>41</v>
      </c>
    </row>
    <row r="372" spans="1:43" hidden="1" x14ac:dyDescent="0.25">
      <c r="A372" s="6">
        <v>22703625</v>
      </c>
      <c r="B372" s="6">
        <v>23505723</v>
      </c>
      <c r="C372" s="6" t="s">
        <v>255</v>
      </c>
      <c r="D372" s="14">
        <v>45876.792395833327</v>
      </c>
      <c r="E372" s="14">
        <v>45876.794548611113</v>
      </c>
      <c r="F372" s="6" t="s">
        <v>19</v>
      </c>
      <c r="G372" s="6" t="s">
        <v>19</v>
      </c>
      <c r="H372" s="6" t="s">
        <v>1402</v>
      </c>
      <c r="I372" s="6" t="s">
        <v>17</v>
      </c>
      <c r="J372" s="6" t="s">
        <v>1395</v>
      </c>
      <c r="K372" s="6" t="s">
        <v>616</v>
      </c>
      <c r="L372" s="6" t="s">
        <v>1396</v>
      </c>
      <c r="M372" s="14">
        <v>45876.262499999997</v>
      </c>
      <c r="N372" s="6" t="s">
        <v>1403</v>
      </c>
      <c r="O372" s="6" t="s">
        <v>92</v>
      </c>
      <c r="P372" s="6" t="s">
        <v>245</v>
      </c>
      <c r="Q372" s="6" t="s">
        <v>557</v>
      </c>
      <c r="R372" s="6" t="s">
        <v>617</v>
      </c>
      <c r="S372" s="6" t="s">
        <v>7</v>
      </c>
      <c r="T372" s="6" t="s">
        <v>248</v>
      </c>
      <c r="U372" s="6" t="s">
        <v>122</v>
      </c>
      <c r="V372" s="6" t="s">
        <v>1315</v>
      </c>
      <c r="W372" s="6" t="s">
        <v>92</v>
      </c>
      <c r="X372" s="6" t="s">
        <v>285</v>
      </c>
      <c r="Y372" s="6">
        <v>2971622845</v>
      </c>
      <c r="Z372" s="6" t="s">
        <v>73</v>
      </c>
      <c r="AA372" s="6" t="s">
        <v>92</v>
      </c>
      <c r="AB372" s="6">
        <v>0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456</v>
      </c>
      <c r="AJ372" s="6" t="s">
        <v>559</v>
      </c>
      <c r="AK372" s="6" t="s">
        <v>17</v>
      </c>
      <c r="AL372" s="6" t="s">
        <v>65</v>
      </c>
      <c r="AM372" s="6" t="s">
        <v>560</v>
      </c>
      <c r="AN372" s="6" t="s">
        <v>22</v>
      </c>
      <c r="AO372" s="6" t="s">
        <v>253</v>
      </c>
      <c r="AP372" s="6" t="s">
        <v>254</v>
      </c>
      <c r="AQ372" s="6" t="s">
        <v>41</v>
      </c>
    </row>
    <row r="373" spans="1:43" hidden="1" x14ac:dyDescent="0.25">
      <c r="A373" s="6">
        <v>22702914</v>
      </c>
      <c r="B373" s="6">
        <v>23505033</v>
      </c>
      <c r="C373" s="6" t="s">
        <v>241</v>
      </c>
      <c r="D373" s="14">
        <v>45876.762245370373</v>
      </c>
      <c r="E373" s="14">
        <v>45876.771747685183</v>
      </c>
      <c r="F373" s="6" t="s">
        <v>19</v>
      </c>
      <c r="G373" s="6" t="s">
        <v>19</v>
      </c>
      <c r="H373" s="6" t="s">
        <v>1404</v>
      </c>
      <c r="I373" s="6" t="s">
        <v>17</v>
      </c>
      <c r="J373" s="6" t="s">
        <v>1405</v>
      </c>
      <c r="K373" s="6" t="s">
        <v>916</v>
      </c>
      <c r="L373" s="6" t="s">
        <v>1406</v>
      </c>
      <c r="M373" s="14">
        <v>45875</v>
      </c>
      <c r="N373" s="6" t="s">
        <v>1407</v>
      </c>
      <c r="O373" s="6" t="s">
        <v>92</v>
      </c>
      <c r="P373" s="6" t="s">
        <v>245</v>
      </c>
      <c r="Q373" s="6" t="s">
        <v>428</v>
      </c>
      <c r="R373" s="6" t="s">
        <v>477</v>
      </c>
      <c r="S373" s="6" t="s">
        <v>7</v>
      </c>
      <c r="T373" s="6" t="s">
        <v>248</v>
      </c>
      <c r="U373" s="6" t="s">
        <v>122</v>
      </c>
      <c r="V373" s="6" t="s">
        <v>1315</v>
      </c>
      <c r="W373" s="6" t="s">
        <v>92</v>
      </c>
      <c r="X373" s="6" t="s">
        <v>285</v>
      </c>
      <c r="Y373" s="6">
        <v>2971606798</v>
      </c>
      <c r="Z373" s="6" t="s">
        <v>73</v>
      </c>
      <c r="AA373" s="6" t="s">
        <v>92</v>
      </c>
      <c r="AB373" s="6">
        <v>1559.86</v>
      </c>
      <c r="AC373" s="6">
        <v>59.54</v>
      </c>
      <c r="AD373" s="6">
        <v>421.08</v>
      </c>
      <c r="AE373" s="6">
        <v>0</v>
      </c>
      <c r="AF373" s="6">
        <v>59.54</v>
      </c>
      <c r="AG373" s="6">
        <v>0</v>
      </c>
      <c r="AH373" s="6">
        <v>0</v>
      </c>
      <c r="AI373" s="6" t="s">
        <v>456</v>
      </c>
      <c r="AJ373" s="6" t="s">
        <v>1408</v>
      </c>
      <c r="AK373" s="6" t="s">
        <v>17</v>
      </c>
      <c r="AL373" s="6" t="s">
        <v>57</v>
      </c>
      <c r="AM373" s="6" t="s">
        <v>288</v>
      </c>
      <c r="AN373" s="6" t="s">
        <v>28</v>
      </c>
      <c r="AO373" s="6" t="s">
        <v>253</v>
      </c>
      <c r="AP373" s="6" t="s">
        <v>480</v>
      </c>
      <c r="AQ373" s="6" t="s">
        <v>43</v>
      </c>
    </row>
    <row r="374" spans="1:43" hidden="1" x14ac:dyDescent="0.25">
      <c r="A374" s="6">
        <v>22665512</v>
      </c>
      <c r="B374" s="6">
        <v>23473416</v>
      </c>
      <c r="C374" s="6" t="s">
        <v>241</v>
      </c>
      <c r="D374" s="14">
        <v>45870.637569444443</v>
      </c>
      <c r="E374" s="14">
        <v>45874.316874999997</v>
      </c>
      <c r="F374" s="6" t="s">
        <v>21</v>
      </c>
      <c r="G374" s="6" t="s">
        <v>23</v>
      </c>
      <c r="H374" s="6" t="s">
        <v>1409</v>
      </c>
      <c r="I374" s="6" t="s">
        <v>17</v>
      </c>
      <c r="J374" s="6" t="s">
        <v>1410</v>
      </c>
      <c r="K374" s="6" t="s">
        <v>451</v>
      </c>
      <c r="L374" s="6" t="s">
        <v>451</v>
      </c>
      <c r="M374" s="14">
        <v>45866.521527777782</v>
      </c>
      <c r="N374" s="6" t="s">
        <v>1411</v>
      </c>
      <c r="O374" s="6" t="s">
        <v>92</v>
      </c>
      <c r="P374" s="6" t="s">
        <v>453</v>
      </c>
      <c r="Q374" s="6" t="s">
        <v>428</v>
      </c>
      <c r="R374" s="6" t="s">
        <v>428</v>
      </c>
      <c r="S374" s="6" t="s">
        <v>9</v>
      </c>
      <c r="T374" s="6" t="s">
        <v>248</v>
      </c>
      <c r="U374" s="6" t="s">
        <v>147</v>
      </c>
      <c r="V374" s="6" t="s">
        <v>1412</v>
      </c>
      <c r="W374" s="6" t="s">
        <v>92</v>
      </c>
      <c r="X374" s="6" t="s">
        <v>1413</v>
      </c>
      <c r="Y374" s="6" t="s">
        <v>92</v>
      </c>
      <c r="Z374" s="6" t="s">
        <v>96</v>
      </c>
      <c r="AA374" s="6" t="s">
        <v>92</v>
      </c>
      <c r="AB374" s="6">
        <v>7347.6480000000001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456</v>
      </c>
      <c r="AJ374" s="6" t="s">
        <v>891</v>
      </c>
      <c r="AK374" s="6" t="s">
        <v>17</v>
      </c>
      <c r="AL374" s="6" t="s">
        <v>61</v>
      </c>
      <c r="AM374" s="6" t="s">
        <v>67</v>
      </c>
      <c r="AN374" s="6" t="s">
        <v>22</v>
      </c>
      <c r="AO374" s="6" t="s">
        <v>253</v>
      </c>
      <c r="AP374" s="6" t="s">
        <v>254</v>
      </c>
      <c r="AQ374" s="6" t="s">
        <v>20</v>
      </c>
    </row>
    <row r="375" spans="1:43" hidden="1" x14ac:dyDescent="0.25">
      <c r="A375" s="6">
        <v>22701932</v>
      </c>
      <c r="B375" s="6">
        <v>23504080</v>
      </c>
      <c r="C375" s="6" t="s">
        <v>241</v>
      </c>
      <c r="D375" s="14">
        <v>45876.678483796299</v>
      </c>
      <c r="E375" s="14">
        <v>45876.679502314822</v>
      </c>
      <c r="F375" s="6" t="s">
        <v>19</v>
      </c>
      <c r="G375" s="6" t="s">
        <v>19</v>
      </c>
      <c r="H375" s="6" t="s">
        <v>1414</v>
      </c>
      <c r="I375" s="6" t="s">
        <v>17</v>
      </c>
      <c r="J375" s="6" t="s">
        <v>1415</v>
      </c>
      <c r="K375" s="6" t="s">
        <v>1416</v>
      </c>
      <c r="L375" s="6" t="s">
        <v>1416</v>
      </c>
      <c r="M375" s="14">
        <v>45875.713888888888</v>
      </c>
      <c r="N375" s="6" t="s">
        <v>1417</v>
      </c>
      <c r="O375" s="6" t="s">
        <v>92</v>
      </c>
      <c r="P375" s="6" t="s">
        <v>453</v>
      </c>
      <c r="Q375" s="6" t="s">
        <v>428</v>
      </c>
      <c r="R375" s="6" t="s">
        <v>428</v>
      </c>
      <c r="S375" s="6" t="s">
        <v>9</v>
      </c>
      <c r="T375" s="6" t="s">
        <v>248</v>
      </c>
      <c r="U375" s="6" t="s">
        <v>147</v>
      </c>
      <c r="V375" s="6" t="s">
        <v>1412</v>
      </c>
      <c r="W375" s="6" t="s">
        <v>92</v>
      </c>
      <c r="X375" s="6" t="s">
        <v>1418</v>
      </c>
      <c r="Y375" s="6" t="s">
        <v>92</v>
      </c>
      <c r="Z375" s="6" t="s">
        <v>96</v>
      </c>
      <c r="AA375" s="6" t="s">
        <v>92</v>
      </c>
      <c r="AB375" s="6">
        <v>584</v>
      </c>
      <c r="AC375" s="6">
        <v>70.08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456</v>
      </c>
      <c r="AJ375" s="6" t="s">
        <v>891</v>
      </c>
      <c r="AK375" s="6" t="s">
        <v>17</v>
      </c>
      <c r="AL375" s="6" t="s">
        <v>61</v>
      </c>
      <c r="AM375" s="6" t="s">
        <v>67</v>
      </c>
      <c r="AN375" s="6" t="s">
        <v>22</v>
      </c>
      <c r="AO375" s="6" t="s">
        <v>253</v>
      </c>
      <c r="AP375" s="6" t="s">
        <v>254</v>
      </c>
      <c r="AQ375" s="6" t="s">
        <v>41</v>
      </c>
    </row>
    <row r="376" spans="1:43" hidden="1" x14ac:dyDescent="0.25">
      <c r="A376" s="6">
        <v>22677867</v>
      </c>
      <c r="B376" s="6">
        <v>23482464</v>
      </c>
      <c r="C376" s="6" t="s">
        <v>241</v>
      </c>
      <c r="D376" s="14">
        <v>45873.487233796302</v>
      </c>
      <c r="E376" s="14">
        <v>45874.31689814815</v>
      </c>
      <c r="F376" s="6" t="s">
        <v>21</v>
      </c>
      <c r="G376" s="6" t="s">
        <v>21</v>
      </c>
      <c r="H376" s="6" t="s">
        <v>1419</v>
      </c>
      <c r="I376" s="6" t="s">
        <v>17</v>
      </c>
      <c r="J376" s="6" t="s">
        <v>1420</v>
      </c>
      <c r="K376" s="6" t="s">
        <v>611</v>
      </c>
      <c r="L376" s="6" t="s">
        <v>611</v>
      </c>
      <c r="M376" s="14">
        <v>45873.39166666667</v>
      </c>
      <c r="N376" s="6" t="s">
        <v>1421</v>
      </c>
      <c r="O376" s="6" t="s">
        <v>92</v>
      </c>
      <c r="P376" s="6" t="s">
        <v>245</v>
      </c>
      <c r="Q376" s="6" t="s">
        <v>659</v>
      </c>
      <c r="R376" s="6" t="s">
        <v>659</v>
      </c>
      <c r="S376" s="6" t="s">
        <v>9</v>
      </c>
      <c r="T376" s="6" t="s">
        <v>248</v>
      </c>
      <c r="U376" s="6" t="s">
        <v>157</v>
      </c>
      <c r="V376" s="6" t="s">
        <v>1422</v>
      </c>
      <c r="W376" s="6" t="s">
        <v>284</v>
      </c>
      <c r="X376" s="6" t="s">
        <v>1423</v>
      </c>
      <c r="Y376" s="6" t="s">
        <v>92</v>
      </c>
      <c r="Z376" s="6" t="s">
        <v>108</v>
      </c>
      <c r="AA376" s="6" t="s">
        <v>92</v>
      </c>
      <c r="AB376" s="6">
        <v>0</v>
      </c>
      <c r="AC376" s="6">
        <v>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456</v>
      </c>
      <c r="AJ376" s="6" t="s">
        <v>618</v>
      </c>
      <c r="AK376" s="6" t="s">
        <v>17</v>
      </c>
      <c r="AL376" s="6" t="s">
        <v>63</v>
      </c>
      <c r="AM376" s="6" t="s">
        <v>560</v>
      </c>
      <c r="AN376" s="6" t="s">
        <v>22</v>
      </c>
      <c r="AO376" s="6" t="s">
        <v>662</v>
      </c>
      <c r="AP376" s="6" t="s">
        <v>480</v>
      </c>
      <c r="AQ376" s="6" t="s">
        <v>39</v>
      </c>
    </row>
    <row r="377" spans="1:43" hidden="1" x14ac:dyDescent="0.25">
      <c r="A377" s="6">
        <v>22677868</v>
      </c>
      <c r="B377" s="6">
        <v>23482465</v>
      </c>
      <c r="C377" s="6" t="s">
        <v>241</v>
      </c>
      <c r="D377" s="14">
        <v>45873.487268518518</v>
      </c>
      <c r="E377" s="14">
        <v>45874.31689814815</v>
      </c>
      <c r="F377" s="6" t="s">
        <v>21</v>
      </c>
      <c r="G377" s="6" t="s">
        <v>21</v>
      </c>
      <c r="H377" s="6" t="s">
        <v>1424</v>
      </c>
      <c r="I377" s="6" t="s">
        <v>17</v>
      </c>
      <c r="J377" s="6" t="s">
        <v>1425</v>
      </c>
      <c r="K377" s="6" t="s">
        <v>611</v>
      </c>
      <c r="L377" s="6" t="s">
        <v>611</v>
      </c>
      <c r="M377" s="14">
        <v>45873.395833333343</v>
      </c>
      <c r="N377" s="6" t="s">
        <v>1426</v>
      </c>
      <c r="O377" s="6" t="s">
        <v>92</v>
      </c>
      <c r="P377" s="6" t="s">
        <v>245</v>
      </c>
      <c r="Q377" s="6" t="s">
        <v>659</v>
      </c>
      <c r="R377" s="6" t="s">
        <v>659</v>
      </c>
      <c r="S377" s="6" t="s">
        <v>9</v>
      </c>
      <c r="T377" s="6" t="s">
        <v>248</v>
      </c>
      <c r="U377" s="6" t="s">
        <v>157</v>
      </c>
      <c r="V377" s="6" t="s">
        <v>1422</v>
      </c>
      <c r="W377" s="6" t="s">
        <v>284</v>
      </c>
      <c r="X377" s="6" t="s">
        <v>1423</v>
      </c>
      <c r="Y377" s="6" t="s">
        <v>92</v>
      </c>
      <c r="Z377" s="6" t="s">
        <v>108</v>
      </c>
      <c r="AA377" s="6" t="s">
        <v>92</v>
      </c>
      <c r="AB377" s="6">
        <v>0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456</v>
      </c>
      <c r="AJ377" s="6" t="s">
        <v>618</v>
      </c>
      <c r="AK377" s="6" t="s">
        <v>17</v>
      </c>
      <c r="AL377" s="6" t="s">
        <v>63</v>
      </c>
      <c r="AM377" s="6" t="s">
        <v>560</v>
      </c>
      <c r="AN377" s="6" t="s">
        <v>22</v>
      </c>
      <c r="AO377" s="6" t="s">
        <v>662</v>
      </c>
      <c r="AP377" s="6" t="s">
        <v>480</v>
      </c>
      <c r="AQ377" s="6" t="s">
        <v>39</v>
      </c>
    </row>
    <row r="378" spans="1:43" hidden="1" x14ac:dyDescent="0.25">
      <c r="A378" s="6">
        <v>22639240</v>
      </c>
      <c r="B378" s="6">
        <v>23450273</v>
      </c>
      <c r="C378" s="6" t="s">
        <v>241</v>
      </c>
      <c r="D378" s="14">
        <v>45866.688668981478</v>
      </c>
      <c r="E378" s="14">
        <v>45866.691724537042</v>
      </c>
      <c r="F378" s="6" t="s">
        <v>25</v>
      </c>
      <c r="G378" s="6" t="s">
        <v>25</v>
      </c>
      <c r="H378" s="6" t="s">
        <v>1427</v>
      </c>
      <c r="I378" s="6" t="s">
        <v>17</v>
      </c>
      <c r="J378" s="6" t="s">
        <v>1428</v>
      </c>
      <c r="K378" s="6" t="s">
        <v>621</v>
      </c>
      <c r="L378" s="6" t="s">
        <v>621</v>
      </c>
      <c r="M378" s="14">
        <v>45866.565972222219</v>
      </c>
      <c r="N378" s="6" t="s">
        <v>1429</v>
      </c>
      <c r="O378" s="6" t="s">
        <v>92</v>
      </c>
      <c r="P378" s="6" t="s">
        <v>245</v>
      </c>
      <c r="Q378" s="6" t="s">
        <v>246</v>
      </c>
      <c r="R378" s="6" t="s">
        <v>247</v>
      </c>
      <c r="S378" s="6" t="s">
        <v>9</v>
      </c>
      <c r="T378" s="6" t="s">
        <v>248</v>
      </c>
      <c r="U378" s="6" t="s">
        <v>186</v>
      </c>
      <c r="V378" s="6" t="s">
        <v>1430</v>
      </c>
      <c r="W378" s="6" t="s">
        <v>92</v>
      </c>
      <c r="X378" s="6" t="s">
        <v>92</v>
      </c>
      <c r="Y378" s="6" t="s">
        <v>92</v>
      </c>
      <c r="Z378" s="6" t="s">
        <v>127</v>
      </c>
      <c r="AA378" s="6" t="s">
        <v>92</v>
      </c>
      <c r="AB378" s="6">
        <v>758</v>
      </c>
      <c r="AC378" s="6">
        <v>0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456</v>
      </c>
      <c r="AJ378" s="6" t="s">
        <v>264</v>
      </c>
      <c r="AK378" s="6" t="s">
        <v>17</v>
      </c>
      <c r="AL378" s="6" t="s">
        <v>56</v>
      </c>
      <c r="AM378" s="6" t="s">
        <v>265</v>
      </c>
      <c r="AN378" s="6" t="s">
        <v>22</v>
      </c>
      <c r="AO378" s="6" t="s">
        <v>253</v>
      </c>
      <c r="AP378" s="6" t="s">
        <v>254</v>
      </c>
      <c r="AQ378" s="6" t="s">
        <v>20</v>
      </c>
    </row>
    <row r="379" spans="1:43" hidden="1" x14ac:dyDescent="0.25">
      <c r="A379" s="6">
        <v>22663487</v>
      </c>
      <c r="B379" s="6">
        <v>23471535</v>
      </c>
      <c r="C379" s="6" t="s">
        <v>241</v>
      </c>
      <c r="D379" s="14">
        <v>45870.420648148152</v>
      </c>
      <c r="E379" s="14">
        <v>45874.315057870372</v>
      </c>
      <c r="F379" s="6" t="s">
        <v>21</v>
      </c>
      <c r="G379" s="6" t="s">
        <v>23</v>
      </c>
      <c r="H379" s="6" t="s">
        <v>1431</v>
      </c>
      <c r="I379" s="6" t="s">
        <v>17</v>
      </c>
      <c r="J379" s="6" t="s">
        <v>1432</v>
      </c>
      <c r="K379" s="6" t="s">
        <v>451</v>
      </c>
      <c r="L379" s="6" t="s">
        <v>451</v>
      </c>
      <c r="M379" s="14">
        <v>45869.712500000001</v>
      </c>
      <c r="N379" s="6" t="s">
        <v>1431</v>
      </c>
      <c r="O379" s="6" t="s">
        <v>92</v>
      </c>
      <c r="P379" s="6" t="s">
        <v>453</v>
      </c>
      <c r="Q379" s="6" t="s">
        <v>428</v>
      </c>
      <c r="R379" s="6" t="s">
        <v>428</v>
      </c>
      <c r="S379" s="6" t="s">
        <v>7</v>
      </c>
      <c r="T379" s="6" t="s">
        <v>248</v>
      </c>
      <c r="U379" s="6" t="s">
        <v>145</v>
      </c>
      <c r="V379" s="6" t="s">
        <v>1433</v>
      </c>
      <c r="W379" s="6" t="s">
        <v>284</v>
      </c>
      <c r="X379" s="6" t="s">
        <v>455</v>
      </c>
      <c r="Y379" s="6">
        <v>2142457250</v>
      </c>
      <c r="Z379" s="6" t="s">
        <v>97</v>
      </c>
      <c r="AA379" s="6" t="s">
        <v>92</v>
      </c>
      <c r="AB379" s="6">
        <v>0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456</v>
      </c>
      <c r="AJ379" s="6" t="s">
        <v>1434</v>
      </c>
      <c r="AK379" s="6" t="s">
        <v>17</v>
      </c>
      <c r="AL379" s="6" t="s">
        <v>61</v>
      </c>
      <c r="AM379" s="6" t="s">
        <v>67</v>
      </c>
      <c r="AN379" s="6" t="s">
        <v>22</v>
      </c>
      <c r="AO379" s="6" t="s">
        <v>253</v>
      </c>
      <c r="AP379" s="6" t="s">
        <v>254</v>
      </c>
      <c r="AQ379" s="6" t="s">
        <v>20</v>
      </c>
    </row>
    <row r="380" spans="1:43" hidden="1" x14ac:dyDescent="0.25">
      <c r="A380" s="6">
        <v>22666258</v>
      </c>
      <c r="B380" s="6">
        <v>23474104</v>
      </c>
      <c r="C380" s="6" t="s">
        <v>241</v>
      </c>
      <c r="D380" s="14">
        <v>45870.733020833337</v>
      </c>
      <c r="E380" s="14">
        <v>45874.315081018518</v>
      </c>
      <c r="F380" s="6" t="s">
        <v>21</v>
      </c>
      <c r="G380" s="6" t="s">
        <v>23</v>
      </c>
      <c r="H380" s="6" t="s">
        <v>1435</v>
      </c>
      <c r="I380" s="6" t="s">
        <v>17</v>
      </c>
      <c r="J380" s="6" t="s">
        <v>1436</v>
      </c>
      <c r="K380" s="6" t="s">
        <v>451</v>
      </c>
      <c r="L380" s="6" t="s">
        <v>451</v>
      </c>
      <c r="M380" s="14">
        <v>45870.603472222218</v>
      </c>
      <c r="N380" s="6" t="s">
        <v>1435</v>
      </c>
      <c r="O380" s="6" t="s">
        <v>92</v>
      </c>
      <c r="P380" s="6" t="s">
        <v>453</v>
      </c>
      <c r="Q380" s="6" t="s">
        <v>428</v>
      </c>
      <c r="R380" s="6" t="s">
        <v>428</v>
      </c>
      <c r="S380" s="6" t="s">
        <v>7</v>
      </c>
      <c r="T380" s="6" t="s">
        <v>248</v>
      </c>
      <c r="U380" s="6" t="s">
        <v>145</v>
      </c>
      <c r="V380" s="6" t="s">
        <v>1433</v>
      </c>
      <c r="W380" s="6" t="s">
        <v>284</v>
      </c>
      <c r="X380" s="6" t="s">
        <v>455</v>
      </c>
      <c r="Y380" s="6">
        <v>214509971</v>
      </c>
      <c r="Z380" s="6" t="s">
        <v>97</v>
      </c>
      <c r="AA380" s="6" t="s">
        <v>92</v>
      </c>
      <c r="AB380" s="6">
        <v>0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456</v>
      </c>
      <c r="AJ380" s="6" t="s">
        <v>897</v>
      </c>
      <c r="AK380" s="6" t="s">
        <v>17</v>
      </c>
      <c r="AL380" s="6" t="s">
        <v>68</v>
      </c>
      <c r="AM380" s="6" t="s">
        <v>67</v>
      </c>
      <c r="AN380" s="6" t="s">
        <v>22</v>
      </c>
      <c r="AO380" s="6" t="s">
        <v>253</v>
      </c>
      <c r="AP380" s="6" t="s">
        <v>254</v>
      </c>
      <c r="AQ380" s="6" t="s">
        <v>20</v>
      </c>
    </row>
    <row r="381" spans="1:43" hidden="1" x14ac:dyDescent="0.25">
      <c r="A381" s="6">
        <v>22701015</v>
      </c>
      <c r="B381" s="6">
        <v>23503212</v>
      </c>
      <c r="C381" s="6" t="s">
        <v>241</v>
      </c>
      <c r="D381" s="14">
        <v>45876.545682870368</v>
      </c>
      <c r="E381" s="14">
        <v>45877.225277777783</v>
      </c>
      <c r="F381" s="6" t="s">
        <v>19</v>
      </c>
      <c r="G381" s="6" t="s">
        <v>19</v>
      </c>
      <c r="H381" s="6" t="s">
        <v>1437</v>
      </c>
      <c r="I381" s="6" t="s">
        <v>17</v>
      </c>
      <c r="J381" s="6" t="s">
        <v>1438</v>
      </c>
      <c r="K381" s="6" t="s">
        <v>451</v>
      </c>
      <c r="L381" s="6" t="s">
        <v>451</v>
      </c>
      <c r="M381" s="14">
        <v>45875.913888888892</v>
      </c>
      <c r="N381" s="6" t="s">
        <v>1437</v>
      </c>
      <c r="O381" s="6" t="s">
        <v>92</v>
      </c>
      <c r="P381" s="6" t="s">
        <v>453</v>
      </c>
      <c r="Q381" s="6" t="s">
        <v>428</v>
      </c>
      <c r="R381" s="6" t="s">
        <v>428</v>
      </c>
      <c r="S381" s="6" t="s">
        <v>7</v>
      </c>
      <c r="T381" s="6" t="s">
        <v>248</v>
      </c>
      <c r="U381" s="6" t="s">
        <v>145</v>
      </c>
      <c r="V381" s="6" t="s">
        <v>1439</v>
      </c>
      <c r="W381" s="6" t="s">
        <v>284</v>
      </c>
      <c r="X381" s="6" t="s">
        <v>455</v>
      </c>
      <c r="Y381" s="6">
        <v>2142860774</v>
      </c>
      <c r="Z381" s="6" t="s">
        <v>97</v>
      </c>
      <c r="AA381" s="6" t="s">
        <v>92</v>
      </c>
      <c r="AB381" s="6">
        <v>0</v>
      </c>
      <c r="AC381" s="6">
        <v>0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456</v>
      </c>
      <c r="AJ381" s="6" t="s">
        <v>897</v>
      </c>
      <c r="AK381" s="6" t="s">
        <v>17</v>
      </c>
      <c r="AL381" s="6" t="s">
        <v>68</v>
      </c>
      <c r="AM381" s="6" t="s">
        <v>67</v>
      </c>
      <c r="AN381" s="6" t="s">
        <v>22</v>
      </c>
      <c r="AO381" s="6" t="s">
        <v>253</v>
      </c>
      <c r="AP381" s="6" t="s">
        <v>254</v>
      </c>
      <c r="AQ381" s="6" t="s">
        <v>20</v>
      </c>
    </row>
    <row r="382" spans="1:43" hidden="1" x14ac:dyDescent="0.25">
      <c r="A382" s="6">
        <v>22703434</v>
      </c>
      <c r="B382" s="6">
        <v>23505533</v>
      </c>
      <c r="C382" s="6" t="s">
        <v>241</v>
      </c>
      <c r="D382" s="14">
        <v>45876.784791666672</v>
      </c>
      <c r="E382" s="14">
        <v>45877.242129629631</v>
      </c>
      <c r="F382" s="6" t="s">
        <v>19</v>
      </c>
      <c r="G382" s="6" t="s">
        <v>19</v>
      </c>
      <c r="H382" s="6" t="s">
        <v>1440</v>
      </c>
      <c r="I382" s="6" t="s">
        <v>17</v>
      </c>
      <c r="J382" s="6" t="s">
        <v>1441</v>
      </c>
      <c r="K382" s="6" t="s">
        <v>451</v>
      </c>
      <c r="L382" s="6" t="s">
        <v>451</v>
      </c>
      <c r="M382" s="14">
        <v>45876.666666666657</v>
      </c>
      <c r="N382" s="6" t="s">
        <v>1440</v>
      </c>
      <c r="O382" s="6" t="s">
        <v>92</v>
      </c>
      <c r="P382" s="6" t="s">
        <v>453</v>
      </c>
      <c r="Q382" s="6" t="s">
        <v>428</v>
      </c>
      <c r="R382" s="6" t="s">
        <v>428</v>
      </c>
      <c r="S382" s="6" t="s">
        <v>7</v>
      </c>
      <c r="T382" s="6" t="s">
        <v>248</v>
      </c>
      <c r="U382" s="6" t="s">
        <v>145</v>
      </c>
      <c r="V382" s="6" t="s">
        <v>1433</v>
      </c>
      <c r="W382" s="6" t="s">
        <v>284</v>
      </c>
      <c r="X382" s="6" t="s">
        <v>455</v>
      </c>
      <c r="Y382" s="6">
        <v>2142913928</v>
      </c>
      <c r="Z382" s="6" t="s">
        <v>97</v>
      </c>
      <c r="AA382" s="6" t="s">
        <v>92</v>
      </c>
      <c r="AB382" s="6">
        <v>0</v>
      </c>
      <c r="AC382" s="6">
        <v>0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456</v>
      </c>
      <c r="AJ382" s="6" t="s">
        <v>897</v>
      </c>
      <c r="AK382" s="6" t="s">
        <v>17</v>
      </c>
      <c r="AL382" s="6" t="s">
        <v>68</v>
      </c>
      <c r="AM382" s="6" t="s">
        <v>67</v>
      </c>
      <c r="AN382" s="6" t="s">
        <v>22</v>
      </c>
      <c r="AO382" s="6" t="s">
        <v>253</v>
      </c>
      <c r="AP382" s="6" t="s">
        <v>254</v>
      </c>
      <c r="AQ382" s="6" t="s">
        <v>20</v>
      </c>
    </row>
    <row r="383" spans="1:43" hidden="1" x14ac:dyDescent="0.25">
      <c r="A383" s="6">
        <v>22694925</v>
      </c>
      <c r="B383" s="6">
        <v>23497775</v>
      </c>
      <c r="C383" s="6" t="s">
        <v>241</v>
      </c>
      <c r="D383" s="14">
        <v>45875.713125000002</v>
      </c>
      <c r="E383" s="14">
        <v>45875.717465277783</v>
      </c>
      <c r="F383" s="6" t="s">
        <v>19</v>
      </c>
      <c r="G383" s="6" t="s">
        <v>19</v>
      </c>
      <c r="H383" s="6" t="s">
        <v>1442</v>
      </c>
      <c r="I383" s="6" t="s">
        <v>17</v>
      </c>
      <c r="J383" s="6" t="s">
        <v>1443</v>
      </c>
      <c r="K383" s="6" t="s">
        <v>1416</v>
      </c>
      <c r="L383" s="6" t="s">
        <v>1416</v>
      </c>
      <c r="M383" s="14">
        <v>45875.451388888891</v>
      </c>
      <c r="N383" s="6" t="s">
        <v>1444</v>
      </c>
      <c r="O383" s="6" t="s">
        <v>92</v>
      </c>
      <c r="P383" s="6" t="s">
        <v>245</v>
      </c>
      <c r="Q383" s="6" t="s">
        <v>246</v>
      </c>
      <c r="R383" s="6" t="s">
        <v>247</v>
      </c>
      <c r="S383" s="6" t="s">
        <v>9</v>
      </c>
      <c r="T383" s="6" t="s">
        <v>248</v>
      </c>
      <c r="U383" s="6" t="s">
        <v>145</v>
      </c>
      <c r="V383" s="6" t="s">
        <v>1433</v>
      </c>
      <c r="W383" s="6" t="s">
        <v>284</v>
      </c>
      <c r="X383" s="6" t="s">
        <v>92</v>
      </c>
      <c r="Y383" s="6" t="s">
        <v>92</v>
      </c>
      <c r="Z383" s="6" t="s">
        <v>97</v>
      </c>
      <c r="AA383" s="6" t="s">
        <v>92</v>
      </c>
      <c r="AB383" s="6">
        <v>400</v>
      </c>
      <c r="AC383" s="6">
        <v>0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 t="s">
        <v>456</v>
      </c>
      <c r="AJ383" s="6" t="s">
        <v>264</v>
      </c>
      <c r="AK383" s="6" t="s">
        <v>17</v>
      </c>
      <c r="AL383" s="6" t="s">
        <v>56</v>
      </c>
      <c r="AM383" s="6" t="s">
        <v>265</v>
      </c>
      <c r="AN383" s="6" t="s">
        <v>22</v>
      </c>
      <c r="AO383" s="6" t="s">
        <v>253</v>
      </c>
      <c r="AP383" s="6" t="s">
        <v>254</v>
      </c>
      <c r="AQ383" s="6" t="s">
        <v>20</v>
      </c>
    </row>
    <row r="384" spans="1:43" hidden="1" x14ac:dyDescent="0.25">
      <c r="A384" s="6">
        <v>22646034</v>
      </c>
      <c r="B384" s="6">
        <v>23456182</v>
      </c>
      <c r="C384" s="6" t="s">
        <v>241</v>
      </c>
      <c r="D384" s="14">
        <v>45867.671643518523</v>
      </c>
      <c r="E384" s="14">
        <v>45867.702164351853</v>
      </c>
      <c r="F384" s="6" t="s">
        <v>25</v>
      </c>
      <c r="G384" s="6" t="s">
        <v>25</v>
      </c>
      <c r="H384" s="6">
        <v>19351827</v>
      </c>
      <c r="I384" s="6" t="s">
        <v>13</v>
      </c>
      <c r="J384" s="6" t="s">
        <v>1445</v>
      </c>
      <c r="K384" s="6" t="s">
        <v>648</v>
      </c>
      <c r="L384" s="6" t="s">
        <v>648</v>
      </c>
      <c r="M384" s="14">
        <v>45867.583333333343</v>
      </c>
      <c r="N384" s="6">
        <v>4573938</v>
      </c>
      <c r="O384" s="6" t="s">
        <v>92</v>
      </c>
      <c r="P384" s="6" t="s">
        <v>245</v>
      </c>
      <c r="Q384" s="6" t="s">
        <v>246</v>
      </c>
      <c r="R384" s="6" t="s">
        <v>247</v>
      </c>
      <c r="S384" s="6" t="s">
        <v>9</v>
      </c>
      <c r="T384" s="6" t="s">
        <v>248</v>
      </c>
      <c r="U384" s="6" t="s">
        <v>156</v>
      </c>
      <c r="V384" s="6" t="s">
        <v>1446</v>
      </c>
      <c r="W384" s="6" t="s">
        <v>92</v>
      </c>
      <c r="X384" s="6" t="s">
        <v>1447</v>
      </c>
      <c r="Y384" s="6" t="s">
        <v>92</v>
      </c>
      <c r="Z384" s="6" t="s">
        <v>106</v>
      </c>
      <c r="AA384" s="6" t="s">
        <v>92</v>
      </c>
      <c r="AB384" s="6">
        <v>338</v>
      </c>
      <c r="AC384" s="6">
        <v>16.899999999999999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 t="s">
        <v>1448</v>
      </c>
      <c r="AJ384" s="6" t="s">
        <v>1449</v>
      </c>
      <c r="AK384" s="6" t="s">
        <v>13</v>
      </c>
      <c r="AL384" s="6" t="s">
        <v>59</v>
      </c>
      <c r="AM384" s="6" t="s">
        <v>252</v>
      </c>
      <c r="AN384" s="6" t="s">
        <v>22</v>
      </c>
      <c r="AO384" s="6" t="s">
        <v>253</v>
      </c>
      <c r="AP384" s="6" t="s">
        <v>254</v>
      </c>
      <c r="AQ384" s="6" t="s">
        <v>20</v>
      </c>
    </row>
    <row r="385" spans="1:43" hidden="1" x14ac:dyDescent="0.25">
      <c r="A385" s="6">
        <v>22646070</v>
      </c>
      <c r="B385" s="6">
        <v>23456209</v>
      </c>
      <c r="C385" s="6" t="s">
        <v>241</v>
      </c>
      <c r="D385" s="14">
        <v>45867.678101851852</v>
      </c>
      <c r="E385" s="14">
        <v>45867.702372685177</v>
      </c>
      <c r="F385" s="6" t="s">
        <v>25</v>
      </c>
      <c r="G385" s="6" t="s">
        <v>25</v>
      </c>
      <c r="H385" s="6">
        <v>19352264</v>
      </c>
      <c r="I385" s="6" t="s">
        <v>13</v>
      </c>
      <c r="J385" s="6" t="s">
        <v>1450</v>
      </c>
      <c r="K385" s="6" t="s">
        <v>648</v>
      </c>
      <c r="L385" s="6" t="s">
        <v>648</v>
      </c>
      <c r="M385" s="14">
        <v>45867.590277777781</v>
      </c>
      <c r="N385" s="6">
        <v>4573950</v>
      </c>
      <c r="O385" s="6" t="s">
        <v>92</v>
      </c>
      <c r="P385" s="6" t="s">
        <v>245</v>
      </c>
      <c r="Q385" s="6" t="s">
        <v>246</v>
      </c>
      <c r="R385" s="6" t="s">
        <v>247</v>
      </c>
      <c r="S385" s="6" t="s">
        <v>9</v>
      </c>
      <c r="T385" s="6" t="s">
        <v>248</v>
      </c>
      <c r="U385" s="6" t="s">
        <v>156</v>
      </c>
      <c r="V385" s="6" t="s">
        <v>1446</v>
      </c>
      <c r="W385" s="6" t="s">
        <v>92</v>
      </c>
      <c r="X385" s="6" t="s">
        <v>1447</v>
      </c>
      <c r="Y385" s="6" t="s">
        <v>92</v>
      </c>
      <c r="Z385" s="6" t="s">
        <v>106</v>
      </c>
      <c r="AA385" s="6" t="s">
        <v>92</v>
      </c>
      <c r="AB385" s="6">
        <v>338</v>
      </c>
      <c r="AC385" s="6">
        <v>16.899999999999999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1451</v>
      </c>
      <c r="AJ385" s="6" t="s">
        <v>1449</v>
      </c>
      <c r="AK385" s="6" t="s">
        <v>13</v>
      </c>
      <c r="AL385" s="6" t="s">
        <v>59</v>
      </c>
      <c r="AM385" s="6" t="s">
        <v>252</v>
      </c>
      <c r="AN385" s="6" t="s">
        <v>22</v>
      </c>
      <c r="AO385" s="6" t="s">
        <v>253</v>
      </c>
      <c r="AP385" s="6" t="s">
        <v>254</v>
      </c>
      <c r="AQ385" s="6" t="s">
        <v>20</v>
      </c>
    </row>
    <row r="386" spans="1:43" hidden="1" x14ac:dyDescent="0.25">
      <c r="A386" s="6">
        <v>22685472</v>
      </c>
      <c r="B386" s="6">
        <v>23489284</v>
      </c>
      <c r="C386" s="6" t="s">
        <v>241</v>
      </c>
      <c r="D386" s="14">
        <v>45874.504641203697</v>
      </c>
      <c r="E386" s="14">
        <v>45874.522175925929</v>
      </c>
      <c r="F386" s="6" t="s">
        <v>21</v>
      </c>
      <c r="G386" s="6" t="s">
        <v>21</v>
      </c>
      <c r="H386" s="6" t="s">
        <v>1452</v>
      </c>
      <c r="I386" s="6" t="s">
        <v>13</v>
      </c>
      <c r="J386" s="6" t="s">
        <v>1453</v>
      </c>
      <c r="K386" s="6" t="s">
        <v>1454</v>
      </c>
      <c r="L386" s="6" t="s">
        <v>1454</v>
      </c>
      <c r="M386" s="14">
        <v>45875.496527777781</v>
      </c>
      <c r="N386" s="6">
        <v>4575738</v>
      </c>
      <c r="O386" s="6" t="s">
        <v>92</v>
      </c>
      <c r="P386" s="6" t="s">
        <v>245</v>
      </c>
      <c r="Q386" s="6" t="s">
        <v>246</v>
      </c>
      <c r="R386" s="6" t="s">
        <v>247</v>
      </c>
      <c r="S386" s="6" t="s">
        <v>9</v>
      </c>
      <c r="T386" s="6" t="s">
        <v>248</v>
      </c>
      <c r="U386" s="6" t="s">
        <v>156</v>
      </c>
      <c r="V386" s="6" t="s">
        <v>1446</v>
      </c>
      <c r="W386" s="6" t="s">
        <v>92</v>
      </c>
      <c r="X386" s="6" t="s">
        <v>92</v>
      </c>
      <c r="Y386" s="6" t="s">
        <v>92</v>
      </c>
      <c r="Z386" s="6" t="s">
        <v>106</v>
      </c>
      <c r="AA386" s="6" t="s">
        <v>92</v>
      </c>
      <c r="AB386" s="6">
        <v>440</v>
      </c>
      <c r="AC386" s="6">
        <v>0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1455</v>
      </c>
      <c r="AJ386" s="6" t="s">
        <v>264</v>
      </c>
      <c r="AK386" s="6" t="s">
        <v>13</v>
      </c>
      <c r="AL386" s="6" t="s">
        <v>56</v>
      </c>
      <c r="AM386" s="6" t="s">
        <v>265</v>
      </c>
      <c r="AN386" s="6" t="s">
        <v>22</v>
      </c>
      <c r="AO386" s="6" t="s">
        <v>662</v>
      </c>
      <c r="AP386" s="6" t="s">
        <v>480</v>
      </c>
      <c r="AQ386" s="6" t="s">
        <v>39</v>
      </c>
    </row>
    <row r="387" spans="1:43" hidden="1" x14ac:dyDescent="0.25">
      <c r="A387" s="6">
        <v>22694030</v>
      </c>
      <c r="B387" s="6">
        <v>23496902</v>
      </c>
      <c r="C387" s="6" t="s">
        <v>241</v>
      </c>
      <c r="D387" s="14">
        <v>45875.608310185176</v>
      </c>
      <c r="E387" s="14">
        <v>45875.611886574072</v>
      </c>
      <c r="F387" s="6" t="s">
        <v>19</v>
      </c>
      <c r="G387" s="6" t="s">
        <v>19</v>
      </c>
      <c r="H387" s="6" t="s">
        <v>1456</v>
      </c>
      <c r="I387" s="6" t="s">
        <v>13</v>
      </c>
      <c r="J387" s="6" t="s">
        <v>1457</v>
      </c>
      <c r="K387" s="6" t="s">
        <v>1454</v>
      </c>
      <c r="L387" s="6" t="s">
        <v>1454</v>
      </c>
      <c r="M387" s="14">
        <v>45875.602083333331</v>
      </c>
      <c r="N387" s="6">
        <v>4577238</v>
      </c>
      <c r="O387" s="6" t="s">
        <v>92</v>
      </c>
      <c r="P387" s="6" t="s">
        <v>245</v>
      </c>
      <c r="Q387" s="6" t="s">
        <v>246</v>
      </c>
      <c r="R387" s="6" t="s">
        <v>247</v>
      </c>
      <c r="S387" s="6" t="s">
        <v>9</v>
      </c>
      <c r="T387" s="6" t="s">
        <v>248</v>
      </c>
      <c r="U387" s="6" t="s">
        <v>156</v>
      </c>
      <c r="V387" s="6" t="s">
        <v>1446</v>
      </c>
      <c r="W387" s="6" t="s">
        <v>92</v>
      </c>
      <c r="X387" s="6" t="s">
        <v>92</v>
      </c>
      <c r="Y387" s="6" t="s">
        <v>92</v>
      </c>
      <c r="Z387" s="6" t="s">
        <v>106</v>
      </c>
      <c r="AA387" s="6" t="s">
        <v>92</v>
      </c>
      <c r="AB387" s="6">
        <v>110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 t="s">
        <v>1458</v>
      </c>
      <c r="AJ387" s="6" t="s">
        <v>264</v>
      </c>
      <c r="AK387" s="6" t="s">
        <v>13</v>
      </c>
      <c r="AL387" s="6" t="s">
        <v>56</v>
      </c>
      <c r="AM387" s="6" t="s">
        <v>265</v>
      </c>
      <c r="AN387" s="6" t="s">
        <v>22</v>
      </c>
      <c r="AO387" s="6" t="s">
        <v>662</v>
      </c>
      <c r="AP387" s="6" t="s">
        <v>480</v>
      </c>
      <c r="AQ387" s="6" t="s">
        <v>39</v>
      </c>
    </row>
    <row r="388" spans="1:43" hidden="1" x14ac:dyDescent="0.25">
      <c r="A388" s="6">
        <v>22687912</v>
      </c>
      <c r="B388" s="6">
        <v>23491564</v>
      </c>
      <c r="C388" s="6" t="s">
        <v>241</v>
      </c>
      <c r="D388" s="14">
        <v>45874.752905092602</v>
      </c>
      <c r="E388" s="14">
        <v>45874.764745370368</v>
      </c>
      <c r="F388" s="6" t="s">
        <v>21</v>
      </c>
      <c r="G388" s="6" t="s">
        <v>21</v>
      </c>
      <c r="H388" s="6" t="s">
        <v>1459</v>
      </c>
      <c r="I388" s="6" t="s">
        <v>259</v>
      </c>
      <c r="J388" s="6" t="s">
        <v>1460</v>
      </c>
      <c r="K388" s="6" t="s">
        <v>1461</v>
      </c>
      <c r="L388" s="6" t="s">
        <v>1461</v>
      </c>
      <c r="M388" s="14">
        <v>45874.656944444447</v>
      </c>
      <c r="N388" s="6">
        <v>80263</v>
      </c>
      <c r="O388" s="6" t="s">
        <v>92</v>
      </c>
      <c r="P388" s="6" t="s">
        <v>453</v>
      </c>
      <c r="Q388" s="6" t="s">
        <v>659</v>
      </c>
      <c r="R388" s="6" t="s">
        <v>659</v>
      </c>
      <c r="S388" s="6" t="s">
        <v>9</v>
      </c>
      <c r="T388" s="6" t="s">
        <v>248</v>
      </c>
      <c r="U388" s="6" t="s">
        <v>141</v>
      </c>
      <c r="V388" s="6" t="s">
        <v>1462</v>
      </c>
      <c r="W388" s="6" t="s">
        <v>92</v>
      </c>
      <c r="X388" s="6" t="s">
        <v>92</v>
      </c>
      <c r="Y388" s="6" t="s">
        <v>92</v>
      </c>
      <c r="Z388" s="6" t="s">
        <v>94</v>
      </c>
      <c r="AA388" s="6" t="s">
        <v>92</v>
      </c>
      <c r="AB388" s="6">
        <v>329.67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1463</v>
      </c>
      <c r="AJ388" s="6" t="s">
        <v>264</v>
      </c>
      <c r="AK388" s="6" t="s">
        <v>12</v>
      </c>
      <c r="AL388" s="6" t="s">
        <v>56</v>
      </c>
      <c r="AM388" s="6" t="s">
        <v>265</v>
      </c>
      <c r="AN388" s="6" t="s">
        <v>22</v>
      </c>
      <c r="AO388" s="6" t="s">
        <v>662</v>
      </c>
      <c r="AP388" s="6" t="s">
        <v>480</v>
      </c>
      <c r="AQ388" s="6" t="s">
        <v>39</v>
      </c>
    </row>
    <row r="389" spans="1:43" hidden="1" x14ac:dyDescent="0.25">
      <c r="A389" s="6">
        <v>22695418</v>
      </c>
      <c r="B389" s="6">
        <v>23498275</v>
      </c>
      <c r="C389" s="6" t="s">
        <v>241</v>
      </c>
      <c r="D389" s="14">
        <v>45875.757754629631</v>
      </c>
      <c r="E389" s="14">
        <v>45875.772199074083</v>
      </c>
      <c r="F389" s="6" t="s">
        <v>19</v>
      </c>
      <c r="G389" s="6" t="s">
        <v>19</v>
      </c>
      <c r="H389" s="6" t="s">
        <v>1464</v>
      </c>
      <c r="I389" s="6" t="s">
        <v>259</v>
      </c>
      <c r="J389" s="6" t="s">
        <v>1465</v>
      </c>
      <c r="K389" s="6" t="s">
        <v>1466</v>
      </c>
      <c r="L389" s="6" t="s">
        <v>1466</v>
      </c>
      <c r="M389" s="14">
        <v>45875.624305555553</v>
      </c>
      <c r="N389" s="6">
        <v>79691</v>
      </c>
      <c r="O389" s="6" t="s">
        <v>92</v>
      </c>
      <c r="P389" s="6" t="s">
        <v>245</v>
      </c>
      <c r="Q389" s="6" t="s">
        <v>659</v>
      </c>
      <c r="R389" s="6" t="s">
        <v>659</v>
      </c>
      <c r="S389" s="6" t="s">
        <v>9</v>
      </c>
      <c r="T389" s="6" t="s">
        <v>248</v>
      </c>
      <c r="U389" s="6" t="s">
        <v>141</v>
      </c>
      <c r="V389" s="6" t="s">
        <v>1462</v>
      </c>
      <c r="W389" s="6" t="s">
        <v>92</v>
      </c>
      <c r="X389" s="6" t="s">
        <v>92</v>
      </c>
      <c r="Y389" s="6" t="s">
        <v>92</v>
      </c>
      <c r="Z389" s="6" t="s">
        <v>94</v>
      </c>
      <c r="AA389" s="6" t="s">
        <v>92</v>
      </c>
      <c r="AB389" s="6">
        <v>306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1467</v>
      </c>
      <c r="AJ389" s="6" t="s">
        <v>264</v>
      </c>
      <c r="AK389" s="6" t="s">
        <v>12</v>
      </c>
      <c r="AL389" s="6" t="s">
        <v>56</v>
      </c>
      <c r="AM389" s="6" t="s">
        <v>265</v>
      </c>
      <c r="AN389" s="6" t="s">
        <v>22</v>
      </c>
      <c r="AO389" s="6" t="s">
        <v>253</v>
      </c>
      <c r="AP389" s="6" t="s">
        <v>254</v>
      </c>
      <c r="AQ389" s="6" t="s">
        <v>20</v>
      </c>
    </row>
    <row r="390" spans="1:43" hidden="1" x14ac:dyDescent="0.25">
      <c r="A390" s="6">
        <v>22702771</v>
      </c>
      <c r="B390" s="6">
        <v>23504897</v>
      </c>
      <c r="C390" s="6" t="s">
        <v>241</v>
      </c>
      <c r="D390" s="14">
        <v>45876.75818287037</v>
      </c>
      <c r="E390" s="14">
        <v>45876.771724537037</v>
      </c>
      <c r="F390" s="6" t="s">
        <v>19</v>
      </c>
      <c r="G390" s="6" t="s">
        <v>19</v>
      </c>
      <c r="H390" s="6" t="s">
        <v>1468</v>
      </c>
      <c r="I390" s="6" t="s">
        <v>259</v>
      </c>
      <c r="J390" s="6" t="s">
        <v>1469</v>
      </c>
      <c r="K390" s="6" t="s">
        <v>1466</v>
      </c>
      <c r="L390" s="6" t="s">
        <v>1466</v>
      </c>
      <c r="M390" s="14">
        <v>45876.628472222219</v>
      </c>
      <c r="N390" s="6">
        <v>79890</v>
      </c>
      <c r="O390" s="6" t="s">
        <v>92</v>
      </c>
      <c r="P390" s="6" t="s">
        <v>245</v>
      </c>
      <c r="Q390" s="6" t="s">
        <v>659</v>
      </c>
      <c r="R390" s="6" t="s">
        <v>659</v>
      </c>
      <c r="S390" s="6" t="s">
        <v>9</v>
      </c>
      <c r="T390" s="6" t="s">
        <v>248</v>
      </c>
      <c r="U390" s="6" t="s">
        <v>141</v>
      </c>
      <c r="V390" s="6" t="s">
        <v>1462</v>
      </c>
      <c r="W390" s="6" t="s">
        <v>92</v>
      </c>
      <c r="X390" s="6" t="s">
        <v>92</v>
      </c>
      <c r="Y390" s="6" t="s">
        <v>92</v>
      </c>
      <c r="Z390" s="6" t="s">
        <v>94</v>
      </c>
      <c r="AA390" s="6" t="s">
        <v>92</v>
      </c>
      <c r="AB390" s="6">
        <v>640</v>
      </c>
      <c r="AC390" s="6">
        <v>0</v>
      </c>
      <c r="AD390" s="6">
        <v>0</v>
      </c>
      <c r="AE390" s="6">
        <v>0</v>
      </c>
      <c r="AF390" s="6">
        <v>0</v>
      </c>
      <c r="AG390" s="6">
        <v>32</v>
      </c>
      <c r="AH390" s="6">
        <v>0</v>
      </c>
      <c r="AI390" s="6" t="s">
        <v>1470</v>
      </c>
      <c r="AJ390" s="6" t="s">
        <v>264</v>
      </c>
      <c r="AK390" s="6" t="s">
        <v>12</v>
      </c>
      <c r="AL390" s="6" t="s">
        <v>56</v>
      </c>
      <c r="AM390" s="6" t="s">
        <v>265</v>
      </c>
      <c r="AN390" s="6" t="s">
        <v>22</v>
      </c>
      <c r="AO390" s="6" t="s">
        <v>253</v>
      </c>
      <c r="AP390" s="6" t="s">
        <v>254</v>
      </c>
      <c r="AQ390" s="6" t="s">
        <v>20</v>
      </c>
    </row>
    <row r="391" spans="1:43" hidden="1" x14ac:dyDescent="0.25">
      <c r="A391" s="6">
        <v>22705909</v>
      </c>
      <c r="B391" s="6">
        <v>23507540</v>
      </c>
      <c r="C391" s="6" t="s">
        <v>241</v>
      </c>
      <c r="D391" s="14">
        <v>45877.251388888893</v>
      </c>
      <c r="E391" s="14">
        <v>45877.25409722222</v>
      </c>
      <c r="F391" s="6" t="s">
        <v>19</v>
      </c>
      <c r="G391" s="6" t="s">
        <v>19</v>
      </c>
      <c r="H391" s="6" t="s">
        <v>1471</v>
      </c>
      <c r="I391" s="6" t="s">
        <v>259</v>
      </c>
      <c r="J391" s="6" t="s">
        <v>1472</v>
      </c>
      <c r="K391" s="6" t="s">
        <v>665</v>
      </c>
      <c r="L391" s="6" t="s">
        <v>665</v>
      </c>
      <c r="M391" s="14">
        <v>45876.769444444442</v>
      </c>
      <c r="N391" s="6">
        <v>80760</v>
      </c>
      <c r="O391" s="6" t="s">
        <v>92</v>
      </c>
      <c r="P391" s="6" t="s">
        <v>453</v>
      </c>
      <c r="Q391" s="6" t="s">
        <v>659</v>
      </c>
      <c r="R391" s="6" t="s">
        <v>659</v>
      </c>
      <c r="S391" s="6" t="s">
        <v>9</v>
      </c>
      <c r="T391" s="6" t="s">
        <v>248</v>
      </c>
      <c r="U391" s="6" t="s">
        <v>141</v>
      </c>
      <c r="V391" s="6" t="s">
        <v>1462</v>
      </c>
      <c r="W391" s="6" t="s">
        <v>92</v>
      </c>
      <c r="X391" s="6" t="s">
        <v>92</v>
      </c>
      <c r="Y391" s="6" t="s">
        <v>92</v>
      </c>
      <c r="Z391" s="6" t="s">
        <v>94</v>
      </c>
      <c r="AA391" s="6" t="s">
        <v>92</v>
      </c>
      <c r="AB391" s="6">
        <v>286.88</v>
      </c>
      <c r="AC391" s="6">
        <v>0</v>
      </c>
      <c r="AD391" s="6">
        <v>0</v>
      </c>
      <c r="AE391" s="6">
        <v>0</v>
      </c>
      <c r="AF391" s="6">
        <v>0</v>
      </c>
      <c r="AG391" s="6">
        <v>8.61</v>
      </c>
      <c r="AH391" s="6">
        <v>0</v>
      </c>
      <c r="AI391" s="6" t="s">
        <v>1473</v>
      </c>
      <c r="AJ391" s="6" t="s">
        <v>264</v>
      </c>
      <c r="AK391" s="6" t="s">
        <v>12</v>
      </c>
      <c r="AL391" s="6" t="s">
        <v>56</v>
      </c>
      <c r="AM391" s="6" t="s">
        <v>265</v>
      </c>
      <c r="AN391" s="6" t="s">
        <v>22</v>
      </c>
      <c r="AO391" s="6" t="s">
        <v>662</v>
      </c>
      <c r="AP391" s="6" t="s">
        <v>480</v>
      </c>
      <c r="AQ391" s="6" t="s">
        <v>39</v>
      </c>
    </row>
    <row r="392" spans="1:43" hidden="1" x14ac:dyDescent="0.25">
      <c r="A392" s="6">
        <v>22705927</v>
      </c>
      <c r="B392" s="6">
        <v>23507556</v>
      </c>
      <c r="C392" s="6" t="s">
        <v>241</v>
      </c>
      <c r="D392" s="14">
        <v>45877.251979166656</v>
      </c>
      <c r="E392" s="14">
        <v>45877.254583333342</v>
      </c>
      <c r="F392" s="6" t="s">
        <v>19</v>
      </c>
      <c r="G392" s="6" t="s">
        <v>19</v>
      </c>
      <c r="H392" s="6" t="s">
        <v>1474</v>
      </c>
      <c r="I392" s="6" t="s">
        <v>259</v>
      </c>
      <c r="J392" s="6" t="s">
        <v>1475</v>
      </c>
      <c r="K392" s="6" t="s">
        <v>665</v>
      </c>
      <c r="L392" s="6" t="s">
        <v>665</v>
      </c>
      <c r="M392" s="14">
        <v>45876.789583333331</v>
      </c>
      <c r="N392" s="6">
        <v>79778</v>
      </c>
      <c r="O392" s="6" t="s">
        <v>92</v>
      </c>
      <c r="P392" s="6" t="s">
        <v>453</v>
      </c>
      <c r="Q392" s="6" t="s">
        <v>659</v>
      </c>
      <c r="R392" s="6" t="s">
        <v>659</v>
      </c>
      <c r="S392" s="6" t="s">
        <v>9</v>
      </c>
      <c r="T392" s="6" t="s">
        <v>248</v>
      </c>
      <c r="U392" s="6" t="s">
        <v>141</v>
      </c>
      <c r="V392" s="6" t="s">
        <v>1462</v>
      </c>
      <c r="W392" s="6" t="s">
        <v>92</v>
      </c>
      <c r="X392" s="6" t="s">
        <v>92</v>
      </c>
      <c r="Y392" s="6" t="s">
        <v>92</v>
      </c>
      <c r="Z392" s="6" t="s">
        <v>94</v>
      </c>
      <c r="AA392" s="6" t="s">
        <v>92</v>
      </c>
      <c r="AB392" s="6">
        <v>315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1476</v>
      </c>
      <c r="AJ392" s="6" t="s">
        <v>264</v>
      </c>
      <c r="AK392" s="6" t="s">
        <v>12</v>
      </c>
      <c r="AL392" s="6" t="s">
        <v>56</v>
      </c>
      <c r="AM392" s="6" t="s">
        <v>265</v>
      </c>
      <c r="AN392" s="6" t="s">
        <v>22</v>
      </c>
      <c r="AO392" s="6" t="s">
        <v>662</v>
      </c>
      <c r="AP392" s="6" t="s">
        <v>480</v>
      </c>
      <c r="AQ392" s="6" t="s">
        <v>39</v>
      </c>
    </row>
    <row r="393" spans="1:43" hidden="1" x14ac:dyDescent="0.25">
      <c r="A393" s="6">
        <v>22705931</v>
      </c>
      <c r="B393" s="6">
        <v>23507560</v>
      </c>
      <c r="C393" s="6" t="s">
        <v>241</v>
      </c>
      <c r="D393" s="14">
        <v>45877.252152777779</v>
      </c>
      <c r="E393" s="14">
        <v>45877.254780092589</v>
      </c>
      <c r="F393" s="6" t="s">
        <v>19</v>
      </c>
      <c r="G393" s="6" t="s">
        <v>19</v>
      </c>
      <c r="H393" s="6" t="s">
        <v>1477</v>
      </c>
      <c r="I393" s="6" t="s">
        <v>259</v>
      </c>
      <c r="J393" s="6" t="s">
        <v>1475</v>
      </c>
      <c r="K393" s="6" t="s">
        <v>665</v>
      </c>
      <c r="L393" s="6" t="s">
        <v>665</v>
      </c>
      <c r="M393" s="14">
        <v>45876.789583333331</v>
      </c>
      <c r="N393" s="6">
        <v>79774</v>
      </c>
      <c r="O393" s="6" t="s">
        <v>92</v>
      </c>
      <c r="P393" s="6" t="s">
        <v>453</v>
      </c>
      <c r="Q393" s="6" t="s">
        <v>659</v>
      </c>
      <c r="R393" s="6" t="s">
        <v>659</v>
      </c>
      <c r="S393" s="6" t="s">
        <v>9</v>
      </c>
      <c r="T393" s="6" t="s">
        <v>248</v>
      </c>
      <c r="U393" s="6" t="s">
        <v>141</v>
      </c>
      <c r="V393" s="6" t="s">
        <v>1462</v>
      </c>
      <c r="W393" s="6" t="s">
        <v>92</v>
      </c>
      <c r="X393" s="6" t="s">
        <v>92</v>
      </c>
      <c r="Y393" s="6" t="s">
        <v>92</v>
      </c>
      <c r="Z393" s="6" t="s">
        <v>94</v>
      </c>
      <c r="AA393" s="6" t="s">
        <v>92</v>
      </c>
      <c r="AB393" s="6">
        <v>315</v>
      </c>
      <c r="AC393" s="6">
        <v>0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1478</v>
      </c>
      <c r="AJ393" s="6" t="s">
        <v>264</v>
      </c>
      <c r="AK393" s="6" t="s">
        <v>12</v>
      </c>
      <c r="AL393" s="6" t="s">
        <v>56</v>
      </c>
      <c r="AM393" s="6" t="s">
        <v>265</v>
      </c>
      <c r="AN393" s="6" t="s">
        <v>22</v>
      </c>
      <c r="AO393" s="6" t="s">
        <v>662</v>
      </c>
      <c r="AP393" s="6" t="s">
        <v>480</v>
      </c>
      <c r="AQ393" s="6" t="s">
        <v>39</v>
      </c>
    </row>
    <row r="394" spans="1:43" hidden="1" x14ac:dyDescent="0.25">
      <c r="A394" s="6">
        <v>22677992</v>
      </c>
      <c r="B394" s="6">
        <v>23482583</v>
      </c>
      <c r="C394" s="6" t="s">
        <v>241</v>
      </c>
      <c r="D394" s="14">
        <v>45873.501828703702</v>
      </c>
      <c r="E394" s="14">
        <v>45873.503888888888</v>
      </c>
      <c r="F394" s="6" t="s">
        <v>21</v>
      </c>
      <c r="G394" s="6" t="s">
        <v>21</v>
      </c>
      <c r="H394" s="6" t="s">
        <v>1479</v>
      </c>
      <c r="I394" s="6" t="s">
        <v>259</v>
      </c>
      <c r="J394" s="6" t="s">
        <v>1480</v>
      </c>
      <c r="K394" s="6" t="s">
        <v>665</v>
      </c>
      <c r="L394" s="6" t="s">
        <v>665</v>
      </c>
      <c r="M394" s="14">
        <v>45873.497916666667</v>
      </c>
      <c r="N394" s="6">
        <v>79965</v>
      </c>
      <c r="O394" s="6" t="s">
        <v>92</v>
      </c>
      <c r="P394" s="6" t="s">
        <v>453</v>
      </c>
      <c r="Q394" s="6" t="s">
        <v>659</v>
      </c>
      <c r="R394" s="6" t="s">
        <v>659</v>
      </c>
      <c r="S394" s="6" t="s">
        <v>9</v>
      </c>
      <c r="T394" s="6" t="s">
        <v>248</v>
      </c>
      <c r="U394" s="6" t="s">
        <v>141</v>
      </c>
      <c r="V394" s="6" t="s">
        <v>1462</v>
      </c>
      <c r="W394" s="6" t="s">
        <v>92</v>
      </c>
      <c r="X394" s="6" t="s">
        <v>92</v>
      </c>
      <c r="Y394" s="6" t="s">
        <v>92</v>
      </c>
      <c r="Z394" s="6" t="s">
        <v>94</v>
      </c>
      <c r="AA394" s="6" t="s">
        <v>92</v>
      </c>
      <c r="AB394" s="6">
        <v>290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 t="s">
        <v>1481</v>
      </c>
      <c r="AJ394" s="6" t="s">
        <v>264</v>
      </c>
      <c r="AK394" s="6" t="s">
        <v>12</v>
      </c>
      <c r="AL394" s="6" t="s">
        <v>56</v>
      </c>
      <c r="AM394" s="6" t="s">
        <v>265</v>
      </c>
      <c r="AN394" s="6" t="s">
        <v>22</v>
      </c>
      <c r="AO394" s="6" t="s">
        <v>662</v>
      </c>
      <c r="AP394" s="6" t="s">
        <v>480</v>
      </c>
      <c r="AQ394" s="6" t="s">
        <v>39</v>
      </c>
    </row>
    <row r="395" spans="1:43" hidden="1" x14ac:dyDescent="0.25">
      <c r="A395" s="6">
        <v>22680436</v>
      </c>
      <c r="B395" s="6">
        <v>23484905</v>
      </c>
      <c r="C395" s="6" t="s">
        <v>241</v>
      </c>
      <c r="D395" s="14">
        <v>45873.753240740742</v>
      </c>
      <c r="E395" s="14">
        <v>45873.761041666658</v>
      </c>
      <c r="F395" s="6" t="s">
        <v>21</v>
      </c>
      <c r="G395" s="6" t="s">
        <v>21</v>
      </c>
      <c r="H395" s="6" t="s">
        <v>1482</v>
      </c>
      <c r="I395" s="6" t="s">
        <v>259</v>
      </c>
      <c r="J395" s="6" t="s">
        <v>1483</v>
      </c>
      <c r="K395" s="6" t="s">
        <v>1484</v>
      </c>
      <c r="L395" s="6" t="s">
        <v>1484</v>
      </c>
      <c r="M395" s="14">
        <v>45873.60833333333</v>
      </c>
      <c r="N395" s="6">
        <v>79826</v>
      </c>
      <c r="O395" s="6" t="s">
        <v>92</v>
      </c>
      <c r="P395" s="6" t="s">
        <v>245</v>
      </c>
      <c r="Q395" s="6" t="s">
        <v>659</v>
      </c>
      <c r="R395" s="6" t="s">
        <v>659</v>
      </c>
      <c r="S395" s="6" t="s">
        <v>9</v>
      </c>
      <c r="T395" s="6" t="s">
        <v>248</v>
      </c>
      <c r="U395" s="6" t="s">
        <v>141</v>
      </c>
      <c r="V395" s="6" t="s">
        <v>1462</v>
      </c>
      <c r="W395" s="6" t="s">
        <v>92</v>
      </c>
      <c r="X395" s="6" t="s">
        <v>92</v>
      </c>
      <c r="Y395" s="6" t="s">
        <v>92</v>
      </c>
      <c r="Z395" s="6" t="s">
        <v>94</v>
      </c>
      <c r="AA395" s="6" t="s">
        <v>92</v>
      </c>
      <c r="AB395" s="6">
        <v>1616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1485</v>
      </c>
      <c r="AJ395" s="6" t="s">
        <v>264</v>
      </c>
      <c r="AK395" s="6" t="s">
        <v>12</v>
      </c>
      <c r="AL395" s="6" t="s">
        <v>56</v>
      </c>
      <c r="AM395" s="6" t="s">
        <v>265</v>
      </c>
      <c r="AN395" s="6" t="s">
        <v>22</v>
      </c>
      <c r="AO395" s="6" t="s">
        <v>253</v>
      </c>
      <c r="AP395" s="6" t="s">
        <v>254</v>
      </c>
      <c r="AQ395" s="6" t="s">
        <v>20</v>
      </c>
    </row>
    <row r="396" spans="1:43" hidden="1" x14ac:dyDescent="0.25">
      <c r="A396" s="6">
        <v>22702713</v>
      </c>
      <c r="B396" s="6">
        <v>23504838</v>
      </c>
      <c r="C396" s="6" t="s">
        <v>241</v>
      </c>
      <c r="D396" s="14">
        <v>45876.755428240736</v>
      </c>
      <c r="E396" s="14">
        <v>45876.762499999997</v>
      </c>
      <c r="F396" s="6" t="s">
        <v>19</v>
      </c>
      <c r="G396" s="6" t="s">
        <v>19</v>
      </c>
      <c r="H396" s="6" t="s">
        <v>1486</v>
      </c>
      <c r="I396" s="6" t="s">
        <v>259</v>
      </c>
      <c r="J396" s="6" t="s">
        <v>1487</v>
      </c>
      <c r="K396" s="6" t="s">
        <v>1189</v>
      </c>
      <c r="L396" s="6" t="s">
        <v>1189</v>
      </c>
      <c r="M396" s="14">
        <v>45876.736111111109</v>
      </c>
      <c r="N396" s="6">
        <v>80526</v>
      </c>
      <c r="O396" s="6" t="s">
        <v>92</v>
      </c>
      <c r="P396" s="6" t="s">
        <v>245</v>
      </c>
      <c r="Q396" s="6" t="s">
        <v>659</v>
      </c>
      <c r="R396" s="6" t="s">
        <v>659</v>
      </c>
      <c r="S396" s="6" t="s">
        <v>9</v>
      </c>
      <c r="T396" s="6" t="s">
        <v>248</v>
      </c>
      <c r="U396" s="6" t="s">
        <v>141</v>
      </c>
      <c r="V396" s="6" t="s">
        <v>1462</v>
      </c>
      <c r="W396" s="6" t="s">
        <v>92</v>
      </c>
      <c r="X396" s="6" t="s">
        <v>92</v>
      </c>
      <c r="Y396" s="6" t="s">
        <v>92</v>
      </c>
      <c r="Z396" s="6" t="s">
        <v>94</v>
      </c>
      <c r="AA396" s="6" t="s">
        <v>92</v>
      </c>
      <c r="AB396" s="6">
        <v>640</v>
      </c>
      <c r="AC396" s="6">
        <v>0</v>
      </c>
      <c r="AD396" s="6">
        <v>0</v>
      </c>
      <c r="AE396" s="6">
        <v>0</v>
      </c>
      <c r="AF396" s="6">
        <v>0</v>
      </c>
      <c r="AG396" s="6">
        <v>32</v>
      </c>
      <c r="AH396" s="6">
        <v>0</v>
      </c>
      <c r="AI396" s="6" t="s">
        <v>1488</v>
      </c>
      <c r="AJ396" s="6" t="s">
        <v>264</v>
      </c>
      <c r="AK396" s="6" t="s">
        <v>12</v>
      </c>
      <c r="AL396" s="6" t="s">
        <v>56</v>
      </c>
      <c r="AM396" s="6" t="s">
        <v>265</v>
      </c>
      <c r="AN396" s="6" t="s">
        <v>22</v>
      </c>
      <c r="AO396" s="6" t="s">
        <v>253</v>
      </c>
      <c r="AP396" s="6" t="s">
        <v>254</v>
      </c>
      <c r="AQ396" s="6" t="s">
        <v>20</v>
      </c>
    </row>
    <row r="397" spans="1:43" hidden="1" x14ac:dyDescent="0.25">
      <c r="A397" s="6">
        <v>22702790</v>
      </c>
      <c r="B397" s="6">
        <v>23504914</v>
      </c>
      <c r="C397" s="6" t="s">
        <v>241</v>
      </c>
      <c r="D397" s="14">
        <v>45876.758923611109</v>
      </c>
      <c r="E397" s="14">
        <v>45876.772800925923</v>
      </c>
      <c r="F397" s="6" t="s">
        <v>19</v>
      </c>
      <c r="G397" s="6" t="s">
        <v>19</v>
      </c>
      <c r="H397" s="6" t="s">
        <v>1489</v>
      </c>
      <c r="I397" s="6" t="s">
        <v>259</v>
      </c>
      <c r="J397" s="6" t="s">
        <v>1490</v>
      </c>
      <c r="K397" s="6" t="s">
        <v>1491</v>
      </c>
      <c r="L397" s="6" t="s">
        <v>1491</v>
      </c>
      <c r="M397" s="14">
        <v>45876.572222222218</v>
      </c>
      <c r="N397" s="6">
        <v>79043</v>
      </c>
      <c r="O397" s="6" t="s">
        <v>92</v>
      </c>
      <c r="P397" s="6" t="s">
        <v>245</v>
      </c>
      <c r="Q397" s="6" t="s">
        <v>659</v>
      </c>
      <c r="R397" s="6" t="s">
        <v>659</v>
      </c>
      <c r="S397" s="6" t="s">
        <v>9</v>
      </c>
      <c r="T397" s="6" t="s">
        <v>248</v>
      </c>
      <c r="U397" s="6" t="s">
        <v>141</v>
      </c>
      <c r="V397" s="6" t="s">
        <v>1462</v>
      </c>
      <c r="W397" s="6" t="s">
        <v>92</v>
      </c>
      <c r="X397" s="6" t="s">
        <v>92</v>
      </c>
      <c r="Y397" s="6" t="s">
        <v>92</v>
      </c>
      <c r="Z397" s="6" t="s">
        <v>94</v>
      </c>
      <c r="AA397" s="6" t="s">
        <v>92</v>
      </c>
      <c r="AB397" s="6">
        <v>550</v>
      </c>
      <c r="AC397" s="6">
        <v>0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1492</v>
      </c>
      <c r="AJ397" s="6" t="s">
        <v>264</v>
      </c>
      <c r="AK397" s="6" t="s">
        <v>12</v>
      </c>
      <c r="AL397" s="6" t="s">
        <v>56</v>
      </c>
      <c r="AM397" s="6" t="s">
        <v>265</v>
      </c>
      <c r="AN397" s="6" t="s">
        <v>22</v>
      </c>
      <c r="AO397" s="6" t="s">
        <v>253</v>
      </c>
      <c r="AP397" s="6" t="s">
        <v>254</v>
      </c>
      <c r="AQ397" s="6" t="s">
        <v>20</v>
      </c>
    </row>
    <row r="398" spans="1:43" hidden="1" x14ac:dyDescent="0.25">
      <c r="A398" s="6">
        <v>22682820</v>
      </c>
      <c r="B398" s="6">
        <v>23487170</v>
      </c>
      <c r="C398" s="6" t="s">
        <v>241</v>
      </c>
      <c r="D398" s="14">
        <v>45874.001956018517</v>
      </c>
      <c r="E398" s="14">
        <v>45874.004479166673</v>
      </c>
      <c r="F398" s="6" t="s">
        <v>21</v>
      </c>
      <c r="G398" s="6" t="s">
        <v>21</v>
      </c>
      <c r="H398" s="6" t="s">
        <v>1493</v>
      </c>
      <c r="I398" s="6" t="s">
        <v>259</v>
      </c>
      <c r="J398" s="6" t="s">
        <v>1494</v>
      </c>
      <c r="K398" s="6" t="s">
        <v>665</v>
      </c>
      <c r="L398" s="6" t="s">
        <v>665</v>
      </c>
      <c r="M398" s="14">
        <v>45873.801388888889</v>
      </c>
      <c r="N398" s="6">
        <v>80108</v>
      </c>
      <c r="O398" s="6" t="s">
        <v>92</v>
      </c>
      <c r="P398" s="6" t="s">
        <v>453</v>
      </c>
      <c r="Q398" s="6" t="s">
        <v>659</v>
      </c>
      <c r="R398" s="6" t="s">
        <v>659</v>
      </c>
      <c r="S398" s="6" t="s">
        <v>9</v>
      </c>
      <c r="T398" s="6" t="s">
        <v>248</v>
      </c>
      <c r="U398" s="6" t="s">
        <v>141</v>
      </c>
      <c r="V398" s="6" t="s">
        <v>1462</v>
      </c>
      <c r="W398" s="6" t="s">
        <v>92</v>
      </c>
      <c r="X398" s="6" t="s">
        <v>92</v>
      </c>
      <c r="Y398" s="6" t="s">
        <v>92</v>
      </c>
      <c r="Z398" s="6" t="s">
        <v>94</v>
      </c>
      <c r="AA398" s="6" t="s">
        <v>92</v>
      </c>
      <c r="AB398" s="6">
        <v>1229.0001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 t="s">
        <v>1495</v>
      </c>
      <c r="AJ398" s="6" t="s">
        <v>264</v>
      </c>
      <c r="AK398" s="6" t="s">
        <v>12</v>
      </c>
      <c r="AL398" s="6" t="s">
        <v>56</v>
      </c>
      <c r="AM398" s="6" t="s">
        <v>265</v>
      </c>
      <c r="AN398" s="6" t="s">
        <v>22</v>
      </c>
      <c r="AO398" s="6" t="s">
        <v>662</v>
      </c>
      <c r="AP398" s="6" t="s">
        <v>480</v>
      </c>
      <c r="AQ398" s="6" t="s">
        <v>39</v>
      </c>
    </row>
    <row r="399" spans="1:43" hidden="1" x14ac:dyDescent="0.25">
      <c r="A399" s="6">
        <v>22678508</v>
      </c>
      <c r="B399" s="6">
        <v>23483080</v>
      </c>
      <c r="C399" s="6" t="s">
        <v>241</v>
      </c>
      <c r="D399" s="14">
        <v>45873.519953703697</v>
      </c>
      <c r="E399" s="14">
        <v>45873.543993055559</v>
      </c>
      <c r="F399" s="6" t="s">
        <v>21</v>
      </c>
      <c r="G399" s="6" t="s">
        <v>21</v>
      </c>
      <c r="H399" s="6" t="s">
        <v>1496</v>
      </c>
      <c r="I399" s="6" t="s">
        <v>259</v>
      </c>
      <c r="J399" s="6" t="s">
        <v>1497</v>
      </c>
      <c r="K399" s="6" t="s">
        <v>665</v>
      </c>
      <c r="L399" s="6" t="s">
        <v>665</v>
      </c>
      <c r="M399" s="14">
        <v>45873.412499999999</v>
      </c>
      <c r="N399" s="6">
        <v>21822</v>
      </c>
      <c r="O399" s="6" t="s">
        <v>92</v>
      </c>
      <c r="P399" s="6" t="s">
        <v>453</v>
      </c>
      <c r="Q399" s="6" t="s">
        <v>428</v>
      </c>
      <c r="R399" s="6" t="s">
        <v>428</v>
      </c>
      <c r="S399" s="6" t="s">
        <v>9</v>
      </c>
      <c r="T399" s="6" t="s">
        <v>248</v>
      </c>
      <c r="U399" s="6" t="s">
        <v>163</v>
      </c>
      <c r="V399" s="6" t="s">
        <v>1498</v>
      </c>
      <c r="W399" s="6" t="s">
        <v>92</v>
      </c>
      <c r="X399" s="6" t="s">
        <v>92</v>
      </c>
      <c r="Y399" s="6" t="s">
        <v>92</v>
      </c>
      <c r="Z399" s="6" t="s">
        <v>110</v>
      </c>
      <c r="AA399" s="6" t="s">
        <v>92</v>
      </c>
      <c r="AB399" s="6">
        <v>263.75</v>
      </c>
      <c r="AC399" s="6">
        <v>0</v>
      </c>
      <c r="AD399" s="6">
        <v>0</v>
      </c>
      <c r="AE399" s="6">
        <v>0</v>
      </c>
      <c r="AF399" s="6">
        <v>0</v>
      </c>
      <c r="AG399" s="6">
        <v>0</v>
      </c>
      <c r="AH399" s="6">
        <v>0</v>
      </c>
      <c r="AI399" s="6" t="s">
        <v>1499</v>
      </c>
      <c r="AJ399" s="6" t="s">
        <v>264</v>
      </c>
      <c r="AK399" s="6" t="s">
        <v>12</v>
      </c>
      <c r="AL399" s="6" t="s">
        <v>56</v>
      </c>
      <c r="AM399" s="6" t="s">
        <v>265</v>
      </c>
      <c r="AN399" s="6" t="s">
        <v>22</v>
      </c>
      <c r="AO399" s="6" t="s">
        <v>662</v>
      </c>
      <c r="AP399" s="6" t="s">
        <v>480</v>
      </c>
      <c r="AQ399" s="6" t="s">
        <v>39</v>
      </c>
    </row>
    <row r="400" spans="1:43" hidden="1" x14ac:dyDescent="0.25">
      <c r="A400" s="6">
        <v>22688697</v>
      </c>
      <c r="B400" s="6">
        <v>23492340</v>
      </c>
      <c r="C400" s="6" t="s">
        <v>241</v>
      </c>
      <c r="D400" s="14">
        <v>45874.778645833343</v>
      </c>
      <c r="E400" s="14">
        <v>45874.794594907413</v>
      </c>
      <c r="F400" s="6" t="s">
        <v>21</v>
      </c>
      <c r="G400" s="6" t="s">
        <v>21</v>
      </c>
      <c r="H400" s="6" t="s">
        <v>1500</v>
      </c>
      <c r="I400" s="6" t="s">
        <v>259</v>
      </c>
      <c r="J400" s="6" t="s">
        <v>1501</v>
      </c>
      <c r="K400" s="6" t="s">
        <v>1274</v>
      </c>
      <c r="L400" s="6" t="s">
        <v>1274</v>
      </c>
      <c r="M400" s="14">
        <v>45874.570833333331</v>
      </c>
      <c r="N400" s="6">
        <v>21209</v>
      </c>
      <c r="O400" s="6" t="s">
        <v>92</v>
      </c>
      <c r="P400" s="6" t="s">
        <v>453</v>
      </c>
      <c r="Q400" s="6" t="s">
        <v>428</v>
      </c>
      <c r="R400" s="6" t="s">
        <v>477</v>
      </c>
      <c r="S400" s="6" t="s">
        <v>7</v>
      </c>
      <c r="T400" s="6" t="s">
        <v>248</v>
      </c>
      <c r="U400" s="6" t="s">
        <v>163</v>
      </c>
      <c r="V400" s="6" t="s">
        <v>1502</v>
      </c>
      <c r="W400" s="6" t="s">
        <v>92</v>
      </c>
      <c r="X400" s="6" t="s">
        <v>455</v>
      </c>
      <c r="Y400" s="6">
        <v>2142011770</v>
      </c>
      <c r="Z400" s="6" t="s">
        <v>110</v>
      </c>
      <c r="AA400" s="6" t="s">
        <v>92</v>
      </c>
      <c r="AB400" s="6">
        <v>2651.8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 t="s">
        <v>1503</v>
      </c>
      <c r="AJ400" s="6" t="s">
        <v>1504</v>
      </c>
      <c r="AK400" s="6" t="s">
        <v>12</v>
      </c>
      <c r="AL400" s="6" t="s">
        <v>57</v>
      </c>
      <c r="AM400" s="6" t="s">
        <v>288</v>
      </c>
      <c r="AN400" s="6" t="s">
        <v>28</v>
      </c>
      <c r="AO400" s="6" t="s">
        <v>253</v>
      </c>
      <c r="AP400" s="6" t="s">
        <v>480</v>
      </c>
      <c r="AQ400" s="6" t="s">
        <v>43</v>
      </c>
    </row>
    <row r="401" spans="1:43" hidden="1" x14ac:dyDescent="0.25">
      <c r="A401" s="6">
        <v>22703692</v>
      </c>
      <c r="B401" s="6">
        <v>23505788</v>
      </c>
      <c r="C401" s="6" t="s">
        <v>241</v>
      </c>
      <c r="D401" s="14">
        <v>45876.794259259259</v>
      </c>
      <c r="E401" s="14">
        <v>45876.83</v>
      </c>
      <c r="F401" s="6" t="s">
        <v>19</v>
      </c>
      <c r="G401" s="6" t="s">
        <v>19</v>
      </c>
      <c r="H401" s="6" t="s">
        <v>1505</v>
      </c>
      <c r="I401" s="6" t="s">
        <v>259</v>
      </c>
      <c r="J401" s="6" t="s">
        <v>1506</v>
      </c>
      <c r="K401" s="6" t="s">
        <v>665</v>
      </c>
      <c r="L401" s="6" t="s">
        <v>665</v>
      </c>
      <c r="M401" s="14">
        <v>45876.665972222218</v>
      </c>
      <c r="N401" s="6">
        <v>22132</v>
      </c>
      <c r="O401" s="6" t="s">
        <v>92</v>
      </c>
      <c r="P401" s="6" t="s">
        <v>453</v>
      </c>
      <c r="Q401" s="6" t="s">
        <v>428</v>
      </c>
      <c r="R401" s="6" t="s">
        <v>428</v>
      </c>
      <c r="S401" s="6" t="s">
        <v>9</v>
      </c>
      <c r="T401" s="6" t="s">
        <v>248</v>
      </c>
      <c r="U401" s="6" t="s">
        <v>163</v>
      </c>
      <c r="V401" s="6" t="s">
        <v>1507</v>
      </c>
      <c r="W401" s="6" t="s">
        <v>92</v>
      </c>
      <c r="X401" s="6" t="s">
        <v>92</v>
      </c>
      <c r="Y401" s="6" t="s">
        <v>92</v>
      </c>
      <c r="Z401" s="6" t="s">
        <v>110</v>
      </c>
      <c r="AA401" s="6" t="s">
        <v>92</v>
      </c>
      <c r="AB401" s="6">
        <v>296.39999999999998</v>
      </c>
      <c r="AC401" s="6">
        <v>0</v>
      </c>
      <c r="AD401" s="6">
        <v>0</v>
      </c>
      <c r="AE401" s="6">
        <v>0</v>
      </c>
      <c r="AF401" s="6">
        <v>0</v>
      </c>
      <c r="AG401" s="6">
        <v>0</v>
      </c>
      <c r="AH401" s="6">
        <v>0</v>
      </c>
      <c r="AI401" s="6" t="s">
        <v>1508</v>
      </c>
      <c r="AJ401" s="6" t="s">
        <v>264</v>
      </c>
      <c r="AK401" s="6" t="s">
        <v>12</v>
      </c>
      <c r="AL401" s="6" t="s">
        <v>56</v>
      </c>
      <c r="AM401" s="6" t="s">
        <v>265</v>
      </c>
      <c r="AN401" s="6" t="s">
        <v>22</v>
      </c>
      <c r="AO401" s="6" t="s">
        <v>662</v>
      </c>
      <c r="AP401" s="6" t="s">
        <v>480</v>
      </c>
      <c r="AQ401" s="6" t="s">
        <v>39</v>
      </c>
    </row>
    <row r="402" spans="1:43" hidden="1" x14ac:dyDescent="0.25">
      <c r="A402" s="6">
        <v>22703730</v>
      </c>
      <c r="B402" s="6">
        <v>23505818</v>
      </c>
      <c r="C402" s="6" t="s">
        <v>241</v>
      </c>
      <c r="D402" s="14">
        <v>45876.795914351853</v>
      </c>
      <c r="E402" s="14">
        <v>45876.830983796302</v>
      </c>
      <c r="F402" s="6" t="s">
        <v>19</v>
      </c>
      <c r="G402" s="6" t="s">
        <v>19</v>
      </c>
      <c r="H402" s="6" t="s">
        <v>1509</v>
      </c>
      <c r="I402" s="6" t="s">
        <v>259</v>
      </c>
      <c r="J402" s="6" t="s">
        <v>1510</v>
      </c>
      <c r="K402" s="6" t="s">
        <v>665</v>
      </c>
      <c r="L402" s="6" t="s">
        <v>665</v>
      </c>
      <c r="M402" s="14">
        <v>45876.666666666657</v>
      </c>
      <c r="N402" s="6">
        <v>21900</v>
      </c>
      <c r="O402" s="6" t="s">
        <v>92</v>
      </c>
      <c r="P402" s="6" t="s">
        <v>453</v>
      </c>
      <c r="Q402" s="6" t="s">
        <v>428</v>
      </c>
      <c r="R402" s="6" t="s">
        <v>428</v>
      </c>
      <c r="S402" s="6" t="s">
        <v>9</v>
      </c>
      <c r="T402" s="6" t="s">
        <v>248</v>
      </c>
      <c r="U402" s="6" t="s">
        <v>163</v>
      </c>
      <c r="V402" s="6" t="s">
        <v>1507</v>
      </c>
      <c r="W402" s="6" t="s">
        <v>92</v>
      </c>
      <c r="X402" s="6" t="s">
        <v>92</v>
      </c>
      <c r="Y402" s="6" t="s">
        <v>92</v>
      </c>
      <c r="Z402" s="6" t="s">
        <v>110</v>
      </c>
      <c r="AA402" s="6" t="s">
        <v>92</v>
      </c>
      <c r="AB402" s="6">
        <v>603.99990000000003</v>
      </c>
      <c r="AC402" s="6">
        <v>0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 t="s">
        <v>1511</v>
      </c>
      <c r="AJ402" s="6" t="s">
        <v>264</v>
      </c>
      <c r="AK402" s="6" t="s">
        <v>12</v>
      </c>
      <c r="AL402" s="6" t="s">
        <v>56</v>
      </c>
      <c r="AM402" s="6" t="s">
        <v>265</v>
      </c>
      <c r="AN402" s="6" t="s">
        <v>22</v>
      </c>
      <c r="AO402" s="6" t="s">
        <v>662</v>
      </c>
      <c r="AP402" s="6" t="s">
        <v>480</v>
      </c>
      <c r="AQ402" s="6" t="s">
        <v>39</v>
      </c>
    </row>
    <row r="403" spans="1:43" hidden="1" x14ac:dyDescent="0.25">
      <c r="A403" s="6">
        <v>22679477</v>
      </c>
      <c r="B403" s="6">
        <v>23483931</v>
      </c>
      <c r="C403" s="6" t="s">
        <v>241</v>
      </c>
      <c r="D403" s="14">
        <v>45873.65079861111</v>
      </c>
      <c r="E403" s="14">
        <v>45873.653344907398</v>
      </c>
      <c r="F403" s="6" t="s">
        <v>21</v>
      </c>
      <c r="G403" s="6" t="s">
        <v>21</v>
      </c>
      <c r="H403" s="6">
        <v>19421049</v>
      </c>
      <c r="I403" s="6" t="s">
        <v>13</v>
      </c>
      <c r="J403" s="6" t="s">
        <v>1512</v>
      </c>
      <c r="K403" s="6" t="s">
        <v>648</v>
      </c>
      <c r="L403" s="6" t="s">
        <v>648</v>
      </c>
      <c r="M403" s="14">
        <v>45873.420138888891</v>
      </c>
      <c r="N403" s="6">
        <v>4576364</v>
      </c>
      <c r="O403" s="6" t="s">
        <v>92</v>
      </c>
      <c r="P403" s="6" t="s">
        <v>453</v>
      </c>
      <c r="Q403" s="6" t="s">
        <v>428</v>
      </c>
      <c r="R403" s="6" t="s">
        <v>428</v>
      </c>
      <c r="S403" s="6" t="s">
        <v>9</v>
      </c>
      <c r="T403" s="6" t="s">
        <v>248</v>
      </c>
      <c r="U403" s="6" t="s">
        <v>194</v>
      </c>
      <c r="V403" s="6" t="s">
        <v>1513</v>
      </c>
      <c r="W403" s="6" t="s">
        <v>92</v>
      </c>
      <c r="X403" s="6" t="s">
        <v>92</v>
      </c>
      <c r="Y403" s="6" t="s">
        <v>92</v>
      </c>
      <c r="Z403" s="6" t="s">
        <v>125</v>
      </c>
      <c r="AA403" s="6" t="s">
        <v>92</v>
      </c>
      <c r="AB403" s="6">
        <v>187</v>
      </c>
      <c r="AC403" s="6">
        <v>9.35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 t="s">
        <v>1514</v>
      </c>
      <c r="AJ403" s="6" t="s">
        <v>264</v>
      </c>
      <c r="AK403" s="6" t="s">
        <v>13</v>
      </c>
      <c r="AL403" s="6" t="s">
        <v>56</v>
      </c>
      <c r="AM403" s="6" t="s">
        <v>265</v>
      </c>
      <c r="AN403" s="6" t="s">
        <v>22</v>
      </c>
      <c r="AO403" s="6" t="s">
        <v>662</v>
      </c>
      <c r="AP403" s="6" t="s">
        <v>480</v>
      </c>
      <c r="AQ403" s="6" t="s">
        <v>39</v>
      </c>
    </row>
    <row r="404" spans="1:43" hidden="1" x14ac:dyDescent="0.25">
      <c r="A404" s="6">
        <v>22683082</v>
      </c>
      <c r="B404" s="6">
        <v>23487429</v>
      </c>
      <c r="C404" s="6" t="s">
        <v>241</v>
      </c>
      <c r="D404" s="14">
        <v>45874.011030092603</v>
      </c>
      <c r="E404" s="14">
        <v>45874.028124999997</v>
      </c>
      <c r="F404" s="6" t="s">
        <v>21</v>
      </c>
      <c r="G404" s="6" t="s">
        <v>21</v>
      </c>
      <c r="H404" s="6" t="s">
        <v>1515</v>
      </c>
      <c r="I404" s="6" t="s">
        <v>259</v>
      </c>
      <c r="J404" s="6" t="s">
        <v>1516</v>
      </c>
      <c r="K404" s="6" t="s">
        <v>665</v>
      </c>
      <c r="L404" s="6" t="s">
        <v>665</v>
      </c>
      <c r="M404" s="14">
        <v>45873.786805555559</v>
      </c>
      <c r="N404" s="6">
        <v>4698</v>
      </c>
      <c r="O404" s="6" t="s">
        <v>92</v>
      </c>
      <c r="P404" s="6" t="s">
        <v>245</v>
      </c>
      <c r="Q404" s="6" t="s">
        <v>659</v>
      </c>
      <c r="R404" s="6" t="s">
        <v>659</v>
      </c>
      <c r="S404" s="6" t="s">
        <v>9</v>
      </c>
      <c r="T404" s="6" t="s">
        <v>248</v>
      </c>
      <c r="U404" s="6" t="s">
        <v>162</v>
      </c>
      <c r="V404" s="6" t="s">
        <v>1517</v>
      </c>
      <c r="W404" s="6" t="s">
        <v>92</v>
      </c>
      <c r="X404" s="6" t="s">
        <v>92</v>
      </c>
      <c r="Y404" s="6" t="s">
        <v>92</v>
      </c>
      <c r="Z404" s="6" t="s">
        <v>109</v>
      </c>
      <c r="AA404" s="6" t="s">
        <v>92</v>
      </c>
      <c r="AB404" s="6">
        <v>7945.89</v>
      </c>
      <c r="AC404" s="6">
        <v>0</v>
      </c>
      <c r="AD404" s="6">
        <v>0</v>
      </c>
      <c r="AE404" s="6">
        <v>0</v>
      </c>
      <c r="AF404" s="6">
        <v>0</v>
      </c>
      <c r="AG404" s="6">
        <v>81.44</v>
      </c>
      <c r="AH404" s="6">
        <v>0</v>
      </c>
      <c r="AI404" s="6" t="s">
        <v>1518</v>
      </c>
      <c r="AJ404" s="6" t="s">
        <v>264</v>
      </c>
      <c r="AK404" s="6" t="s">
        <v>12</v>
      </c>
      <c r="AL404" s="6" t="s">
        <v>56</v>
      </c>
      <c r="AM404" s="6" t="s">
        <v>265</v>
      </c>
      <c r="AN404" s="6" t="s">
        <v>22</v>
      </c>
      <c r="AO404" s="6" t="s">
        <v>253</v>
      </c>
      <c r="AP404" s="6" t="s">
        <v>254</v>
      </c>
      <c r="AQ404" s="6" t="s">
        <v>20</v>
      </c>
    </row>
    <row r="405" spans="1:43" hidden="1" x14ac:dyDescent="0.25">
      <c r="A405" s="6">
        <v>22690270</v>
      </c>
      <c r="B405" s="6">
        <v>23493788</v>
      </c>
      <c r="C405" s="6" t="s">
        <v>241</v>
      </c>
      <c r="D405" s="14">
        <v>45875.007743055547</v>
      </c>
      <c r="E405" s="14">
        <v>45875.011504629627</v>
      </c>
      <c r="F405" s="6" t="s">
        <v>19</v>
      </c>
      <c r="G405" s="6" t="s">
        <v>19</v>
      </c>
      <c r="H405" s="6" t="s">
        <v>1519</v>
      </c>
      <c r="I405" s="6" t="s">
        <v>259</v>
      </c>
      <c r="J405" s="6" t="s">
        <v>1520</v>
      </c>
      <c r="K405" s="6" t="s">
        <v>1521</v>
      </c>
      <c r="L405" s="6" t="s">
        <v>1521</v>
      </c>
      <c r="M405" s="14">
        <v>45874.777083333327</v>
      </c>
      <c r="N405" s="6">
        <v>4723</v>
      </c>
      <c r="O405" s="6" t="s">
        <v>92</v>
      </c>
      <c r="P405" s="6" t="s">
        <v>245</v>
      </c>
      <c r="Q405" s="6" t="s">
        <v>659</v>
      </c>
      <c r="R405" s="6" t="s">
        <v>659</v>
      </c>
      <c r="S405" s="6" t="s">
        <v>9</v>
      </c>
      <c r="T405" s="6" t="s">
        <v>248</v>
      </c>
      <c r="U405" s="6" t="s">
        <v>162</v>
      </c>
      <c r="V405" s="6" t="s">
        <v>1517</v>
      </c>
      <c r="W405" s="6" t="s">
        <v>92</v>
      </c>
      <c r="X405" s="6" t="s">
        <v>92</v>
      </c>
      <c r="Y405" s="6" t="s">
        <v>92</v>
      </c>
      <c r="Z405" s="6" t="s">
        <v>109</v>
      </c>
      <c r="AA405" s="6" t="s">
        <v>92</v>
      </c>
      <c r="AB405" s="6">
        <v>7951.68</v>
      </c>
      <c r="AC405" s="6">
        <v>0</v>
      </c>
      <c r="AD405" s="6">
        <v>0</v>
      </c>
      <c r="AE405" s="6">
        <v>0</v>
      </c>
      <c r="AF405" s="6">
        <v>0</v>
      </c>
      <c r="AG405" s="6">
        <v>81.7</v>
      </c>
      <c r="AH405" s="6">
        <v>0</v>
      </c>
      <c r="AI405" s="6" t="s">
        <v>1522</v>
      </c>
      <c r="AJ405" s="6" t="s">
        <v>264</v>
      </c>
      <c r="AK405" s="6" t="s">
        <v>12</v>
      </c>
      <c r="AL405" s="6" t="s">
        <v>56</v>
      </c>
      <c r="AM405" s="6" t="s">
        <v>265</v>
      </c>
      <c r="AN405" s="6" t="s">
        <v>22</v>
      </c>
      <c r="AO405" s="6" t="s">
        <v>253</v>
      </c>
      <c r="AP405" s="6" t="s">
        <v>254</v>
      </c>
      <c r="AQ405" s="6" t="s">
        <v>20</v>
      </c>
    </row>
    <row r="406" spans="1:43" hidden="1" x14ac:dyDescent="0.25">
      <c r="A406" s="6">
        <v>22695828</v>
      </c>
      <c r="B406" s="6">
        <v>23498680</v>
      </c>
      <c r="C406" s="6" t="s">
        <v>241</v>
      </c>
      <c r="D406" s="14">
        <v>45875.771018518521</v>
      </c>
      <c r="E406" s="14">
        <v>45875.795844907407</v>
      </c>
      <c r="F406" s="6" t="s">
        <v>19</v>
      </c>
      <c r="G406" s="6" t="s">
        <v>19</v>
      </c>
      <c r="H406" s="6" t="s">
        <v>1523</v>
      </c>
      <c r="I406" s="6" t="s">
        <v>259</v>
      </c>
      <c r="J406" s="6" t="s">
        <v>1524</v>
      </c>
      <c r="K406" s="6" t="s">
        <v>1521</v>
      </c>
      <c r="L406" s="6" t="s">
        <v>1521</v>
      </c>
      <c r="M406" s="14">
        <v>45875.72152777778</v>
      </c>
      <c r="N406" s="6">
        <v>4744</v>
      </c>
      <c r="O406" s="6" t="s">
        <v>92</v>
      </c>
      <c r="P406" s="6" t="s">
        <v>245</v>
      </c>
      <c r="Q406" s="6" t="s">
        <v>659</v>
      </c>
      <c r="R406" s="6" t="s">
        <v>659</v>
      </c>
      <c r="S406" s="6" t="s">
        <v>9</v>
      </c>
      <c r="T406" s="6" t="s">
        <v>248</v>
      </c>
      <c r="U406" s="6" t="s">
        <v>162</v>
      </c>
      <c r="V406" s="6" t="s">
        <v>1517</v>
      </c>
      <c r="W406" s="6" t="s">
        <v>92</v>
      </c>
      <c r="X406" s="6" t="s">
        <v>92</v>
      </c>
      <c r="Y406" s="6" t="s">
        <v>92</v>
      </c>
      <c r="Z406" s="6" t="s">
        <v>109</v>
      </c>
      <c r="AA406" s="6" t="s">
        <v>92</v>
      </c>
      <c r="AB406" s="6">
        <v>8009.52</v>
      </c>
      <c r="AC406" s="6">
        <v>0</v>
      </c>
      <c r="AD406" s="6">
        <v>0</v>
      </c>
      <c r="AE406" s="6">
        <v>0</v>
      </c>
      <c r="AF406" s="6">
        <v>0</v>
      </c>
      <c r="AG406" s="6">
        <v>81.11</v>
      </c>
      <c r="AH406" s="6">
        <v>0</v>
      </c>
      <c r="AI406" s="6" t="s">
        <v>1525</v>
      </c>
      <c r="AJ406" s="6" t="s">
        <v>264</v>
      </c>
      <c r="AK406" s="6" t="s">
        <v>12</v>
      </c>
      <c r="AL406" s="6" t="s">
        <v>56</v>
      </c>
      <c r="AM406" s="6" t="s">
        <v>265</v>
      </c>
      <c r="AN406" s="6" t="s">
        <v>22</v>
      </c>
      <c r="AO406" s="6" t="s">
        <v>253</v>
      </c>
      <c r="AP406" s="6" t="s">
        <v>254</v>
      </c>
      <c r="AQ406" s="6" t="s">
        <v>20</v>
      </c>
    </row>
    <row r="407" spans="1:43" hidden="1" x14ac:dyDescent="0.25">
      <c r="A407" s="6">
        <v>22680984</v>
      </c>
      <c r="B407" s="6">
        <v>23485461</v>
      </c>
      <c r="C407" s="6" t="s">
        <v>241</v>
      </c>
      <c r="D407" s="14">
        <v>45873.769479166673</v>
      </c>
      <c r="E407" s="14">
        <v>45873.796435185177</v>
      </c>
      <c r="F407" s="6" t="s">
        <v>21</v>
      </c>
      <c r="G407" s="6" t="s">
        <v>21</v>
      </c>
      <c r="H407" s="6" t="s">
        <v>1526</v>
      </c>
      <c r="I407" s="6" t="s">
        <v>259</v>
      </c>
      <c r="J407" s="6" t="s">
        <v>1527</v>
      </c>
      <c r="K407" s="6" t="s">
        <v>665</v>
      </c>
      <c r="L407" s="6" t="s">
        <v>665</v>
      </c>
      <c r="M407" s="14">
        <v>45873.561805555553</v>
      </c>
      <c r="N407" s="6">
        <v>38895</v>
      </c>
      <c r="O407" s="6" t="s">
        <v>1528</v>
      </c>
      <c r="P407" s="6" t="s">
        <v>453</v>
      </c>
      <c r="Q407" s="6" t="s">
        <v>246</v>
      </c>
      <c r="R407" s="6" t="s">
        <v>247</v>
      </c>
      <c r="S407" s="6" t="s">
        <v>8</v>
      </c>
      <c r="T407" s="6" t="s">
        <v>248</v>
      </c>
      <c r="U407" s="6" t="s">
        <v>135</v>
      </c>
      <c r="V407" s="6" t="s">
        <v>1529</v>
      </c>
      <c r="W407" s="6" t="s">
        <v>92</v>
      </c>
      <c r="X407" s="6" t="s">
        <v>92</v>
      </c>
      <c r="Y407" s="6" t="s">
        <v>92</v>
      </c>
      <c r="Z407" s="6" t="s">
        <v>84</v>
      </c>
      <c r="AA407" s="6" t="s">
        <v>92</v>
      </c>
      <c r="AB407" s="6">
        <v>649.39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1530</v>
      </c>
      <c r="AJ407" s="6" t="s">
        <v>264</v>
      </c>
      <c r="AK407" s="6" t="s">
        <v>12</v>
      </c>
      <c r="AL407" s="6" t="s">
        <v>56</v>
      </c>
      <c r="AM407" s="6" t="s">
        <v>265</v>
      </c>
      <c r="AN407" s="6" t="s">
        <v>22</v>
      </c>
      <c r="AO407" s="6" t="s">
        <v>253</v>
      </c>
      <c r="AP407" s="6" t="s">
        <v>254</v>
      </c>
      <c r="AQ407" s="6" t="s">
        <v>20</v>
      </c>
    </row>
    <row r="408" spans="1:43" hidden="1" x14ac:dyDescent="0.25">
      <c r="A408" s="6">
        <v>22703409</v>
      </c>
      <c r="B408" s="6">
        <v>23505508</v>
      </c>
      <c r="C408" s="6" t="s">
        <v>241</v>
      </c>
      <c r="D408" s="14">
        <v>45876.783182870371</v>
      </c>
      <c r="E408" s="14">
        <v>45876.809502314813</v>
      </c>
      <c r="F408" s="6" t="s">
        <v>19</v>
      </c>
      <c r="G408" s="6" t="s">
        <v>19</v>
      </c>
      <c r="H408" s="6" t="s">
        <v>1531</v>
      </c>
      <c r="I408" s="6" t="s">
        <v>259</v>
      </c>
      <c r="J408" s="6" t="s">
        <v>1532</v>
      </c>
      <c r="K408" s="6" t="s">
        <v>665</v>
      </c>
      <c r="L408" s="6" t="s">
        <v>665</v>
      </c>
      <c r="M408" s="14">
        <v>45876.647916666669</v>
      </c>
      <c r="N408" s="6">
        <v>39212</v>
      </c>
      <c r="O408" s="6" t="s">
        <v>1533</v>
      </c>
      <c r="P408" s="6" t="s">
        <v>453</v>
      </c>
      <c r="Q408" s="6" t="s">
        <v>246</v>
      </c>
      <c r="R408" s="6" t="s">
        <v>247</v>
      </c>
      <c r="S408" s="6" t="s">
        <v>8</v>
      </c>
      <c r="T408" s="6" t="s">
        <v>248</v>
      </c>
      <c r="U408" s="6" t="s">
        <v>135</v>
      </c>
      <c r="V408" s="6" t="s">
        <v>1534</v>
      </c>
      <c r="W408" s="6" t="s">
        <v>92</v>
      </c>
      <c r="X408" s="6" t="s">
        <v>92</v>
      </c>
      <c r="Y408" s="6" t="s">
        <v>92</v>
      </c>
      <c r="Z408" s="6" t="s">
        <v>84</v>
      </c>
      <c r="AA408" s="6" t="s">
        <v>92</v>
      </c>
      <c r="AB408" s="6">
        <v>3325.9807999999998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1535</v>
      </c>
      <c r="AJ408" s="6" t="s">
        <v>264</v>
      </c>
      <c r="AK408" s="6" t="s">
        <v>12</v>
      </c>
      <c r="AL408" s="6" t="s">
        <v>56</v>
      </c>
      <c r="AM408" s="6" t="s">
        <v>265</v>
      </c>
      <c r="AN408" s="6" t="s">
        <v>22</v>
      </c>
      <c r="AO408" s="6" t="s">
        <v>253</v>
      </c>
      <c r="AP408" s="6" t="s">
        <v>254</v>
      </c>
      <c r="AQ408" s="6" t="s">
        <v>20</v>
      </c>
    </row>
    <row r="409" spans="1:43" hidden="1" x14ac:dyDescent="0.25">
      <c r="A409" s="6">
        <v>22703413</v>
      </c>
      <c r="B409" s="6">
        <v>23505512</v>
      </c>
      <c r="C409" s="6" t="s">
        <v>241</v>
      </c>
      <c r="D409" s="14">
        <v>45876.783402777779</v>
      </c>
      <c r="E409" s="14">
        <v>45876.809502314813</v>
      </c>
      <c r="F409" s="6" t="s">
        <v>19</v>
      </c>
      <c r="G409" s="6" t="s">
        <v>19</v>
      </c>
      <c r="H409" s="6" t="s">
        <v>1536</v>
      </c>
      <c r="I409" s="6" t="s">
        <v>259</v>
      </c>
      <c r="J409" s="6" t="s">
        <v>1537</v>
      </c>
      <c r="K409" s="6" t="s">
        <v>665</v>
      </c>
      <c r="L409" s="6" t="s">
        <v>665</v>
      </c>
      <c r="M409" s="14">
        <v>45876.614583333343</v>
      </c>
      <c r="N409" s="6">
        <v>39207</v>
      </c>
      <c r="O409" s="6" t="s">
        <v>1538</v>
      </c>
      <c r="P409" s="6" t="s">
        <v>453</v>
      </c>
      <c r="Q409" s="6" t="s">
        <v>246</v>
      </c>
      <c r="R409" s="6" t="s">
        <v>247</v>
      </c>
      <c r="S409" s="6" t="s">
        <v>8</v>
      </c>
      <c r="T409" s="6" t="s">
        <v>248</v>
      </c>
      <c r="U409" s="6" t="s">
        <v>135</v>
      </c>
      <c r="V409" s="6" t="s">
        <v>1539</v>
      </c>
      <c r="W409" s="6" t="s">
        <v>92</v>
      </c>
      <c r="X409" s="6" t="s">
        <v>92</v>
      </c>
      <c r="Y409" s="6" t="s">
        <v>92</v>
      </c>
      <c r="Z409" s="6" t="s">
        <v>84</v>
      </c>
      <c r="AA409" s="6" t="s">
        <v>92</v>
      </c>
      <c r="AB409" s="6">
        <v>199.58500000000001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 t="s">
        <v>1540</v>
      </c>
      <c r="AJ409" s="6" t="s">
        <v>264</v>
      </c>
      <c r="AK409" s="6" t="s">
        <v>12</v>
      </c>
      <c r="AL409" s="6" t="s">
        <v>56</v>
      </c>
      <c r="AM409" s="6" t="s">
        <v>265</v>
      </c>
      <c r="AN409" s="6" t="s">
        <v>22</v>
      </c>
      <c r="AO409" s="6" t="s">
        <v>253</v>
      </c>
      <c r="AP409" s="6" t="s">
        <v>254</v>
      </c>
      <c r="AQ409" s="6" t="s">
        <v>20</v>
      </c>
    </row>
    <row r="410" spans="1:43" hidden="1" x14ac:dyDescent="0.25">
      <c r="A410" s="6">
        <v>22703416</v>
      </c>
      <c r="B410" s="6">
        <v>23505515</v>
      </c>
      <c r="C410" s="6" t="s">
        <v>241</v>
      </c>
      <c r="D410" s="14">
        <v>45876.783483796287</v>
      </c>
      <c r="E410" s="14">
        <v>45876.809502314813</v>
      </c>
      <c r="F410" s="6" t="s">
        <v>19</v>
      </c>
      <c r="G410" s="6" t="s">
        <v>19</v>
      </c>
      <c r="H410" s="6" t="s">
        <v>1541</v>
      </c>
      <c r="I410" s="6" t="s">
        <v>259</v>
      </c>
      <c r="J410" s="6" t="s">
        <v>1542</v>
      </c>
      <c r="K410" s="6" t="s">
        <v>665</v>
      </c>
      <c r="L410" s="6" t="s">
        <v>665</v>
      </c>
      <c r="M410" s="14">
        <v>45876.662499999999</v>
      </c>
      <c r="N410" s="6">
        <v>39204</v>
      </c>
      <c r="O410" s="6" t="s">
        <v>1543</v>
      </c>
      <c r="P410" s="6" t="s">
        <v>453</v>
      </c>
      <c r="Q410" s="6" t="s">
        <v>246</v>
      </c>
      <c r="R410" s="6" t="s">
        <v>247</v>
      </c>
      <c r="S410" s="6" t="s">
        <v>8</v>
      </c>
      <c r="T410" s="6" t="s">
        <v>248</v>
      </c>
      <c r="U410" s="6" t="s">
        <v>135</v>
      </c>
      <c r="V410" s="6" t="s">
        <v>1534</v>
      </c>
      <c r="W410" s="6" t="s">
        <v>92</v>
      </c>
      <c r="X410" s="6" t="s">
        <v>92</v>
      </c>
      <c r="Y410" s="6" t="s">
        <v>92</v>
      </c>
      <c r="Z410" s="6" t="s">
        <v>84</v>
      </c>
      <c r="AA410" s="6" t="s">
        <v>92</v>
      </c>
      <c r="AB410" s="6">
        <v>234.77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1544</v>
      </c>
      <c r="AJ410" s="6" t="s">
        <v>264</v>
      </c>
      <c r="AK410" s="6" t="s">
        <v>12</v>
      </c>
      <c r="AL410" s="6" t="s">
        <v>56</v>
      </c>
      <c r="AM410" s="6" t="s">
        <v>265</v>
      </c>
      <c r="AN410" s="6" t="s">
        <v>22</v>
      </c>
      <c r="AO410" s="6" t="s">
        <v>253</v>
      </c>
      <c r="AP410" s="6" t="s">
        <v>254</v>
      </c>
      <c r="AQ410" s="6" t="s">
        <v>20</v>
      </c>
    </row>
    <row r="411" spans="1:43" hidden="1" x14ac:dyDescent="0.25">
      <c r="A411" s="6">
        <v>22703417</v>
      </c>
      <c r="B411" s="6">
        <v>23505516</v>
      </c>
      <c r="C411" s="6" t="s">
        <v>241</v>
      </c>
      <c r="D411" s="14">
        <v>45876.783530092587</v>
      </c>
      <c r="E411" s="14">
        <v>45876.809502314813</v>
      </c>
      <c r="F411" s="6" t="s">
        <v>19</v>
      </c>
      <c r="G411" s="6" t="s">
        <v>19</v>
      </c>
      <c r="H411" s="6" t="s">
        <v>1545</v>
      </c>
      <c r="I411" s="6" t="s">
        <v>259</v>
      </c>
      <c r="J411" s="6" t="s">
        <v>1546</v>
      </c>
      <c r="K411" s="6" t="s">
        <v>665</v>
      </c>
      <c r="L411" s="6" t="s">
        <v>665</v>
      </c>
      <c r="M411" s="14">
        <v>45876.713194444441</v>
      </c>
      <c r="N411" s="6">
        <v>39203</v>
      </c>
      <c r="O411" s="6" t="s">
        <v>1547</v>
      </c>
      <c r="P411" s="6" t="s">
        <v>453</v>
      </c>
      <c r="Q411" s="6" t="s">
        <v>246</v>
      </c>
      <c r="R411" s="6" t="s">
        <v>247</v>
      </c>
      <c r="S411" s="6" t="s">
        <v>8</v>
      </c>
      <c r="T411" s="6" t="s">
        <v>248</v>
      </c>
      <c r="U411" s="6" t="s">
        <v>135</v>
      </c>
      <c r="V411" s="6" t="s">
        <v>1534</v>
      </c>
      <c r="W411" s="6" t="s">
        <v>92</v>
      </c>
      <c r="X411" s="6" t="s">
        <v>92</v>
      </c>
      <c r="Y411" s="6" t="s">
        <v>92</v>
      </c>
      <c r="Z411" s="6" t="s">
        <v>84</v>
      </c>
      <c r="AA411" s="6" t="s">
        <v>92</v>
      </c>
      <c r="AB411" s="6">
        <v>557.07749999999999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1548</v>
      </c>
      <c r="AJ411" s="6" t="s">
        <v>264</v>
      </c>
      <c r="AK411" s="6" t="s">
        <v>12</v>
      </c>
      <c r="AL411" s="6" t="s">
        <v>56</v>
      </c>
      <c r="AM411" s="6" t="s">
        <v>265</v>
      </c>
      <c r="AN411" s="6" t="s">
        <v>22</v>
      </c>
      <c r="AO411" s="6" t="s">
        <v>253</v>
      </c>
      <c r="AP411" s="6" t="s">
        <v>254</v>
      </c>
      <c r="AQ411" s="6" t="s">
        <v>20</v>
      </c>
    </row>
    <row r="412" spans="1:43" hidden="1" x14ac:dyDescent="0.25">
      <c r="A412" s="6">
        <v>22543021</v>
      </c>
      <c r="B412" s="6">
        <v>23369176</v>
      </c>
      <c r="C412" s="6" t="s">
        <v>241</v>
      </c>
      <c r="D412" s="14">
        <v>45848.510254629633</v>
      </c>
      <c r="E412" s="14">
        <v>45848.528113425928</v>
      </c>
      <c r="F412" s="47" t="s">
        <v>29</v>
      </c>
      <c r="G412" s="47" t="s">
        <v>29</v>
      </c>
      <c r="H412" s="6" t="s">
        <v>1549</v>
      </c>
      <c r="I412" s="6" t="s">
        <v>259</v>
      </c>
      <c r="J412" s="6" t="s">
        <v>1550</v>
      </c>
      <c r="K412" s="6" t="s">
        <v>665</v>
      </c>
      <c r="L412" s="6" t="s">
        <v>665</v>
      </c>
      <c r="M412" s="14">
        <v>45848.399305555547</v>
      </c>
      <c r="N412" s="6">
        <v>36965</v>
      </c>
      <c r="O412" s="6" t="s">
        <v>1551</v>
      </c>
      <c r="P412" s="6" t="s">
        <v>453</v>
      </c>
      <c r="Q412" s="6" t="s">
        <v>246</v>
      </c>
      <c r="R412" s="6" t="s">
        <v>247</v>
      </c>
      <c r="S412" s="6" t="s">
        <v>8</v>
      </c>
      <c r="T412" s="6" t="s">
        <v>248</v>
      </c>
      <c r="U412" s="6" t="s">
        <v>135</v>
      </c>
      <c r="V412" s="6" t="s">
        <v>1552</v>
      </c>
      <c r="W412" s="6" t="s">
        <v>92</v>
      </c>
      <c r="X412" s="6" t="s">
        <v>92</v>
      </c>
      <c r="Y412" s="6" t="s">
        <v>92</v>
      </c>
      <c r="Z412" s="6" t="s">
        <v>84</v>
      </c>
      <c r="AA412" s="6" t="s">
        <v>92</v>
      </c>
      <c r="AB412" s="6">
        <v>674.2835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0</v>
      </c>
      <c r="AI412" s="6" t="s">
        <v>1553</v>
      </c>
      <c r="AJ412" s="6" t="s">
        <v>264</v>
      </c>
      <c r="AK412" s="6" t="s">
        <v>12</v>
      </c>
      <c r="AL412" s="6" t="s">
        <v>56</v>
      </c>
      <c r="AM412" s="6" t="s">
        <v>265</v>
      </c>
      <c r="AN412" s="6" t="s">
        <v>22</v>
      </c>
      <c r="AO412" s="6" t="s">
        <v>253</v>
      </c>
      <c r="AP412" s="6" t="s">
        <v>254</v>
      </c>
      <c r="AQ412" s="6" t="s">
        <v>20</v>
      </c>
    </row>
    <row r="413" spans="1:43" hidden="1" x14ac:dyDescent="0.25">
      <c r="A413" s="6">
        <v>22585270</v>
      </c>
      <c r="B413" s="6">
        <v>23406972</v>
      </c>
      <c r="C413" s="6" t="s">
        <v>241</v>
      </c>
      <c r="D413" s="14">
        <v>45856.590868055559</v>
      </c>
      <c r="E413" s="14">
        <v>45873.548831018517</v>
      </c>
      <c r="F413" s="6" t="s">
        <v>21</v>
      </c>
      <c r="G413" s="6" t="s">
        <v>27</v>
      </c>
      <c r="H413" s="6" t="s">
        <v>1554</v>
      </c>
      <c r="I413" s="6" t="s">
        <v>259</v>
      </c>
      <c r="J413" s="6" t="s">
        <v>1555</v>
      </c>
      <c r="K413" s="6" t="s">
        <v>665</v>
      </c>
      <c r="L413" s="6" t="s">
        <v>665</v>
      </c>
      <c r="M413" s="14">
        <v>45856.503472222219</v>
      </c>
      <c r="N413" s="6">
        <v>37762</v>
      </c>
      <c r="O413" s="6" t="s">
        <v>92</v>
      </c>
      <c r="P413" s="6" t="s">
        <v>453</v>
      </c>
      <c r="Q413" s="6" t="s">
        <v>246</v>
      </c>
      <c r="R413" s="6" t="s">
        <v>247</v>
      </c>
      <c r="S413" s="6" t="s">
        <v>9</v>
      </c>
      <c r="T413" s="6" t="s">
        <v>509</v>
      </c>
      <c r="U413" s="6" t="s">
        <v>135</v>
      </c>
      <c r="V413" s="6" t="s">
        <v>1534</v>
      </c>
      <c r="W413" s="6" t="s">
        <v>92</v>
      </c>
      <c r="X413" s="6" t="s">
        <v>1556</v>
      </c>
      <c r="Y413" s="6" t="s">
        <v>92</v>
      </c>
      <c r="Z413" s="6" t="s">
        <v>84</v>
      </c>
      <c r="AA413" s="6" t="s">
        <v>92</v>
      </c>
      <c r="AB413" s="6">
        <v>741</v>
      </c>
      <c r="AC413" s="6">
        <v>0</v>
      </c>
      <c r="AD413" s="6">
        <v>0</v>
      </c>
      <c r="AE413" s="6">
        <v>0</v>
      </c>
      <c r="AF413" s="6">
        <v>0</v>
      </c>
      <c r="AG413" s="6">
        <v>37.049999999999997</v>
      </c>
      <c r="AH413" s="6">
        <v>0</v>
      </c>
      <c r="AI413" s="6" t="s">
        <v>1557</v>
      </c>
      <c r="AJ413" s="6" t="s">
        <v>1558</v>
      </c>
      <c r="AK413" s="6" t="s">
        <v>12</v>
      </c>
      <c r="AL413" s="6" t="s">
        <v>59</v>
      </c>
      <c r="AM413" s="6" t="s">
        <v>252</v>
      </c>
      <c r="AN413" s="6" t="s">
        <v>22</v>
      </c>
      <c r="AO413" s="6" t="s">
        <v>253</v>
      </c>
      <c r="AP413" s="6" t="s">
        <v>254</v>
      </c>
      <c r="AQ413" s="6" t="s">
        <v>20</v>
      </c>
    </row>
    <row r="414" spans="1:43" hidden="1" x14ac:dyDescent="0.25">
      <c r="A414" s="6">
        <v>22693219</v>
      </c>
      <c r="B414" s="6">
        <v>23496159</v>
      </c>
      <c r="C414" s="6" t="s">
        <v>241</v>
      </c>
      <c r="D414" s="14">
        <v>45875.519050925926</v>
      </c>
      <c r="E414" s="14">
        <v>45875.544224537043</v>
      </c>
      <c r="F414" s="6" t="s">
        <v>19</v>
      </c>
      <c r="G414" s="6" t="s">
        <v>19</v>
      </c>
      <c r="H414" s="6" t="s">
        <v>1559</v>
      </c>
      <c r="I414" s="6" t="s">
        <v>259</v>
      </c>
      <c r="J414" s="6" t="s">
        <v>1560</v>
      </c>
      <c r="K414" s="6" t="s">
        <v>665</v>
      </c>
      <c r="L414" s="6" t="s">
        <v>665</v>
      </c>
      <c r="M414" s="14">
        <v>45875.456250000003</v>
      </c>
      <c r="N414" s="6">
        <v>39067</v>
      </c>
      <c r="O414" s="6" t="s">
        <v>92</v>
      </c>
      <c r="P414" s="6" t="s">
        <v>453</v>
      </c>
      <c r="Q414" s="6" t="s">
        <v>428</v>
      </c>
      <c r="R414" s="6" t="s">
        <v>428</v>
      </c>
      <c r="S414" s="6" t="s">
        <v>9</v>
      </c>
      <c r="T414" s="6" t="s">
        <v>248</v>
      </c>
      <c r="U414" s="6" t="s">
        <v>135</v>
      </c>
      <c r="V414" s="6" t="s">
        <v>1561</v>
      </c>
      <c r="W414" s="6" t="s">
        <v>92</v>
      </c>
      <c r="X414" s="6" t="s">
        <v>92</v>
      </c>
      <c r="Y414" s="6" t="s">
        <v>92</v>
      </c>
      <c r="Z414" s="6" t="s">
        <v>84</v>
      </c>
      <c r="AA414" s="6" t="s">
        <v>92</v>
      </c>
      <c r="AB414" s="6">
        <v>340</v>
      </c>
      <c r="AC414" s="6">
        <v>0</v>
      </c>
      <c r="AD414" s="6">
        <v>0</v>
      </c>
      <c r="AE414" s="6">
        <v>0</v>
      </c>
      <c r="AF414" s="6">
        <v>0</v>
      </c>
      <c r="AG414" s="6">
        <v>17</v>
      </c>
      <c r="AH414" s="6">
        <v>0</v>
      </c>
      <c r="AI414" s="6" t="s">
        <v>1562</v>
      </c>
      <c r="AJ414" s="6" t="s">
        <v>264</v>
      </c>
      <c r="AK414" s="6" t="s">
        <v>12</v>
      </c>
      <c r="AL414" s="6" t="s">
        <v>56</v>
      </c>
      <c r="AM414" s="6" t="s">
        <v>265</v>
      </c>
      <c r="AN414" s="6" t="s">
        <v>22</v>
      </c>
      <c r="AO414" s="6" t="s">
        <v>662</v>
      </c>
      <c r="AP414" s="6" t="s">
        <v>480</v>
      </c>
      <c r="AQ414" s="6" t="s">
        <v>39</v>
      </c>
    </row>
    <row r="415" spans="1:43" hidden="1" x14ac:dyDescent="0.25">
      <c r="A415" s="6">
        <v>22647132</v>
      </c>
      <c r="B415" s="6">
        <v>23457207</v>
      </c>
      <c r="C415" s="6" t="s">
        <v>241</v>
      </c>
      <c r="D415" s="14">
        <v>45867.768240740741</v>
      </c>
      <c r="E415" s="14">
        <v>45867.987083333333</v>
      </c>
      <c r="F415" s="6" t="s">
        <v>25</v>
      </c>
      <c r="G415" s="6" t="s">
        <v>25</v>
      </c>
      <c r="H415" s="6" t="s">
        <v>1563</v>
      </c>
      <c r="I415" s="6" t="s">
        <v>259</v>
      </c>
      <c r="J415" s="6" t="s">
        <v>1564</v>
      </c>
      <c r="K415" s="6" t="s">
        <v>1565</v>
      </c>
      <c r="L415" s="6" t="s">
        <v>1565</v>
      </c>
      <c r="M415" s="14">
        <v>45867.626388888893</v>
      </c>
      <c r="N415" s="6">
        <v>38477</v>
      </c>
      <c r="O415" s="6" t="s">
        <v>92</v>
      </c>
      <c r="P415" s="6" t="s">
        <v>245</v>
      </c>
      <c r="Q415" s="6" t="s">
        <v>246</v>
      </c>
      <c r="R415" s="6" t="s">
        <v>247</v>
      </c>
      <c r="S415" s="6" t="s">
        <v>3</v>
      </c>
      <c r="T415" s="6" t="s">
        <v>248</v>
      </c>
      <c r="U415" s="6" t="s">
        <v>135</v>
      </c>
      <c r="V415" s="6" t="s">
        <v>1566</v>
      </c>
      <c r="W415" s="6" t="s">
        <v>92</v>
      </c>
      <c r="X415" s="6" t="s">
        <v>92</v>
      </c>
      <c r="Y415" s="6" t="s">
        <v>92</v>
      </c>
      <c r="Z415" s="6" t="s">
        <v>84</v>
      </c>
      <c r="AA415" s="6" t="s">
        <v>92</v>
      </c>
      <c r="AB415" s="6">
        <v>50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1567</v>
      </c>
      <c r="AJ415" s="6" t="s">
        <v>264</v>
      </c>
      <c r="AK415" s="6" t="s">
        <v>12</v>
      </c>
      <c r="AL415" s="6" t="s">
        <v>56</v>
      </c>
      <c r="AM415" s="6" t="s">
        <v>265</v>
      </c>
      <c r="AN415" s="6" t="s">
        <v>22</v>
      </c>
      <c r="AO415" s="6" t="s">
        <v>253</v>
      </c>
      <c r="AP415" s="6" t="s">
        <v>254</v>
      </c>
      <c r="AQ415" s="6" t="s">
        <v>20</v>
      </c>
    </row>
    <row r="416" spans="1:43" hidden="1" x14ac:dyDescent="0.25">
      <c r="A416" s="6">
        <v>22627061</v>
      </c>
      <c r="B416" s="6">
        <v>23441593</v>
      </c>
      <c r="C416" s="6" t="s">
        <v>241</v>
      </c>
      <c r="D416" s="14">
        <v>45863.769849537042</v>
      </c>
      <c r="E416" s="14">
        <v>45863.79587962963</v>
      </c>
      <c r="F416" s="6" t="s">
        <v>25</v>
      </c>
      <c r="G416" s="6" t="s">
        <v>25</v>
      </c>
      <c r="H416" s="6" t="s">
        <v>1568</v>
      </c>
      <c r="I416" s="6" t="s">
        <v>259</v>
      </c>
      <c r="J416" s="6" t="s">
        <v>1564</v>
      </c>
      <c r="K416" s="6" t="s">
        <v>1565</v>
      </c>
      <c r="L416" s="6" t="s">
        <v>1565</v>
      </c>
      <c r="M416" s="14">
        <v>45863.743750000001</v>
      </c>
      <c r="N416" s="6">
        <v>38265</v>
      </c>
      <c r="O416" s="6" t="s">
        <v>92</v>
      </c>
      <c r="P416" s="6" t="s">
        <v>245</v>
      </c>
      <c r="Q416" s="6" t="s">
        <v>246</v>
      </c>
      <c r="R416" s="6" t="s">
        <v>247</v>
      </c>
      <c r="S416" s="6" t="s">
        <v>3</v>
      </c>
      <c r="T416" s="6" t="s">
        <v>248</v>
      </c>
      <c r="U416" s="6" t="s">
        <v>135</v>
      </c>
      <c r="V416" s="6" t="s">
        <v>1566</v>
      </c>
      <c r="W416" s="6" t="s">
        <v>92</v>
      </c>
      <c r="X416" s="6" t="s">
        <v>92</v>
      </c>
      <c r="Y416" s="6" t="s">
        <v>92</v>
      </c>
      <c r="Z416" s="6" t="s">
        <v>84</v>
      </c>
      <c r="AA416" s="6" t="s">
        <v>92</v>
      </c>
      <c r="AB416" s="6">
        <v>2350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 t="s">
        <v>1569</v>
      </c>
      <c r="AJ416" s="6" t="s">
        <v>264</v>
      </c>
      <c r="AK416" s="6" t="s">
        <v>12</v>
      </c>
      <c r="AL416" s="6" t="s">
        <v>56</v>
      </c>
      <c r="AM416" s="6" t="s">
        <v>265</v>
      </c>
      <c r="AN416" s="6" t="s">
        <v>22</v>
      </c>
      <c r="AO416" s="6" t="s">
        <v>253</v>
      </c>
      <c r="AP416" s="6" t="s">
        <v>254</v>
      </c>
      <c r="AQ416" s="6" t="s">
        <v>20</v>
      </c>
    </row>
    <row r="417" spans="1:43" hidden="1" x14ac:dyDescent="0.25">
      <c r="A417" s="6">
        <v>22651123</v>
      </c>
      <c r="B417" s="6">
        <v>23460705</v>
      </c>
      <c r="C417" s="6" t="s">
        <v>241</v>
      </c>
      <c r="D417" s="14">
        <v>45868.530810185177</v>
      </c>
      <c r="E417" s="14">
        <v>45868.546284722222</v>
      </c>
      <c r="F417" s="6" t="s">
        <v>25</v>
      </c>
      <c r="G417" s="6" t="s">
        <v>25</v>
      </c>
      <c r="H417" s="6" t="s">
        <v>1570</v>
      </c>
      <c r="I417" s="6" t="s">
        <v>259</v>
      </c>
      <c r="J417" s="6" t="s">
        <v>1571</v>
      </c>
      <c r="K417" s="6" t="s">
        <v>821</v>
      </c>
      <c r="L417" s="6" t="s">
        <v>821</v>
      </c>
      <c r="M417" s="14">
        <v>45867.757638888892</v>
      </c>
      <c r="N417" s="6">
        <v>38484</v>
      </c>
      <c r="O417" s="6" t="s">
        <v>92</v>
      </c>
      <c r="P417" s="6" t="s">
        <v>245</v>
      </c>
      <c r="Q417" s="6" t="s">
        <v>246</v>
      </c>
      <c r="R417" s="6" t="s">
        <v>247</v>
      </c>
      <c r="S417" s="6" t="s">
        <v>3</v>
      </c>
      <c r="T417" s="6" t="s">
        <v>248</v>
      </c>
      <c r="U417" s="6" t="s">
        <v>135</v>
      </c>
      <c r="V417" s="6" t="s">
        <v>1566</v>
      </c>
      <c r="W417" s="6" t="s">
        <v>92</v>
      </c>
      <c r="X417" s="6" t="s">
        <v>92</v>
      </c>
      <c r="Y417" s="6" t="s">
        <v>92</v>
      </c>
      <c r="Z417" s="6" t="s">
        <v>84</v>
      </c>
      <c r="AA417" s="6" t="s">
        <v>92</v>
      </c>
      <c r="AB417" s="6">
        <v>2497.9499999999998</v>
      </c>
      <c r="AC417" s="6">
        <v>0</v>
      </c>
      <c r="AD417" s="6">
        <v>0</v>
      </c>
      <c r="AE417" s="6">
        <v>0</v>
      </c>
      <c r="AF417" s="6">
        <v>0</v>
      </c>
      <c r="AG417" s="6">
        <v>0</v>
      </c>
      <c r="AH417" s="6">
        <v>0</v>
      </c>
      <c r="AI417" s="6" t="s">
        <v>1572</v>
      </c>
      <c r="AJ417" s="6" t="s">
        <v>264</v>
      </c>
      <c r="AK417" s="6" t="s">
        <v>12</v>
      </c>
      <c r="AL417" s="6" t="s">
        <v>56</v>
      </c>
      <c r="AM417" s="6" t="s">
        <v>265</v>
      </c>
      <c r="AN417" s="6" t="s">
        <v>22</v>
      </c>
      <c r="AO417" s="6" t="s">
        <v>253</v>
      </c>
      <c r="AP417" s="6" t="s">
        <v>254</v>
      </c>
      <c r="AQ417" s="6" t="s">
        <v>20</v>
      </c>
    </row>
    <row r="418" spans="1:43" hidden="1" x14ac:dyDescent="0.25">
      <c r="A418" s="6">
        <v>22696337</v>
      </c>
      <c r="B418" s="6">
        <v>23499186</v>
      </c>
      <c r="C418" s="6" t="s">
        <v>241</v>
      </c>
      <c r="D418" s="14">
        <v>45875.791550925933</v>
      </c>
      <c r="E418" s="14">
        <v>45875.840740740743</v>
      </c>
      <c r="F418" s="6" t="s">
        <v>19</v>
      </c>
      <c r="G418" s="6" t="s">
        <v>19</v>
      </c>
      <c r="H418" s="6" t="s">
        <v>1573</v>
      </c>
      <c r="I418" s="6" t="s">
        <v>259</v>
      </c>
      <c r="J418" s="6" t="s">
        <v>1574</v>
      </c>
      <c r="K418" s="6" t="s">
        <v>665</v>
      </c>
      <c r="L418" s="6" t="s">
        <v>665</v>
      </c>
      <c r="M418" s="14">
        <v>45875.573611111111</v>
      </c>
      <c r="N418" s="6">
        <v>25436</v>
      </c>
      <c r="O418" s="6" t="s">
        <v>92</v>
      </c>
      <c r="P418" s="6" t="s">
        <v>453</v>
      </c>
      <c r="Q418" s="6" t="s">
        <v>428</v>
      </c>
      <c r="R418" s="6" t="s">
        <v>428</v>
      </c>
      <c r="S418" s="6" t="s">
        <v>9</v>
      </c>
      <c r="T418" s="6" t="s">
        <v>248</v>
      </c>
      <c r="U418" s="6" t="s">
        <v>132</v>
      </c>
      <c r="V418" s="6" t="s">
        <v>1575</v>
      </c>
      <c r="W418" s="6" t="s">
        <v>92</v>
      </c>
      <c r="X418" s="6" t="s">
        <v>92</v>
      </c>
      <c r="Y418" s="6" t="s">
        <v>92</v>
      </c>
      <c r="Z418" s="6" t="s">
        <v>80</v>
      </c>
      <c r="AA418" s="6" t="s">
        <v>92</v>
      </c>
      <c r="AB418" s="6">
        <v>1428.32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1576</v>
      </c>
      <c r="AJ418" s="6" t="s">
        <v>264</v>
      </c>
      <c r="AK418" s="6" t="s">
        <v>12</v>
      </c>
      <c r="AL418" s="6" t="s">
        <v>56</v>
      </c>
      <c r="AM418" s="6" t="s">
        <v>265</v>
      </c>
      <c r="AN418" s="6" t="s">
        <v>22</v>
      </c>
      <c r="AO418" s="6" t="s">
        <v>662</v>
      </c>
      <c r="AP418" s="6" t="s">
        <v>480</v>
      </c>
      <c r="AQ418" s="6" t="s">
        <v>39</v>
      </c>
    </row>
    <row r="419" spans="1:43" hidden="1" x14ac:dyDescent="0.25">
      <c r="A419" s="6">
        <v>22705178</v>
      </c>
      <c r="B419" s="6">
        <v>23507119</v>
      </c>
      <c r="C419" s="6" t="s">
        <v>241</v>
      </c>
      <c r="D419" s="14">
        <v>45877.010937500003</v>
      </c>
      <c r="E419" s="14">
        <v>45877.018240740741</v>
      </c>
      <c r="F419" s="6" t="s">
        <v>19</v>
      </c>
      <c r="G419" s="6" t="s">
        <v>19</v>
      </c>
      <c r="H419" s="6" t="s">
        <v>1577</v>
      </c>
      <c r="I419" s="6" t="s">
        <v>259</v>
      </c>
      <c r="J419" s="6" t="s">
        <v>1578</v>
      </c>
      <c r="K419" s="6" t="s">
        <v>665</v>
      </c>
      <c r="L419" s="6" t="s">
        <v>665</v>
      </c>
      <c r="M419" s="14">
        <v>45876.779861111107</v>
      </c>
      <c r="N419" s="6">
        <v>25570</v>
      </c>
      <c r="O419" s="6" t="s">
        <v>1547</v>
      </c>
      <c r="P419" s="6" t="s">
        <v>453</v>
      </c>
      <c r="Q419" s="6" t="s">
        <v>246</v>
      </c>
      <c r="R419" s="6" t="s">
        <v>247</v>
      </c>
      <c r="S419" s="6" t="s">
        <v>8</v>
      </c>
      <c r="T419" s="6" t="s">
        <v>248</v>
      </c>
      <c r="U419" s="6" t="s">
        <v>132</v>
      </c>
      <c r="V419" s="6" t="s">
        <v>1579</v>
      </c>
      <c r="W419" s="6" t="s">
        <v>92</v>
      </c>
      <c r="X419" s="6" t="s">
        <v>92</v>
      </c>
      <c r="Y419" s="6" t="s">
        <v>92</v>
      </c>
      <c r="Z419" s="6" t="s">
        <v>80</v>
      </c>
      <c r="AA419" s="6" t="s">
        <v>92</v>
      </c>
      <c r="AB419" s="6">
        <v>517.48479999999995</v>
      </c>
      <c r="AC419" s="6">
        <v>0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 t="s">
        <v>1580</v>
      </c>
      <c r="AJ419" s="6" t="s">
        <v>264</v>
      </c>
      <c r="AK419" s="6" t="s">
        <v>12</v>
      </c>
      <c r="AL419" s="6" t="s">
        <v>56</v>
      </c>
      <c r="AM419" s="6" t="s">
        <v>265</v>
      </c>
      <c r="AN419" s="6" t="s">
        <v>22</v>
      </c>
      <c r="AO419" s="6" t="s">
        <v>253</v>
      </c>
      <c r="AP419" s="6" t="s">
        <v>254</v>
      </c>
      <c r="AQ419" s="6" t="s">
        <v>20</v>
      </c>
    </row>
    <row r="420" spans="1:43" hidden="1" x14ac:dyDescent="0.25">
      <c r="A420" s="6">
        <v>22705184</v>
      </c>
      <c r="B420" s="6">
        <v>23507125</v>
      </c>
      <c r="C420" s="6" t="s">
        <v>241</v>
      </c>
      <c r="D420" s="14">
        <v>45877.011203703703</v>
      </c>
      <c r="E420" s="14">
        <v>45877.018240740741</v>
      </c>
      <c r="F420" s="6" t="s">
        <v>19</v>
      </c>
      <c r="G420" s="6" t="s">
        <v>19</v>
      </c>
      <c r="H420" s="6" t="s">
        <v>1581</v>
      </c>
      <c r="I420" s="6" t="s">
        <v>259</v>
      </c>
      <c r="J420" s="6" t="s">
        <v>1582</v>
      </c>
      <c r="K420" s="6" t="s">
        <v>665</v>
      </c>
      <c r="L420" s="6" t="s">
        <v>665</v>
      </c>
      <c r="M420" s="14">
        <v>45876.758333333331</v>
      </c>
      <c r="N420" s="6">
        <v>25555</v>
      </c>
      <c r="O420" s="6" t="s">
        <v>1538</v>
      </c>
      <c r="P420" s="6" t="s">
        <v>453</v>
      </c>
      <c r="Q420" s="6" t="s">
        <v>246</v>
      </c>
      <c r="R420" s="6" t="s">
        <v>247</v>
      </c>
      <c r="S420" s="6" t="s">
        <v>8</v>
      </c>
      <c r="T420" s="6" t="s">
        <v>248</v>
      </c>
      <c r="U420" s="6" t="s">
        <v>132</v>
      </c>
      <c r="V420" s="6" t="s">
        <v>1579</v>
      </c>
      <c r="W420" s="6" t="s">
        <v>92</v>
      </c>
      <c r="X420" s="6" t="s">
        <v>92</v>
      </c>
      <c r="Y420" s="6" t="s">
        <v>92</v>
      </c>
      <c r="Z420" s="6" t="s">
        <v>80</v>
      </c>
      <c r="AA420" s="6" t="s">
        <v>92</v>
      </c>
      <c r="AB420" s="6">
        <v>884.93439999999998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1583</v>
      </c>
      <c r="AJ420" s="6" t="s">
        <v>264</v>
      </c>
      <c r="AK420" s="6" t="s">
        <v>12</v>
      </c>
      <c r="AL420" s="6" t="s">
        <v>56</v>
      </c>
      <c r="AM420" s="6" t="s">
        <v>265</v>
      </c>
      <c r="AN420" s="6" t="s">
        <v>22</v>
      </c>
      <c r="AO420" s="6" t="s">
        <v>253</v>
      </c>
      <c r="AP420" s="6" t="s">
        <v>254</v>
      </c>
      <c r="AQ420" s="6" t="s">
        <v>20</v>
      </c>
    </row>
    <row r="421" spans="1:43" hidden="1" x14ac:dyDescent="0.25">
      <c r="A421" s="6">
        <v>22703897</v>
      </c>
      <c r="B421" s="6">
        <v>23505980</v>
      </c>
      <c r="C421" s="6" t="s">
        <v>241</v>
      </c>
      <c r="D421" s="14">
        <v>45876.804791666669</v>
      </c>
      <c r="E421" s="14">
        <v>45876.844965277778</v>
      </c>
      <c r="F421" s="6" t="s">
        <v>19</v>
      </c>
      <c r="G421" s="6" t="s">
        <v>19</v>
      </c>
      <c r="H421" s="6" t="s">
        <v>1584</v>
      </c>
      <c r="I421" s="6" t="s">
        <v>259</v>
      </c>
      <c r="J421" s="6" t="s">
        <v>1585</v>
      </c>
      <c r="K421" s="6" t="s">
        <v>665</v>
      </c>
      <c r="L421" s="6" t="s">
        <v>665</v>
      </c>
      <c r="M421" s="14">
        <v>45876.724999999999</v>
      </c>
      <c r="N421" s="6">
        <v>25565</v>
      </c>
      <c r="O421" s="6" t="s">
        <v>1586</v>
      </c>
      <c r="P421" s="6" t="s">
        <v>453</v>
      </c>
      <c r="Q421" s="6" t="s">
        <v>246</v>
      </c>
      <c r="R421" s="6" t="s">
        <v>247</v>
      </c>
      <c r="S421" s="6" t="s">
        <v>8</v>
      </c>
      <c r="T421" s="6" t="s">
        <v>248</v>
      </c>
      <c r="U421" s="6" t="s">
        <v>132</v>
      </c>
      <c r="V421" s="6" t="s">
        <v>1579</v>
      </c>
      <c r="W421" s="6" t="s">
        <v>92</v>
      </c>
      <c r="X421" s="6" t="s">
        <v>92</v>
      </c>
      <c r="Y421" s="6" t="s">
        <v>92</v>
      </c>
      <c r="Z421" s="6" t="s">
        <v>80</v>
      </c>
      <c r="AA421" s="6" t="s">
        <v>92</v>
      </c>
      <c r="AB421" s="6">
        <v>562.7328</v>
      </c>
      <c r="AC421" s="6">
        <v>0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 t="s">
        <v>1587</v>
      </c>
      <c r="AJ421" s="6" t="s">
        <v>264</v>
      </c>
      <c r="AK421" s="6" t="s">
        <v>12</v>
      </c>
      <c r="AL421" s="6" t="s">
        <v>56</v>
      </c>
      <c r="AM421" s="6" t="s">
        <v>265</v>
      </c>
      <c r="AN421" s="6" t="s">
        <v>22</v>
      </c>
      <c r="AO421" s="6" t="s">
        <v>253</v>
      </c>
      <c r="AP421" s="6" t="s">
        <v>254</v>
      </c>
      <c r="AQ421" s="6" t="s">
        <v>20</v>
      </c>
    </row>
    <row r="422" spans="1:43" hidden="1" x14ac:dyDescent="0.25">
      <c r="A422" s="6">
        <v>22693466</v>
      </c>
      <c r="B422" s="6">
        <v>23496391</v>
      </c>
      <c r="C422" s="6" t="s">
        <v>241</v>
      </c>
      <c r="D422" s="14">
        <v>45875.531446759262</v>
      </c>
      <c r="E422" s="14">
        <v>45875.574791666673</v>
      </c>
      <c r="F422" s="6" t="s">
        <v>19</v>
      </c>
      <c r="G422" s="6" t="s">
        <v>19</v>
      </c>
      <c r="H422" s="6" t="s">
        <v>1588</v>
      </c>
      <c r="I422" s="6" t="s">
        <v>259</v>
      </c>
      <c r="J422" s="6" t="s">
        <v>1589</v>
      </c>
      <c r="K422" s="6" t="s">
        <v>665</v>
      </c>
      <c r="L422" s="6" t="s">
        <v>665</v>
      </c>
      <c r="M422" s="14">
        <v>45875.395138888889</v>
      </c>
      <c r="N422" s="6">
        <v>25344</v>
      </c>
      <c r="O422" s="6" t="s">
        <v>1590</v>
      </c>
      <c r="P422" s="6" t="s">
        <v>453</v>
      </c>
      <c r="Q422" s="6" t="s">
        <v>246</v>
      </c>
      <c r="R422" s="6" t="s">
        <v>247</v>
      </c>
      <c r="S422" s="6" t="s">
        <v>8</v>
      </c>
      <c r="T422" s="6" t="s">
        <v>248</v>
      </c>
      <c r="U422" s="6" t="s">
        <v>132</v>
      </c>
      <c r="V422" s="6" t="s">
        <v>1579</v>
      </c>
      <c r="W422" s="6" t="s">
        <v>92</v>
      </c>
      <c r="X422" s="6" t="s">
        <v>92</v>
      </c>
      <c r="Y422" s="6" t="s">
        <v>92</v>
      </c>
      <c r="Z422" s="6" t="s">
        <v>80</v>
      </c>
      <c r="AA422" s="6" t="s">
        <v>92</v>
      </c>
      <c r="AB422" s="6">
        <v>375.34559999999999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1591</v>
      </c>
      <c r="AJ422" s="6" t="s">
        <v>264</v>
      </c>
      <c r="AK422" s="6" t="s">
        <v>12</v>
      </c>
      <c r="AL422" s="6" t="s">
        <v>56</v>
      </c>
      <c r="AM422" s="6" t="s">
        <v>265</v>
      </c>
      <c r="AN422" s="6" t="s">
        <v>22</v>
      </c>
      <c r="AO422" s="6" t="s">
        <v>253</v>
      </c>
      <c r="AP422" s="6" t="s">
        <v>254</v>
      </c>
      <c r="AQ422" s="6" t="s">
        <v>20</v>
      </c>
    </row>
    <row r="423" spans="1:43" hidden="1" x14ac:dyDescent="0.25">
      <c r="A423" s="6">
        <v>22688920</v>
      </c>
      <c r="B423" s="6">
        <v>23492546</v>
      </c>
      <c r="C423" s="6" t="s">
        <v>241</v>
      </c>
      <c r="D423" s="14">
        <v>45874.788969907408</v>
      </c>
      <c r="E423" s="14">
        <v>45874.851215277777</v>
      </c>
      <c r="F423" s="6" t="s">
        <v>21</v>
      </c>
      <c r="G423" s="6" t="s">
        <v>21</v>
      </c>
      <c r="H423" s="6" t="s">
        <v>1592</v>
      </c>
      <c r="I423" s="6" t="s">
        <v>259</v>
      </c>
      <c r="J423" s="6" t="s">
        <v>1593</v>
      </c>
      <c r="K423" s="6" t="s">
        <v>1594</v>
      </c>
      <c r="L423" s="6" t="s">
        <v>1594</v>
      </c>
      <c r="M423" s="14">
        <v>45874.572916666657</v>
      </c>
      <c r="N423" s="6">
        <v>24266</v>
      </c>
      <c r="O423" s="6" t="s">
        <v>92</v>
      </c>
      <c r="P423" s="6" t="s">
        <v>245</v>
      </c>
      <c r="Q423" s="6" t="s">
        <v>428</v>
      </c>
      <c r="R423" s="6" t="s">
        <v>428</v>
      </c>
      <c r="S423" s="6" t="s">
        <v>9</v>
      </c>
      <c r="T423" s="6" t="s">
        <v>248</v>
      </c>
      <c r="U423" s="6" t="s">
        <v>132</v>
      </c>
      <c r="V423" s="6" t="s">
        <v>1579</v>
      </c>
      <c r="W423" s="6" t="s">
        <v>92</v>
      </c>
      <c r="X423" s="6" t="s">
        <v>92</v>
      </c>
      <c r="Y423" s="6" t="s">
        <v>92</v>
      </c>
      <c r="Z423" s="6" t="s">
        <v>80</v>
      </c>
      <c r="AA423" s="6" t="s">
        <v>92</v>
      </c>
      <c r="AB423" s="6">
        <v>870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1595</v>
      </c>
      <c r="AJ423" s="6" t="s">
        <v>264</v>
      </c>
      <c r="AK423" s="6" t="s">
        <v>12</v>
      </c>
      <c r="AL423" s="6" t="s">
        <v>56</v>
      </c>
      <c r="AM423" s="6" t="s">
        <v>265</v>
      </c>
      <c r="AN423" s="6" t="s">
        <v>22</v>
      </c>
      <c r="AO423" s="6" t="s">
        <v>253</v>
      </c>
      <c r="AP423" s="6" t="s">
        <v>254</v>
      </c>
      <c r="AQ423" s="6" t="s">
        <v>20</v>
      </c>
    </row>
    <row r="424" spans="1:43" hidden="1" x14ac:dyDescent="0.25">
      <c r="A424" s="6">
        <v>22666001</v>
      </c>
      <c r="B424" s="6">
        <v>23473868</v>
      </c>
      <c r="C424" s="6" t="s">
        <v>241</v>
      </c>
      <c r="D424" s="14">
        <v>45870.705555555563</v>
      </c>
      <c r="E424" s="14">
        <v>45874.395879629628</v>
      </c>
      <c r="F424" s="6" t="s">
        <v>21</v>
      </c>
      <c r="G424" s="6" t="s">
        <v>23</v>
      </c>
      <c r="H424" s="6" t="s">
        <v>1596</v>
      </c>
      <c r="I424" s="6" t="s">
        <v>13</v>
      </c>
      <c r="J424" s="6" t="s">
        <v>1597</v>
      </c>
      <c r="K424" s="6" t="s">
        <v>648</v>
      </c>
      <c r="L424" s="6" t="s">
        <v>648</v>
      </c>
      <c r="M424" s="14">
        <v>45870.532638888893</v>
      </c>
      <c r="N424" s="6">
        <v>4575821</v>
      </c>
      <c r="O424" s="6" t="s">
        <v>92</v>
      </c>
      <c r="P424" s="6" t="s">
        <v>245</v>
      </c>
      <c r="Q424" s="6" t="s">
        <v>246</v>
      </c>
      <c r="R424" s="6" t="s">
        <v>247</v>
      </c>
      <c r="S424" s="6" t="s">
        <v>9</v>
      </c>
      <c r="T424" s="6" t="s">
        <v>248</v>
      </c>
      <c r="U424" s="6" t="s">
        <v>130</v>
      </c>
      <c r="V424" s="6" t="s">
        <v>1598</v>
      </c>
      <c r="W424" s="6" t="s">
        <v>92</v>
      </c>
      <c r="X424" s="6" t="s">
        <v>92</v>
      </c>
      <c r="Y424" s="6" t="s">
        <v>92</v>
      </c>
      <c r="Z424" s="6" t="s">
        <v>82</v>
      </c>
      <c r="AA424" s="6" t="s">
        <v>92</v>
      </c>
      <c r="AB424" s="6">
        <v>8285.52</v>
      </c>
      <c r="AC424" s="6">
        <v>310.60000000000002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1599</v>
      </c>
      <c r="AJ424" s="6" t="s">
        <v>264</v>
      </c>
      <c r="AK424" s="6" t="s">
        <v>13</v>
      </c>
      <c r="AL424" s="6" t="s">
        <v>56</v>
      </c>
      <c r="AM424" s="6" t="s">
        <v>265</v>
      </c>
      <c r="AN424" s="6" t="s">
        <v>22</v>
      </c>
      <c r="AO424" s="6" t="s">
        <v>662</v>
      </c>
      <c r="AP424" s="6" t="s">
        <v>480</v>
      </c>
      <c r="AQ424" s="6" t="s">
        <v>39</v>
      </c>
    </row>
    <row r="425" spans="1:43" hidden="1" x14ac:dyDescent="0.25">
      <c r="A425" s="6">
        <v>22625813</v>
      </c>
      <c r="B425" s="6">
        <v>23440422</v>
      </c>
      <c r="C425" s="6" t="s">
        <v>241</v>
      </c>
      <c r="D425" s="14">
        <v>45863.663576388892</v>
      </c>
      <c r="E425" s="14">
        <v>45868.343402777777</v>
      </c>
      <c r="F425" s="6" t="s">
        <v>25</v>
      </c>
      <c r="G425" s="6" t="s">
        <v>25</v>
      </c>
      <c r="H425" s="6">
        <v>19314360</v>
      </c>
      <c r="I425" s="6" t="s">
        <v>13</v>
      </c>
      <c r="J425" s="6" t="s">
        <v>1600</v>
      </c>
      <c r="K425" s="6" t="s">
        <v>648</v>
      </c>
      <c r="L425" s="6" t="s">
        <v>648</v>
      </c>
      <c r="M425" s="14">
        <v>45863.647916666669</v>
      </c>
      <c r="N425" s="6">
        <v>4572443</v>
      </c>
      <c r="O425" s="6" t="s">
        <v>92</v>
      </c>
      <c r="P425" s="6" t="s">
        <v>453</v>
      </c>
      <c r="Q425" s="6" t="s">
        <v>428</v>
      </c>
      <c r="R425" s="6" t="s">
        <v>428</v>
      </c>
      <c r="S425" s="6" t="s">
        <v>9</v>
      </c>
      <c r="T425" s="6" t="s">
        <v>248</v>
      </c>
      <c r="U425" s="6" t="s">
        <v>130</v>
      </c>
      <c r="V425" s="6" t="s">
        <v>1601</v>
      </c>
      <c r="W425" s="6" t="s">
        <v>92</v>
      </c>
      <c r="X425" s="6" t="s">
        <v>1602</v>
      </c>
      <c r="Y425" s="6" t="s">
        <v>92</v>
      </c>
      <c r="Z425" s="6" t="s">
        <v>82</v>
      </c>
      <c r="AA425" s="6" t="s">
        <v>92</v>
      </c>
      <c r="AB425" s="6">
        <v>1220</v>
      </c>
      <c r="AC425" s="6">
        <v>61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 t="s">
        <v>1603</v>
      </c>
      <c r="AJ425" s="6" t="s">
        <v>1316</v>
      </c>
      <c r="AK425" s="6" t="s">
        <v>13</v>
      </c>
      <c r="AL425" s="6" t="s">
        <v>61</v>
      </c>
      <c r="AM425" s="6" t="s">
        <v>67</v>
      </c>
      <c r="AN425" s="6" t="s">
        <v>22</v>
      </c>
      <c r="AO425" s="6" t="s">
        <v>253</v>
      </c>
      <c r="AP425" s="6" t="s">
        <v>254</v>
      </c>
      <c r="AQ425" s="6" t="s">
        <v>20</v>
      </c>
    </row>
    <row r="426" spans="1:43" hidden="1" x14ac:dyDescent="0.25">
      <c r="A426" s="6">
        <v>22702666</v>
      </c>
      <c r="B426" s="6">
        <v>23504790</v>
      </c>
      <c r="C426" s="6" t="s">
        <v>241</v>
      </c>
      <c r="D426" s="14">
        <v>45876.754467592589</v>
      </c>
      <c r="E426" s="14">
        <v>45877.177337962959</v>
      </c>
      <c r="F426" s="6" t="s">
        <v>19</v>
      </c>
      <c r="G426" s="6" t="s">
        <v>19</v>
      </c>
      <c r="H426" s="6" t="s">
        <v>1604</v>
      </c>
      <c r="I426" s="6" t="s">
        <v>13</v>
      </c>
      <c r="J426" s="6" t="s">
        <v>1605</v>
      </c>
      <c r="K426" s="6" t="s">
        <v>648</v>
      </c>
      <c r="L426" s="6" t="s">
        <v>648</v>
      </c>
      <c r="M426" s="14">
        <v>45875.461111111108</v>
      </c>
      <c r="N426" s="6">
        <v>4577876</v>
      </c>
      <c r="O426" s="6" t="s">
        <v>92</v>
      </c>
      <c r="P426" s="6" t="s">
        <v>245</v>
      </c>
      <c r="Q426" s="6" t="s">
        <v>246</v>
      </c>
      <c r="R426" s="6" t="s">
        <v>247</v>
      </c>
      <c r="S426" s="6" t="s">
        <v>9</v>
      </c>
      <c r="T426" s="6" t="s">
        <v>248</v>
      </c>
      <c r="U426" s="6" t="s">
        <v>130</v>
      </c>
      <c r="V426" s="6" t="s">
        <v>1598</v>
      </c>
      <c r="W426" s="6" t="s">
        <v>92</v>
      </c>
      <c r="X426" s="6" t="s">
        <v>92</v>
      </c>
      <c r="Y426" s="6" t="s">
        <v>92</v>
      </c>
      <c r="Z426" s="6" t="s">
        <v>82</v>
      </c>
      <c r="AA426" s="6" t="s">
        <v>92</v>
      </c>
      <c r="AB426" s="6">
        <v>914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1606</v>
      </c>
      <c r="AJ426" s="6" t="s">
        <v>264</v>
      </c>
      <c r="AK426" s="6" t="s">
        <v>13</v>
      </c>
      <c r="AL426" s="6" t="s">
        <v>56</v>
      </c>
      <c r="AM426" s="6" t="s">
        <v>265</v>
      </c>
      <c r="AN426" s="6" t="s">
        <v>22</v>
      </c>
      <c r="AO426" s="6" t="s">
        <v>662</v>
      </c>
      <c r="AP426" s="6" t="s">
        <v>480</v>
      </c>
      <c r="AQ426" s="6" t="s">
        <v>39</v>
      </c>
    </row>
    <row r="427" spans="1:43" hidden="1" x14ac:dyDescent="0.25">
      <c r="A427" s="6">
        <v>22684233</v>
      </c>
      <c r="B427" s="6">
        <v>23488139</v>
      </c>
      <c r="C427" s="6" t="s">
        <v>241</v>
      </c>
      <c r="D427" s="14">
        <v>45874.336701388893</v>
      </c>
      <c r="E427" s="14">
        <v>45874.505856481483</v>
      </c>
      <c r="F427" s="6" t="s">
        <v>21</v>
      </c>
      <c r="G427" s="6" t="s">
        <v>21</v>
      </c>
      <c r="H427" s="6" t="s">
        <v>1607</v>
      </c>
      <c r="I427" s="6" t="s">
        <v>13</v>
      </c>
      <c r="J427" s="6" t="s">
        <v>1608</v>
      </c>
      <c r="K427" s="6" t="s">
        <v>648</v>
      </c>
      <c r="L427" s="6" t="s">
        <v>648</v>
      </c>
      <c r="M427" s="14">
        <v>45873.73541666667</v>
      </c>
      <c r="N427" s="6">
        <v>4576964</v>
      </c>
      <c r="O427" s="6" t="s">
        <v>92</v>
      </c>
      <c r="P427" s="6" t="s">
        <v>453</v>
      </c>
      <c r="Q427" s="6" t="s">
        <v>428</v>
      </c>
      <c r="R427" s="6" t="s">
        <v>428</v>
      </c>
      <c r="S427" s="6" t="s">
        <v>9</v>
      </c>
      <c r="T427" s="6" t="s">
        <v>248</v>
      </c>
      <c r="U427" s="6" t="s">
        <v>130</v>
      </c>
      <c r="V427" s="6" t="s">
        <v>1598</v>
      </c>
      <c r="W427" s="6" t="s">
        <v>92</v>
      </c>
      <c r="X427" s="6" t="s">
        <v>92</v>
      </c>
      <c r="Y427" s="6" t="s">
        <v>92</v>
      </c>
      <c r="Z427" s="6" t="s">
        <v>82</v>
      </c>
      <c r="AA427" s="6" t="s">
        <v>92</v>
      </c>
      <c r="AB427" s="6">
        <v>574</v>
      </c>
      <c r="AC427" s="6">
        <v>39.5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1609</v>
      </c>
      <c r="AJ427" s="6" t="s">
        <v>264</v>
      </c>
      <c r="AK427" s="6" t="s">
        <v>13</v>
      </c>
      <c r="AL427" s="6" t="s">
        <v>56</v>
      </c>
      <c r="AM427" s="6" t="s">
        <v>265</v>
      </c>
      <c r="AN427" s="6" t="s">
        <v>22</v>
      </c>
      <c r="AO427" s="6" t="s">
        <v>662</v>
      </c>
      <c r="AP427" s="6" t="s">
        <v>480</v>
      </c>
      <c r="AQ427" s="6" t="s">
        <v>39</v>
      </c>
    </row>
    <row r="428" spans="1:43" hidden="1" x14ac:dyDescent="0.25">
      <c r="A428" s="6">
        <v>22699083</v>
      </c>
      <c r="B428" s="6">
        <v>23501381</v>
      </c>
      <c r="C428" s="6" t="s">
        <v>241</v>
      </c>
      <c r="D428" s="14">
        <v>45876.357430555552</v>
      </c>
      <c r="E428" s="14">
        <v>45877.132152777784</v>
      </c>
      <c r="F428" s="6" t="s">
        <v>19</v>
      </c>
      <c r="G428" s="6" t="s">
        <v>19</v>
      </c>
      <c r="H428" s="6" t="s">
        <v>1610</v>
      </c>
      <c r="I428" s="6" t="s">
        <v>13</v>
      </c>
      <c r="J428" s="6" t="s">
        <v>1611</v>
      </c>
      <c r="K428" s="6" t="s">
        <v>648</v>
      </c>
      <c r="L428" s="6" t="s">
        <v>648</v>
      </c>
      <c r="M428" s="14">
        <v>45876.347222222219</v>
      </c>
      <c r="N428" s="6">
        <v>4578311</v>
      </c>
      <c r="O428" s="6" t="s">
        <v>92</v>
      </c>
      <c r="P428" s="6" t="s">
        <v>453</v>
      </c>
      <c r="Q428" s="6" t="s">
        <v>428</v>
      </c>
      <c r="R428" s="6" t="s">
        <v>428</v>
      </c>
      <c r="S428" s="6" t="s">
        <v>9</v>
      </c>
      <c r="T428" s="6" t="s">
        <v>248</v>
      </c>
      <c r="U428" s="6" t="s">
        <v>130</v>
      </c>
      <c r="V428" s="6" t="s">
        <v>1598</v>
      </c>
      <c r="W428" s="6" t="s">
        <v>92</v>
      </c>
      <c r="X428" s="6" t="s">
        <v>92</v>
      </c>
      <c r="Y428" s="6" t="s">
        <v>92</v>
      </c>
      <c r="Z428" s="6" t="s">
        <v>82</v>
      </c>
      <c r="AA428" s="6" t="s">
        <v>92</v>
      </c>
      <c r="AB428" s="6">
        <v>480.48</v>
      </c>
      <c r="AC428" s="6">
        <v>33.64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1612</v>
      </c>
      <c r="AJ428" s="6" t="s">
        <v>264</v>
      </c>
      <c r="AK428" s="6" t="s">
        <v>13</v>
      </c>
      <c r="AL428" s="6" t="s">
        <v>56</v>
      </c>
      <c r="AM428" s="6" t="s">
        <v>265</v>
      </c>
      <c r="AN428" s="6" t="s">
        <v>22</v>
      </c>
      <c r="AO428" s="6" t="s">
        <v>662</v>
      </c>
      <c r="AP428" s="6" t="s">
        <v>480</v>
      </c>
      <c r="AQ428" s="6" t="s">
        <v>39</v>
      </c>
    </row>
    <row r="429" spans="1:43" hidden="1" x14ac:dyDescent="0.25">
      <c r="A429" s="6">
        <v>22699084</v>
      </c>
      <c r="B429" s="6">
        <v>23501382</v>
      </c>
      <c r="C429" s="6" t="s">
        <v>241</v>
      </c>
      <c r="D429" s="14">
        <v>45876.357442129629</v>
      </c>
      <c r="E429" s="14">
        <v>45877.132152777784</v>
      </c>
      <c r="F429" s="6" t="s">
        <v>19</v>
      </c>
      <c r="G429" s="6" t="s">
        <v>19</v>
      </c>
      <c r="H429" s="6" t="s">
        <v>1613</v>
      </c>
      <c r="I429" s="6" t="s">
        <v>13</v>
      </c>
      <c r="J429" s="6" t="s">
        <v>1614</v>
      </c>
      <c r="K429" s="6" t="s">
        <v>648</v>
      </c>
      <c r="L429" s="6" t="s">
        <v>648</v>
      </c>
      <c r="M429" s="14">
        <v>45876.347222222219</v>
      </c>
      <c r="N429" s="6">
        <v>4578311</v>
      </c>
      <c r="O429" s="6" t="s">
        <v>92</v>
      </c>
      <c r="P429" s="6" t="s">
        <v>453</v>
      </c>
      <c r="Q429" s="6" t="s">
        <v>428</v>
      </c>
      <c r="R429" s="6" t="s">
        <v>428</v>
      </c>
      <c r="S429" s="6" t="s">
        <v>9</v>
      </c>
      <c r="T429" s="6" t="s">
        <v>248</v>
      </c>
      <c r="U429" s="6" t="s">
        <v>130</v>
      </c>
      <c r="V429" s="6" t="s">
        <v>1598</v>
      </c>
      <c r="W429" s="6" t="s">
        <v>92</v>
      </c>
      <c r="X429" s="6" t="s">
        <v>92</v>
      </c>
      <c r="Y429" s="6" t="s">
        <v>92</v>
      </c>
      <c r="Z429" s="6" t="s">
        <v>82</v>
      </c>
      <c r="AA429" s="6" t="s">
        <v>92</v>
      </c>
      <c r="AB429" s="6">
        <v>480.48</v>
      </c>
      <c r="AC429" s="6">
        <v>33.64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1612</v>
      </c>
      <c r="AJ429" s="6" t="s">
        <v>264</v>
      </c>
      <c r="AK429" s="6" t="s">
        <v>13</v>
      </c>
      <c r="AL429" s="6" t="s">
        <v>56</v>
      </c>
      <c r="AM429" s="6" t="s">
        <v>265</v>
      </c>
      <c r="AN429" s="6" t="s">
        <v>22</v>
      </c>
      <c r="AO429" s="6" t="s">
        <v>662</v>
      </c>
      <c r="AP429" s="6" t="s">
        <v>480</v>
      </c>
      <c r="AQ429" s="6" t="s">
        <v>39</v>
      </c>
    </row>
    <row r="430" spans="1:43" hidden="1" x14ac:dyDescent="0.25">
      <c r="A430" s="6">
        <v>22681663</v>
      </c>
      <c r="B430" s="6">
        <v>23486127</v>
      </c>
      <c r="C430" s="6" t="s">
        <v>241</v>
      </c>
      <c r="D430" s="14">
        <v>45873.796932870369</v>
      </c>
      <c r="E430" s="14">
        <v>45874.498437499999</v>
      </c>
      <c r="F430" s="6" t="s">
        <v>21</v>
      </c>
      <c r="G430" s="6" t="s">
        <v>21</v>
      </c>
      <c r="H430" s="6" t="s">
        <v>1615</v>
      </c>
      <c r="I430" s="6" t="s">
        <v>13</v>
      </c>
      <c r="J430" s="6" t="s">
        <v>1616</v>
      </c>
      <c r="K430" s="6" t="s">
        <v>648</v>
      </c>
      <c r="L430" s="6" t="s">
        <v>648</v>
      </c>
      <c r="M430" s="14">
        <v>45873.65625</v>
      </c>
      <c r="N430" s="6">
        <v>4576775</v>
      </c>
      <c r="O430" s="6" t="s">
        <v>92</v>
      </c>
      <c r="P430" s="6" t="s">
        <v>245</v>
      </c>
      <c r="Q430" s="6" t="s">
        <v>246</v>
      </c>
      <c r="R430" s="6" t="s">
        <v>247</v>
      </c>
      <c r="S430" s="6" t="s">
        <v>9</v>
      </c>
      <c r="T430" s="6" t="s">
        <v>248</v>
      </c>
      <c r="U430" s="6" t="s">
        <v>130</v>
      </c>
      <c r="V430" s="6" t="s">
        <v>1598</v>
      </c>
      <c r="W430" s="6" t="s">
        <v>92</v>
      </c>
      <c r="X430" s="6" t="s">
        <v>92</v>
      </c>
      <c r="Y430" s="6" t="s">
        <v>92</v>
      </c>
      <c r="Z430" s="6" t="s">
        <v>82</v>
      </c>
      <c r="AA430" s="6" t="s">
        <v>92</v>
      </c>
      <c r="AB430" s="6">
        <v>4989.24</v>
      </c>
      <c r="AC430" s="6">
        <v>13.2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1617</v>
      </c>
      <c r="AJ430" s="6" t="s">
        <v>264</v>
      </c>
      <c r="AK430" s="6" t="s">
        <v>13</v>
      </c>
      <c r="AL430" s="6" t="s">
        <v>56</v>
      </c>
      <c r="AM430" s="6" t="s">
        <v>265</v>
      </c>
      <c r="AN430" s="6" t="s">
        <v>22</v>
      </c>
      <c r="AO430" s="6" t="s">
        <v>662</v>
      </c>
      <c r="AP430" s="6" t="s">
        <v>480</v>
      </c>
      <c r="AQ430" s="6" t="s">
        <v>39</v>
      </c>
    </row>
    <row r="431" spans="1:43" hidden="1" x14ac:dyDescent="0.25">
      <c r="A431" s="6">
        <v>22686934</v>
      </c>
      <c r="B431" s="6">
        <v>23490619</v>
      </c>
      <c r="C431" s="6" t="s">
        <v>241</v>
      </c>
      <c r="D431" s="14">
        <v>45874.652071759258</v>
      </c>
      <c r="E431" s="14">
        <v>45875.149386574078</v>
      </c>
      <c r="F431" s="6" t="s">
        <v>19</v>
      </c>
      <c r="G431" s="6" t="s">
        <v>21</v>
      </c>
      <c r="H431" s="6">
        <v>19418900</v>
      </c>
      <c r="I431" s="6" t="s">
        <v>13</v>
      </c>
      <c r="J431" s="6" t="s">
        <v>1618</v>
      </c>
      <c r="K431" s="6" t="s">
        <v>648</v>
      </c>
      <c r="L431" s="6" t="s">
        <v>648</v>
      </c>
      <c r="M431" s="14">
        <v>45873.342361111107</v>
      </c>
      <c r="N431" s="6">
        <v>4576232</v>
      </c>
      <c r="O431" s="6" t="s">
        <v>92</v>
      </c>
      <c r="P431" s="6" t="s">
        <v>453</v>
      </c>
      <c r="Q431" s="6" t="s">
        <v>428</v>
      </c>
      <c r="R431" s="6" t="s">
        <v>428</v>
      </c>
      <c r="S431" s="6" t="s">
        <v>9</v>
      </c>
      <c r="T431" s="6" t="s">
        <v>248</v>
      </c>
      <c r="U431" s="6" t="s">
        <v>130</v>
      </c>
      <c r="V431" s="6" t="s">
        <v>1598</v>
      </c>
      <c r="W431" s="6" t="s">
        <v>92</v>
      </c>
      <c r="X431" s="6" t="s">
        <v>92</v>
      </c>
      <c r="Y431" s="6" t="s">
        <v>92</v>
      </c>
      <c r="Z431" s="6" t="s">
        <v>82</v>
      </c>
      <c r="AA431" s="6" t="s">
        <v>92</v>
      </c>
      <c r="AB431" s="6">
        <v>181.5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1619</v>
      </c>
      <c r="AJ431" s="6" t="s">
        <v>264</v>
      </c>
      <c r="AK431" s="6" t="s">
        <v>13</v>
      </c>
      <c r="AL431" s="6" t="s">
        <v>56</v>
      </c>
      <c r="AM431" s="6" t="s">
        <v>265</v>
      </c>
      <c r="AN431" s="6" t="s">
        <v>22</v>
      </c>
      <c r="AO431" s="6" t="s">
        <v>662</v>
      </c>
      <c r="AP431" s="6" t="s">
        <v>480</v>
      </c>
      <c r="AQ431" s="6" t="s">
        <v>39</v>
      </c>
    </row>
    <row r="432" spans="1:43" hidden="1" x14ac:dyDescent="0.25">
      <c r="A432" s="6">
        <v>22686935</v>
      </c>
      <c r="B432" s="6">
        <v>23490620</v>
      </c>
      <c r="C432" s="6" t="s">
        <v>241</v>
      </c>
      <c r="D432" s="14">
        <v>45874.652083333327</v>
      </c>
      <c r="E432" s="14">
        <v>45875.149386574078</v>
      </c>
      <c r="F432" s="6" t="s">
        <v>19</v>
      </c>
      <c r="G432" s="6" t="s">
        <v>21</v>
      </c>
      <c r="H432" s="6">
        <v>19418901</v>
      </c>
      <c r="I432" s="6" t="s">
        <v>13</v>
      </c>
      <c r="J432" s="6" t="s">
        <v>1618</v>
      </c>
      <c r="K432" s="6" t="s">
        <v>648</v>
      </c>
      <c r="L432" s="6" t="s">
        <v>648</v>
      </c>
      <c r="M432" s="14">
        <v>45873.342361111107</v>
      </c>
      <c r="N432" s="6">
        <v>4576232</v>
      </c>
      <c r="O432" s="6" t="s">
        <v>92</v>
      </c>
      <c r="P432" s="6" t="s">
        <v>453</v>
      </c>
      <c r="Q432" s="6" t="s">
        <v>428</v>
      </c>
      <c r="R432" s="6" t="s">
        <v>428</v>
      </c>
      <c r="S432" s="6" t="s">
        <v>9</v>
      </c>
      <c r="T432" s="6" t="s">
        <v>248</v>
      </c>
      <c r="U432" s="6" t="s">
        <v>130</v>
      </c>
      <c r="V432" s="6" t="s">
        <v>1598</v>
      </c>
      <c r="W432" s="6" t="s">
        <v>92</v>
      </c>
      <c r="X432" s="6" t="s">
        <v>92</v>
      </c>
      <c r="Y432" s="6" t="s">
        <v>92</v>
      </c>
      <c r="Z432" s="6" t="s">
        <v>82</v>
      </c>
      <c r="AA432" s="6" t="s">
        <v>92</v>
      </c>
      <c r="AB432" s="6">
        <v>181.5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1619</v>
      </c>
      <c r="AJ432" s="6" t="s">
        <v>264</v>
      </c>
      <c r="AK432" s="6" t="s">
        <v>13</v>
      </c>
      <c r="AL432" s="6" t="s">
        <v>56</v>
      </c>
      <c r="AM432" s="6" t="s">
        <v>265</v>
      </c>
      <c r="AN432" s="6" t="s">
        <v>22</v>
      </c>
      <c r="AO432" s="6" t="s">
        <v>662</v>
      </c>
      <c r="AP432" s="6" t="s">
        <v>480</v>
      </c>
      <c r="AQ432" s="6" t="s">
        <v>39</v>
      </c>
    </row>
    <row r="433" spans="1:43" hidden="1" x14ac:dyDescent="0.25">
      <c r="A433" s="6">
        <v>22686936</v>
      </c>
      <c r="B433" s="6">
        <v>23490621</v>
      </c>
      <c r="C433" s="6" t="s">
        <v>241</v>
      </c>
      <c r="D433" s="14">
        <v>45874.652094907397</v>
      </c>
      <c r="E433" s="14">
        <v>45875.149386574078</v>
      </c>
      <c r="F433" s="6" t="s">
        <v>19</v>
      </c>
      <c r="G433" s="6" t="s">
        <v>21</v>
      </c>
      <c r="H433" s="6">
        <v>19418902</v>
      </c>
      <c r="I433" s="6" t="s">
        <v>13</v>
      </c>
      <c r="J433" s="6" t="s">
        <v>1618</v>
      </c>
      <c r="K433" s="6" t="s">
        <v>648</v>
      </c>
      <c r="L433" s="6" t="s">
        <v>648</v>
      </c>
      <c r="M433" s="14">
        <v>45873.342361111107</v>
      </c>
      <c r="N433" s="6">
        <v>4576232</v>
      </c>
      <c r="O433" s="6" t="s">
        <v>92</v>
      </c>
      <c r="P433" s="6" t="s">
        <v>453</v>
      </c>
      <c r="Q433" s="6" t="s">
        <v>428</v>
      </c>
      <c r="R433" s="6" t="s">
        <v>428</v>
      </c>
      <c r="S433" s="6" t="s">
        <v>9</v>
      </c>
      <c r="T433" s="6" t="s">
        <v>248</v>
      </c>
      <c r="U433" s="6" t="s">
        <v>130</v>
      </c>
      <c r="V433" s="6" t="s">
        <v>1598</v>
      </c>
      <c r="W433" s="6" t="s">
        <v>92</v>
      </c>
      <c r="X433" s="6" t="s">
        <v>92</v>
      </c>
      <c r="Y433" s="6" t="s">
        <v>92</v>
      </c>
      <c r="Z433" s="6" t="s">
        <v>82</v>
      </c>
      <c r="AA433" s="6" t="s">
        <v>92</v>
      </c>
      <c r="AB433" s="6">
        <v>181.5</v>
      </c>
      <c r="AC433" s="6">
        <v>0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1619</v>
      </c>
      <c r="AJ433" s="6" t="s">
        <v>264</v>
      </c>
      <c r="AK433" s="6" t="s">
        <v>13</v>
      </c>
      <c r="AL433" s="6" t="s">
        <v>56</v>
      </c>
      <c r="AM433" s="6" t="s">
        <v>265</v>
      </c>
      <c r="AN433" s="6" t="s">
        <v>22</v>
      </c>
      <c r="AO433" s="6" t="s">
        <v>662</v>
      </c>
      <c r="AP433" s="6" t="s">
        <v>480</v>
      </c>
      <c r="AQ433" s="6" t="s">
        <v>39</v>
      </c>
    </row>
    <row r="434" spans="1:43" x14ac:dyDescent="0.25">
      <c r="A434" s="6">
        <v>22686937</v>
      </c>
      <c r="B434" s="6">
        <v>23490622</v>
      </c>
      <c r="C434" s="6" t="s">
        <v>241</v>
      </c>
      <c r="D434" s="14">
        <v>45874.652118055557</v>
      </c>
      <c r="E434" s="14">
        <v>45875.149386574078</v>
      </c>
      <c r="F434" s="6" t="s">
        <v>19</v>
      </c>
      <c r="G434" s="6" t="s">
        <v>21</v>
      </c>
      <c r="H434" s="6">
        <v>19418903</v>
      </c>
      <c r="I434" s="6" t="s">
        <v>13</v>
      </c>
      <c r="J434" s="6" t="s">
        <v>1618</v>
      </c>
      <c r="K434" s="6" t="s">
        <v>648</v>
      </c>
      <c r="L434" s="6" t="s">
        <v>648</v>
      </c>
      <c r="M434" s="14">
        <v>45873.342361111107</v>
      </c>
      <c r="N434" s="6">
        <v>4576232</v>
      </c>
      <c r="O434" s="6" t="s">
        <v>92</v>
      </c>
      <c r="P434" s="6" t="s">
        <v>453</v>
      </c>
      <c r="Q434" s="6" t="s">
        <v>428</v>
      </c>
      <c r="R434" s="6" t="s">
        <v>428</v>
      </c>
      <c r="S434" s="6" t="s">
        <v>9</v>
      </c>
      <c r="T434" s="6" t="s">
        <v>248</v>
      </c>
      <c r="U434" s="6" t="s">
        <v>130</v>
      </c>
      <c r="V434" s="6" t="s">
        <v>1598</v>
      </c>
      <c r="W434" s="6" t="s">
        <v>92</v>
      </c>
      <c r="X434" s="6" t="s">
        <v>92</v>
      </c>
      <c r="Y434" s="6" t="s">
        <v>92</v>
      </c>
      <c r="Z434" s="6" t="s">
        <v>82</v>
      </c>
      <c r="AA434" s="6" t="s">
        <v>92</v>
      </c>
      <c r="AB434" s="6">
        <v>181.5</v>
      </c>
      <c r="AC434" s="6">
        <v>0</v>
      </c>
      <c r="AD434" s="6">
        <v>0</v>
      </c>
      <c r="AE434" s="6">
        <v>0</v>
      </c>
      <c r="AF434" s="6">
        <v>0</v>
      </c>
      <c r="AG434" s="6">
        <v>0</v>
      </c>
      <c r="AH434" s="6">
        <v>0</v>
      </c>
      <c r="AI434" s="6" t="s">
        <v>1619</v>
      </c>
      <c r="AJ434" s="6" t="s">
        <v>264</v>
      </c>
      <c r="AK434" s="6" t="s">
        <v>13</v>
      </c>
      <c r="AL434" s="6" t="s">
        <v>56</v>
      </c>
      <c r="AM434" s="6" t="s">
        <v>265</v>
      </c>
      <c r="AN434" s="6" t="s">
        <v>22</v>
      </c>
      <c r="AO434" s="6" t="s">
        <v>662</v>
      </c>
      <c r="AP434" s="6" t="s">
        <v>480</v>
      </c>
      <c r="AQ434" s="6" t="s">
        <v>39</v>
      </c>
    </row>
    <row r="435" spans="1:43" hidden="1" x14ac:dyDescent="0.25">
      <c r="A435" s="6">
        <v>22686939</v>
      </c>
      <c r="B435" s="6">
        <v>23490623</v>
      </c>
      <c r="C435" s="6" t="s">
        <v>241</v>
      </c>
      <c r="D435" s="14">
        <v>45874.652141203696</v>
      </c>
      <c r="E435" s="14">
        <v>45875.149386574078</v>
      </c>
      <c r="F435" s="6" t="s">
        <v>19</v>
      </c>
      <c r="G435" s="6" t="s">
        <v>21</v>
      </c>
      <c r="H435" s="6">
        <v>19418904</v>
      </c>
      <c r="I435" s="6" t="s">
        <v>13</v>
      </c>
      <c r="J435" s="6" t="s">
        <v>1618</v>
      </c>
      <c r="K435" s="6" t="s">
        <v>648</v>
      </c>
      <c r="L435" s="6" t="s">
        <v>648</v>
      </c>
      <c r="M435" s="14">
        <v>45873.342361111107</v>
      </c>
      <c r="N435" s="6">
        <v>4576232</v>
      </c>
      <c r="O435" s="6" t="s">
        <v>92</v>
      </c>
      <c r="P435" s="6" t="s">
        <v>453</v>
      </c>
      <c r="Q435" s="6" t="s">
        <v>428</v>
      </c>
      <c r="R435" s="6" t="s">
        <v>428</v>
      </c>
      <c r="S435" s="6" t="s">
        <v>9</v>
      </c>
      <c r="T435" s="6" t="s">
        <v>248</v>
      </c>
      <c r="U435" s="6" t="s">
        <v>130</v>
      </c>
      <c r="V435" s="6" t="s">
        <v>1598</v>
      </c>
      <c r="W435" s="6" t="s">
        <v>92</v>
      </c>
      <c r="X435" s="6" t="s">
        <v>92</v>
      </c>
      <c r="Y435" s="6" t="s">
        <v>92</v>
      </c>
      <c r="Z435" s="6" t="s">
        <v>82</v>
      </c>
      <c r="AA435" s="6" t="s">
        <v>92</v>
      </c>
      <c r="AB435" s="6">
        <v>181.5</v>
      </c>
      <c r="AC435" s="6">
        <v>0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1619</v>
      </c>
      <c r="AJ435" s="6" t="s">
        <v>264</v>
      </c>
      <c r="AK435" s="6" t="s">
        <v>13</v>
      </c>
      <c r="AL435" s="6" t="s">
        <v>56</v>
      </c>
      <c r="AM435" s="6" t="s">
        <v>265</v>
      </c>
      <c r="AN435" s="6" t="s">
        <v>22</v>
      </c>
      <c r="AO435" s="6" t="s">
        <v>662</v>
      </c>
      <c r="AP435" s="6" t="s">
        <v>480</v>
      </c>
      <c r="AQ435" s="6" t="s">
        <v>39</v>
      </c>
    </row>
    <row r="436" spans="1:43" hidden="1" x14ac:dyDescent="0.25">
      <c r="A436" s="6">
        <v>22687042</v>
      </c>
      <c r="B436" s="6">
        <v>23490724</v>
      </c>
      <c r="C436" s="6" t="s">
        <v>241</v>
      </c>
      <c r="D436" s="14">
        <v>45874.664074074077</v>
      </c>
      <c r="E436" s="14">
        <v>45875.154085648152</v>
      </c>
      <c r="F436" s="6" t="s">
        <v>19</v>
      </c>
      <c r="G436" s="6" t="s">
        <v>21</v>
      </c>
      <c r="H436" s="6" t="s">
        <v>1620</v>
      </c>
      <c r="I436" s="6" t="s">
        <v>13</v>
      </c>
      <c r="J436" s="6" t="s">
        <v>1621</v>
      </c>
      <c r="K436" s="6" t="s">
        <v>648</v>
      </c>
      <c r="L436" s="6" t="s">
        <v>648</v>
      </c>
      <c r="M436" s="14">
        <v>45874.625</v>
      </c>
      <c r="N436" s="6">
        <v>4577471</v>
      </c>
      <c r="O436" s="6" t="s">
        <v>92</v>
      </c>
      <c r="P436" s="6" t="s">
        <v>453</v>
      </c>
      <c r="Q436" s="6" t="s">
        <v>428</v>
      </c>
      <c r="R436" s="6" t="s">
        <v>428</v>
      </c>
      <c r="S436" s="6" t="s">
        <v>9</v>
      </c>
      <c r="T436" s="6" t="s">
        <v>248</v>
      </c>
      <c r="U436" s="6" t="s">
        <v>130</v>
      </c>
      <c r="V436" s="6" t="s">
        <v>1598</v>
      </c>
      <c r="W436" s="6" t="s">
        <v>92</v>
      </c>
      <c r="X436" s="6" t="s">
        <v>1622</v>
      </c>
      <c r="Y436" s="6" t="s">
        <v>92</v>
      </c>
      <c r="Z436" s="6" t="s">
        <v>82</v>
      </c>
      <c r="AA436" s="6" t="s">
        <v>92</v>
      </c>
      <c r="AB436" s="6">
        <v>816</v>
      </c>
      <c r="AC436" s="6">
        <v>36.72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1623</v>
      </c>
      <c r="AJ436" s="6" t="s">
        <v>1624</v>
      </c>
      <c r="AK436" s="6" t="s">
        <v>13</v>
      </c>
      <c r="AL436" s="6" t="s">
        <v>59</v>
      </c>
      <c r="AM436" s="6" t="s">
        <v>252</v>
      </c>
      <c r="AN436" s="6" t="s">
        <v>22</v>
      </c>
      <c r="AO436" s="6" t="s">
        <v>253</v>
      </c>
      <c r="AP436" s="6" t="s">
        <v>254</v>
      </c>
      <c r="AQ436" s="6" t="s">
        <v>20</v>
      </c>
    </row>
    <row r="437" spans="1:43" hidden="1" x14ac:dyDescent="0.25">
      <c r="A437" s="6">
        <v>22652259</v>
      </c>
      <c r="B437" s="6">
        <v>23461782</v>
      </c>
      <c r="C437" s="6" t="s">
        <v>241</v>
      </c>
      <c r="D437" s="14">
        <v>45868.657222222217</v>
      </c>
      <c r="E437" s="14">
        <v>45869.545729166668</v>
      </c>
      <c r="F437" s="6" t="s">
        <v>23</v>
      </c>
      <c r="G437" s="6" t="s">
        <v>25</v>
      </c>
      <c r="H437" s="6" t="s">
        <v>1625</v>
      </c>
      <c r="I437" s="6" t="s">
        <v>13</v>
      </c>
      <c r="J437" s="6" t="s">
        <v>1626</v>
      </c>
      <c r="K437" s="6" t="s">
        <v>1627</v>
      </c>
      <c r="L437" s="6" t="s">
        <v>1627</v>
      </c>
      <c r="M437" s="14">
        <v>45868</v>
      </c>
      <c r="N437" s="6">
        <v>4574134</v>
      </c>
      <c r="O437" s="6" t="s">
        <v>92</v>
      </c>
      <c r="P437" s="6" t="s">
        <v>245</v>
      </c>
      <c r="Q437" s="6" t="s">
        <v>428</v>
      </c>
      <c r="R437" s="6" t="s">
        <v>428</v>
      </c>
      <c r="S437" s="6" t="s">
        <v>9</v>
      </c>
      <c r="T437" s="6" t="s">
        <v>248</v>
      </c>
      <c r="U437" s="6" t="s">
        <v>130</v>
      </c>
      <c r="V437" s="6" t="s">
        <v>1598</v>
      </c>
      <c r="W437" s="6" t="s">
        <v>92</v>
      </c>
      <c r="X437" s="6" t="s">
        <v>1628</v>
      </c>
      <c r="Y437" s="6" t="s">
        <v>92</v>
      </c>
      <c r="Z437" s="6" t="s">
        <v>82</v>
      </c>
      <c r="AA437" s="6" t="s">
        <v>92</v>
      </c>
      <c r="AB437" s="6">
        <v>150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1629</v>
      </c>
      <c r="AJ437" s="6" t="s">
        <v>1331</v>
      </c>
      <c r="AK437" s="6" t="s">
        <v>13</v>
      </c>
      <c r="AL437" s="6" t="s">
        <v>56</v>
      </c>
      <c r="AM437" s="6" t="s">
        <v>265</v>
      </c>
      <c r="AN437" s="6" t="s">
        <v>22</v>
      </c>
      <c r="AO437" s="6" t="s">
        <v>662</v>
      </c>
      <c r="AP437" s="6" t="s">
        <v>480</v>
      </c>
      <c r="AQ437" s="6" t="s">
        <v>39</v>
      </c>
    </row>
    <row r="438" spans="1:43" x14ac:dyDescent="0.25">
      <c r="A438" s="6">
        <v>22652259</v>
      </c>
      <c r="B438" s="6">
        <v>23461783</v>
      </c>
      <c r="C438" s="6" t="s">
        <v>255</v>
      </c>
      <c r="D438" s="14">
        <v>45868.657222222217</v>
      </c>
      <c r="E438" s="14">
        <v>45869.545729166668</v>
      </c>
      <c r="F438" s="6" t="s">
        <v>23</v>
      </c>
      <c r="G438" s="6" t="s">
        <v>25</v>
      </c>
      <c r="H438" s="6" t="s">
        <v>1625</v>
      </c>
      <c r="I438" s="6" t="s">
        <v>13</v>
      </c>
      <c r="J438" s="6" t="s">
        <v>1630</v>
      </c>
      <c r="K438" s="6" t="s">
        <v>1627</v>
      </c>
      <c r="L438" s="6" t="s">
        <v>1627</v>
      </c>
      <c r="M438" s="14">
        <v>45868</v>
      </c>
      <c r="N438" s="6">
        <v>4574134</v>
      </c>
      <c r="O438" s="6" t="s">
        <v>92</v>
      </c>
      <c r="P438" s="6" t="s">
        <v>245</v>
      </c>
      <c r="Q438" s="6" t="s">
        <v>428</v>
      </c>
      <c r="R438" s="6" t="s">
        <v>428</v>
      </c>
      <c r="S438" s="6" t="s">
        <v>9</v>
      </c>
      <c r="T438" s="6" t="s">
        <v>248</v>
      </c>
      <c r="U438" s="6" t="s">
        <v>130</v>
      </c>
      <c r="V438" s="6" t="s">
        <v>1598</v>
      </c>
      <c r="W438" s="6" t="s">
        <v>92</v>
      </c>
      <c r="X438" s="6" t="s">
        <v>92</v>
      </c>
      <c r="Y438" s="6" t="s">
        <v>92</v>
      </c>
      <c r="Z438" s="6" t="s">
        <v>82</v>
      </c>
      <c r="AA438" s="6" t="s">
        <v>92</v>
      </c>
      <c r="AB438" s="6">
        <v>150</v>
      </c>
      <c r="AC438" s="6">
        <v>0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1629</v>
      </c>
      <c r="AJ438" s="6" t="s">
        <v>1331</v>
      </c>
      <c r="AK438" s="6" t="s">
        <v>13</v>
      </c>
      <c r="AL438" s="6" t="s">
        <v>56</v>
      </c>
      <c r="AM438" s="6" t="s">
        <v>265</v>
      </c>
      <c r="AN438" s="6" t="s">
        <v>22</v>
      </c>
      <c r="AO438" s="6" t="s">
        <v>662</v>
      </c>
      <c r="AP438" s="6" t="s">
        <v>480</v>
      </c>
      <c r="AQ438" s="6" t="s">
        <v>39</v>
      </c>
    </row>
    <row r="439" spans="1:43" x14ac:dyDescent="0.25">
      <c r="A439" s="6">
        <v>22700889</v>
      </c>
      <c r="B439" s="6">
        <v>23503100</v>
      </c>
      <c r="C439" s="6" t="s">
        <v>241</v>
      </c>
      <c r="D439" s="14">
        <v>45876.535682870373</v>
      </c>
      <c r="E439" s="14">
        <v>45876.544027777767</v>
      </c>
      <c r="F439" s="6" t="s">
        <v>19</v>
      </c>
      <c r="G439" s="6" t="s">
        <v>19</v>
      </c>
      <c r="H439" s="6" t="s">
        <v>1631</v>
      </c>
      <c r="I439" s="6" t="s">
        <v>17</v>
      </c>
      <c r="J439" s="6" t="s">
        <v>1632</v>
      </c>
      <c r="K439" s="6" t="s">
        <v>1633</v>
      </c>
      <c r="L439" s="6" t="s">
        <v>1633</v>
      </c>
      <c r="M439" s="14">
        <v>45876.445138888892</v>
      </c>
      <c r="N439" s="6" t="s">
        <v>1634</v>
      </c>
      <c r="O439" s="6" t="s">
        <v>92</v>
      </c>
      <c r="P439" s="6" t="s">
        <v>245</v>
      </c>
      <c r="Q439" s="6" t="s">
        <v>428</v>
      </c>
      <c r="R439" s="6" t="s">
        <v>428</v>
      </c>
      <c r="S439" s="6" t="s">
        <v>9</v>
      </c>
      <c r="T439" s="6" t="s">
        <v>248</v>
      </c>
      <c r="U439" s="6" t="s">
        <v>126</v>
      </c>
      <c r="V439" s="6" t="s">
        <v>1635</v>
      </c>
      <c r="W439" s="6" t="s">
        <v>92</v>
      </c>
      <c r="X439" s="6" t="s">
        <v>92</v>
      </c>
      <c r="Y439" s="6" t="s">
        <v>92</v>
      </c>
      <c r="Z439" s="6" t="s">
        <v>77</v>
      </c>
      <c r="AA439" s="6" t="s">
        <v>92</v>
      </c>
      <c r="AB439" s="6">
        <v>1800</v>
      </c>
      <c r="AC439" s="6">
        <v>0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456</v>
      </c>
      <c r="AJ439" s="6" t="s">
        <v>264</v>
      </c>
      <c r="AK439" s="6" t="s">
        <v>17</v>
      </c>
      <c r="AL439" s="6" t="s">
        <v>56</v>
      </c>
      <c r="AM439" s="6" t="s">
        <v>265</v>
      </c>
      <c r="AN439" s="6" t="s">
        <v>22</v>
      </c>
      <c r="AO439" s="6" t="s">
        <v>253</v>
      </c>
      <c r="AP439" s="6" t="s">
        <v>254</v>
      </c>
      <c r="AQ439" s="6" t="s">
        <v>20</v>
      </c>
    </row>
    <row r="440" spans="1:43" x14ac:dyDescent="0.25">
      <c r="A440" s="6">
        <v>22702276</v>
      </c>
      <c r="B440" s="6">
        <v>23504414</v>
      </c>
      <c r="C440" s="6" t="s">
        <v>241</v>
      </c>
      <c r="D440" s="14">
        <v>45876.714583333327</v>
      </c>
      <c r="E440" s="14">
        <v>45876.719305555547</v>
      </c>
      <c r="F440" s="6" t="s">
        <v>19</v>
      </c>
      <c r="G440" s="6" t="s">
        <v>19</v>
      </c>
      <c r="H440" s="6" t="s">
        <v>1636</v>
      </c>
      <c r="I440" s="6" t="s">
        <v>17</v>
      </c>
      <c r="J440" s="6" t="s">
        <v>1637</v>
      </c>
      <c r="K440" s="6" t="s">
        <v>1633</v>
      </c>
      <c r="L440" s="6" t="s">
        <v>1633</v>
      </c>
      <c r="M440" s="14">
        <v>45876.622916666667</v>
      </c>
      <c r="N440" s="6" t="s">
        <v>1638</v>
      </c>
      <c r="O440" s="6" t="s">
        <v>92</v>
      </c>
      <c r="P440" s="6" t="s">
        <v>245</v>
      </c>
      <c r="Q440" s="6" t="s">
        <v>428</v>
      </c>
      <c r="R440" s="6" t="s">
        <v>428</v>
      </c>
      <c r="S440" s="6" t="s">
        <v>9</v>
      </c>
      <c r="T440" s="6" t="s">
        <v>248</v>
      </c>
      <c r="U440" s="6" t="s">
        <v>126</v>
      </c>
      <c r="V440" s="6" t="s">
        <v>1635</v>
      </c>
      <c r="W440" s="6" t="s">
        <v>92</v>
      </c>
      <c r="X440" s="6" t="s">
        <v>92</v>
      </c>
      <c r="Y440" s="6" t="s">
        <v>92</v>
      </c>
      <c r="Z440" s="6" t="s">
        <v>77</v>
      </c>
      <c r="AA440" s="6" t="s">
        <v>92</v>
      </c>
      <c r="AB440" s="6">
        <v>1615.92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456</v>
      </c>
      <c r="AJ440" s="6" t="s">
        <v>264</v>
      </c>
      <c r="AK440" s="6" t="s">
        <v>17</v>
      </c>
      <c r="AL440" s="6" t="s">
        <v>56</v>
      </c>
      <c r="AM440" s="6" t="s">
        <v>265</v>
      </c>
      <c r="AN440" s="6" t="s">
        <v>22</v>
      </c>
      <c r="AO440" s="6" t="s">
        <v>253</v>
      </c>
      <c r="AP440" s="6" t="s">
        <v>254</v>
      </c>
      <c r="AQ440" s="6" t="s">
        <v>20</v>
      </c>
    </row>
    <row r="441" spans="1:43" hidden="1" x14ac:dyDescent="0.25">
      <c r="A441" s="6">
        <v>22651596</v>
      </c>
      <c r="B441" s="6">
        <v>23461155</v>
      </c>
      <c r="C441" s="6" t="s">
        <v>241</v>
      </c>
      <c r="D441" s="14">
        <v>45868.555925925917</v>
      </c>
      <c r="E441" s="14">
        <v>45868.56287037037</v>
      </c>
      <c r="F441" s="6" t="s">
        <v>25</v>
      </c>
      <c r="G441" s="6" t="s">
        <v>25</v>
      </c>
      <c r="H441" s="6" t="s">
        <v>1639</v>
      </c>
      <c r="I441" s="6" t="s">
        <v>17</v>
      </c>
      <c r="J441" s="6" t="s">
        <v>1640</v>
      </c>
      <c r="K441" s="6" t="s">
        <v>1633</v>
      </c>
      <c r="L441" s="6" t="s">
        <v>1633</v>
      </c>
      <c r="M441" s="14">
        <v>45868.46597222222</v>
      </c>
      <c r="N441" s="6" t="s">
        <v>1641</v>
      </c>
      <c r="O441" s="6" t="s">
        <v>92</v>
      </c>
      <c r="P441" s="6" t="s">
        <v>245</v>
      </c>
      <c r="Q441" s="6" t="s">
        <v>428</v>
      </c>
      <c r="R441" s="6" t="s">
        <v>428</v>
      </c>
      <c r="S441" s="6" t="s">
        <v>9</v>
      </c>
      <c r="T441" s="6" t="s">
        <v>248</v>
      </c>
      <c r="U441" s="6" t="s">
        <v>126</v>
      </c>
      <c r="V441" s="6" t="s">
        <v>1635</v>
      </c>
      <c r="W441" s="6" t="s">
        <v>92</v>
      </c>
      <c r="X441" s="6" t="s">
        <v>92</v>
      </c>
      <c r="Y441" s="6" t="s">
        <v>92</v>
      </c>
      <c r="Z441" s="6" t="s">
        <v>77</v>
      </c>
      <c r="AA441" s="6" t="s">
        <v>92</v>
      </c>
      <c r="AB441" s="6">
        <v>547.04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456</v>
      </c>
      <c r="AJ441" s="6" t="s">
        <v>264</v>
      </c>
      <c r="AK441" s="6" t="s">
        <v>17</v>
      </c>
      <c r="AL441" s="6" t="s">
        <v>56</v>
      </c>
      <c r="AM441" s="6" t="s">
        <v>265</v>
      </c>
      <c r="AN441" s="6" t="s">
        <v>22</v>
      </c>
      <c r="AO441" s="6" t="s">
        <v>253</v>
      </c>
      <c r="AP441" s="6" t="s">
        <v>254</v>
      </c>
      <c r="AQ441" s="6" t="s">
        <v>20</v>
      </c>
    </row>
    <row r="442" spans="1:43" hidden="1" x14ac:dyDescent="0.25">
      <c r="A442" s="6">
        <v>22644219</v>
      </c>
      <c r="B442" s="6">
        <v>23454435</v>
      </c>
      <c r="C442" s="6" t="s">
        <v>241</v>
      </c>
      <c r="D442" s="14">
        <v>45867.461967592593</v>
      </c>
      <c r="E442" s="14">
        <v>45867.469328703701</v>
      </c>
      <c r="F442" s="6" t="s">
        <v>25</v>
      </c>
      <c r="G442" s="6" t="s">
        <v>25</v>
      </c>
      <c r="H442" s="6" t="s">
        <v>1642</v>
      </c>
      <c r="I442" s="6" t="s">
        <v>17</v>
      </c>
      <c r="J442" s="6" t="s">
        <v>1643</v>
      </c>
      <c r="K442" s="6" t="s">
        <v>1633</v>
      </c>
      <c r="L442" s="6" t="s">
        <v>1633</v>
      </c>
      <c r="M442" s="14">
        <v>45867.370138888888</v>
      </c>
      <c r="N442" s="6" t="s">
        <v>1644</v>
      </c>
      <c r="O442" s="6" t="s">
        <v>92</v>
      </c>
      <c r="P442" s="6" t="s">
        <v>245</v>
      </c>
      <c r="Q442" s="6" t="s">
        <v>428</v>
      </c>
      <c r="R442" s="6" t="s">
        <v>428</v>
      </c>
      <c r="S442" s="6" t="s">
        <v>9</v>
      </c>
      <c r="T442" s="6" t="s">
        <v>248</v>
      </c>
      <c r="U442" s="6" t="s">
        <v>126</v>
      </c>
      <c r="V442" s="6" t="s">
        <v>1635</v>
      </c>
      <c r="W442" s="6" t="s">
        <v>92</v>
      </c>
      <c r="X442" s="6" t="s">
        <v>92</v>
      </c>
      <c r="Y442" s="6" t="s">
        <v>92</v>
      </c>
      <c r="Z442" s="6" t="s">
        <v>77</v>
      </c>
      <c r="AA442" s="6" t="s">
        <v>92</v>
      </c>
      <c r="AB442" s="6">
        <v>547.04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456</v>
      </c>
      <c r="AJ442" s="6" t="s">
        <v>264</v>
      </c>
      <c r="AK442" s="6" t="s">
        <v>17</v>
      </c>
      <c r="AL442" s="6" t="s">
        <v>56</v>
      </c>
      <c r="AM442" s="6" t="s">
        <v>265</v>
      </c>
      <c r="AN442" s="6" t="s">
        <v>22</v>
      </c>
      <c r="AO442" s="6" t="s">
        <v>253</v>
      </c>
      <c r="AP442" s="6" t="s">
        <v>254</v>
      </c>
      <c r="AQ442" s="6" t="s">
        <v>20</v>
      </c>
    </row>
    <row r="443" spans="1:43" hidden="1" x14ac:dyDescent="0.25">
      <c r="A443" s="6">
        <v>22699258</v>
      </c>
      <c r="B443" s="6">
        <v>23501528</v>
      </c>
      <c r="C443" s="6" t="s">
        <v>241</v>
      </c>
      <c r="D443" s="14">
        <v>45876.38921296296</v>
      </c>
      <c r="E443" s="14">
        <v>45876.393900462957</v>
      </c>
      <c r="F443" s="6" t="s">
        <v>19</v>
      </c>
      <c r="G443" s="6" t="s">
        <v>19</v>
      </c>
      <c r="H443" s="6" t="s">
        <v>1645</v>
      </c>
      <c r="I443" s="6" t="s">
        <v>17</v>
      </c>
      <c r="J443" s="6" t="s">
        <v>1646</v>
      </c>
      <c r="K443" s="6" t="s">
        <v>1633</v>
      </c>
      <c r="L443" s="6" t="s">
        <v>1633</v>
      </c>
      <c r="M443" s="14">
        <v>45876.3</v>
      </c>
      <c r="N443" s="6" t="s">
        <v>1647</v>
      </c>
      <c r="O443" s="6" t="s">
        <v>92</v>
      </c>
      <c r="P443" s="6" t="s">
        <v>245</v>
      </c>
      <c r="Q443" s="6" t="s">
        <v>428</v>
      </c>
      <c r="R443" s="6" t="s">
        <v>428</v>
      </c>
      <c r="S443" s="6" t="s">
        <v>9</v>
      </c>
      <c r="T443" s="6" t="s">
        <v>248</v>
      </c>
      <c r="U443" s="6" t="s">
        <v>126</v>
      </c>
      <c r="V443" s="6" t="s">
        <v>1635</v>
      </c>
      <c r="W443" s="6" t="s">
        <v>92</v>
      </c>
      <c r="X443" s="6" t="s">
        <v>92</v>
      </c>
      <c r="Y443" s="6" t="s">
        <v>92</v>
      </c>
      <c r="Z443" s="6" t="s">
        <v>77</v>
      </c>
      <c r="AA443" s="6" t="s">
        <v>92</v>
      </c>
      <c r="AB443" s="6">
        <v>756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456</v>
      </c>
      <c r="AJ443" s="6" t="s">
        <v>264</v>
      </c>
      <c r="AK443" s="6" t="s">
        <v>17</v>
      </c>
      <c r="AL443" s="6" t="s">
        <v>56</v>
      </c>
      <c r="AM443" s="6" t="s">
        <v>265</v>
      </c>
      <c r="AN443" s="6" t="s">
        <v>22</v>
      </c>
      <c r="AO443" s="6" t="s">
        <v>253</v>
      </c>
      <c r="AP443" s="6" t="s">
        <v>254</v>
      </c>
      <c r="AQ443" s="6" t="s">
        <v>20</v>
      </c>
    </row>
    <row r="444" spans="1:43" hidden="1" x14ac:dyDescent="0.25">
      <c r="A444" s="6">
        <v>22694343</v>
      </c>
      <c r="B444" s="6">
        <v>23497197</v>
      </c>
      <c r="C444" s="6" t="s">
        <v>241</v>
      </c>
      <c r="D444" s="14">
        <v>45875.651307870372</v>
      </c>
      <c r="E444" s="14">
        <v>45875.657048611109</v>
      </c>
      <c r="F444" s="6" t="s">
        <v>19</v>
      </c>
      <c r="G444" s="6" t="s">
        <v>19</v>
      </c>
      <c r="H444" s="6" t="s">
        <v>1648</v>
      </c>
      <c r="I444" s="6" t="s">
        <v>17</v>
      </c>
      <c r="J444" s="6" t="s">
        <v>1649</v>
      </c>
      <c r="K444" s="6" t="s">
        <v>1633</v>
      </c>
      <c r="L444" s="6" t="s">
        <v>1633</v>
      </c>
      <c r="M444" s="14">
        <v>45875.559027777781</v>
      </c>
      <c r="N444" s="6" t="s">
        <v>1650</v>
      </c>
      <c r="O444" s="6" t="s">
        <v>92</v>
      </c>
      <c r="P444" s="6" t="s">
        <v>245</v>
      </c>
      <c r="Q444" s="6" t="s">
        <v>246</v>
      </c>
      <c r="R444" s="6" t="s">
        <v>247</v>
      </c>
      <c r="S444" s="6" t="s">
        <v>9</v>
      </c>
      <c r="T444" s="6" t="s">
        <v>248</v>
      </c>
      <c r="U444" s="6" t="s">
        <v>126</v>
      </c>
      <c r="V444" s="6" t="s">
        <v>1635</v>
      </c>
      <c r="W444" s="6" t="s">
        <v>92</v>
      </c>
      <c r="X444" s="6" t="s">
        <v>92</v>
      </c>
      <c r="Y444" s="6" t="s">
        <v>92</v>
      </c>
      <c r="Z444" s="6" t="s">
        <v>77</v>
      </c>
      <c r="AA444" s="6" t="s">
        <v>92</v>
      </c>
      <c r="AB444" s="6">
        <v>169</v>
      </c>
      <c r="AC444" s="6">
        <v>0</v>
      </c>
      <c r="AD444" s="6">
        <v>0</v>
      </c>
      <c r="AE444" s="6">
        <v>0</v>
      </c>
      <c r="AF444" s="6">
        <v>0</v>
      </c>
      <c r="AG444" s="6">
        <v>0</v>
      </c>
      <c r="AH444" s="6">
        <v>0</v>
      </c>
      <c r="AI444" s="6" t="s">
        <v>456</v>
      </c>
      <c r="AJ444" s="6" t="s">
        <v>264</v>
      </c>
      <c r="AK444" s="6" t="s">
        <v>17</v>
      </c>
      <c r="AL444" s="6" t="s">
        <v>56</v>
      </c>
      <c r="AM444" s="6" t="s">
        <v>265</v>
      </c>
      <c r="AN444" s="6" t="s">
        <v>22</v>
      </c>
      <c r="AO444" s="6" t="s">
        <v>253</v>
      </c>
      <c r="AP444" s="6" t="s">
        <v>254</v>
      </c>
      <c r="AQ444" s="6" t="s">
        <v>20</v>
      </c>
    </row>
    <row r="445" spans="1:43" hidden="1" x14ac:dyDescent="0.25">
      <c r="A445" s="6">
        <v>22703008</v>
      </c>
      <c r="B445" s="6">
        <v>23505125</v>
      </c>
      <c r="C445" s="6" t="s">
        <v>241</v>
      </c>
      <c r="D445" s="14">
        <v>45876.765613425923</v>
      </c>
      <c r="E445" s="14">
        <v>45876.775543981479</v>
      </c>
      <c r="F445" s="6" t="s">
        <v>19</v>
      </c>
      <c r="G445" s="6" t="s">
        <v>19</v>
      </c>
      <c r="H445" s="6" t="s">
        <v>1651</v>
      </c>
      <c r="I445" s="6" t="s">
        <v>17</v>
      </c>
      <c r="J445" s="6" t="s">
        <v>1652</v>
      </c>
      <c r="K445" s="6" t="s">
        <v>476</v>
      </c>
      <c r="L445" s="6" t="s">
        <v>1653</v>
      </c>
      <c r="M445" s="14">
        <v>45876.634027777778</v>
      </c>
      <c r="N445" s="6" t="s">
        <v>1651</v>
      </c>
      <c r="O445" s="6" t="s">
        <v>92</v>
      </c>
      <c r="P445" s="6" t="s">
        <v>453</v>
      </c>
      <c r="Q445" s="6" t="s">
        <v>246</v>
      </c>
      <c r="R445" s="6" t="s">
        <v>247</v>
      </c>
      <c r="S445" s="6" t="s">
        <v>7</v>
      </c>
      <c r="T445" s="6" t="s">
        <v>248</v>
      </c>
      <c r="U445" s="6" t="s">
        <v>193</v>
      </c>
      <c r="V445" s="6" t="s">
        <v>1654</v>
      </c>
      <c r="W445" s="6" t="s">
        <v>92</v>
      </c>
      <c r="X445" s="6" t="s">
        <v>285</v>
      </c>
      <c r="Y445" s="6">
        <v>2971592839</v>
      </c>
      <c r="Z445" s="6" t="s">
        <v>123</v>
      </c>
      <c r="AA445" s="6" t="s">
        <v>92</v>
      </c>
      <c r="AB445" s="6">
        <v>8521.7099999999991</v>
      </c>
      <c r="AC445" s="6">
        <v>59.54</v>
      </c>
      <c r="AD445" s="6">
        <v>403.65</v>
      </c>
      <c r="AE445" s="6">
        <v>0</v>
      </c>
      <c r="AF445" s="6">
        <v>59.54</v>
      </c>
      <c r="AG445" s="6">
        <v>0</v>
      </c>
      <c r="AH445" s="6">
        <v>0</v>
      </c>
      <c r="AI445" s="6" t="s">
        <v>456</v>
      </c>
      <c r="AJ445" s="6" t="s">
        <v>1655</v>
      </c>
      <c r="AK445" s="6" t="s">
        <v>17</v>
      </c>
      <c r="AL445" s="6" t="s">
        <v>78</v>
      </c>
      <c r="AM445" s="6" t="s">
        <v>67</v>
      </c>
      <c r="AN445" s="6" t="s">
        <v>22</v>
      </c>
      <c r="AO445" s="6" t="s">
        <v>253</v>
      </c>
      <c r="AP445" s="6" t="s">
        <v>254</v>
      </c>
      <c r="AQ445" s="6" t="s">
        <v>41</v>
      </c>
    </row>
    <row r="446" spans="1:43" hidden="1" x14ac:dyDescent="0.25">
      <c r="A446" s="6">
        <v>22703334</v>
      </c>
      <c r="B446" s="6">
        <v>23505442</v>
      </c>
      <c r="C446" s="6" t="s">
        <v>241</v>
      </c>
      <c r="D446" s="14">
        <v>45876.780775462961</v>
      </c>
      <c r="E446" s="14">
        <v>45876.806504629632</v>
      </c>
      <c r="F446" s="6" t="s">
        <v>19</v>
      </c>
      <c r="G446" s="6" t="s">
        <v>19</v>
      </c>
      <c r="H446" s="6" t="s">
        <v>1656</v>
      </c>
      <c r="I446" s="6" t="s">
        <v>259</v>
      </c>
      <c r="J446" s="6" t="s">
        <v>1657</v>
      </c>
      <c r="K446" s="6" t="s">
        <v>665</v>
      </c>
      <c r="L446" s="6" t="s">
        <v>665</v>
      </c>
      <c r="M446" s="14">
        <v>45876.530555555553</v>
      </c>
      <c r="N446" s="6">
        <v>386</v>
      </c>
      <c r="O446" s="6" t="s">
        <v>1658</v>
      </c>
      <c r="P446" s="6" t="s">
        <v>453</v>
      </c>
      <c r="Q446" s="6" t="s">
        <v>246</v>
      </c>
      <c r="R446" s="6" t="s">
        <v>247</v>
      </c>
      <c r="S446" s="6" t="s">
        <v>8</v>
      </c>
      <c r="T446" s="6" t="s">
        <v>248</v>
      </c>
      <c r="U446" s="6" t="s">
        <v>152</v>
      </c>
      <c r="V446" s="6" t="s">
        <v>1659</v>
      </c>
      <c r="W446" s="6" t="s">
        <v>92</v>
      </c>
      <c r="X446" s="6" t="s">
        <v>92</v>
      </c>
      <c r="Y446" s="6" t="s">
        <v>92</v>
      </c>
      <c r="Z446" s="6" t="s">
        <v>1660</v>
      </c>
      <c r="AA446" s="6" t="s">
        <v>92</v>
      </c>
      <c r="AB446" s="6">
        <v>537.69000000000005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1661</v>
      </c>
      <c r="AJ446" s="6" t="s">
        <v>264</v>
      </c>
      <c r="AK446" s="6" t="s">
        <v>18</v>
      </c>
      <c r="AL446" s="6" t="s">
        <v>56</v>
      </c>
      <c r="AM446" s="6" t="s">
        <v>265</v>
      </c>
      <c r="AN446" s="6" t="s">
        <v>22</v>
      </c>
      <c r="AO446" s="6" t="s">
        <v>253</v>
      </c>
      <c r="AP446" s="6" t="s">
        <v>423</v>
      </c>
      <c r="AQ446" s="6" t="s">
        <v>49</v>
      </c>
    </row>
    <row r="447" spans="1:43" x14ac:dyDescent="0.25">
      <c r="A447" s="6">
        <v>22694934</v>
      </c>
      <c r="B447" s="6">
        <v>23497788</v>
      </c>
      <c r="C447" s="6" t="s">
        <v>241</v>
      </c>
      <c r="D447" s="14">
        <v>45875.713912037027</v>
      </c>
      <c r="E447" s="14">
        <v>45875.72552083333</v>
      </c>
      <c r="F447" s="6" t="s">
        <v>19</v>
      </c>
      <c r="G447" s="6" t="s">
        <v>19</v>
      </c>
      <c r="H447" s="6" t="s">
        <v>1662</v>
      </c>
      <c r="I447" s="6" t="s">
        <v>17</v>
      </c>
      <c r="J447" s="6" t="s">
        <v>1663</v>
      </c>
      <c r="K447" s="6" t="s">
        <v>451</v>
      </c>
      <c r="L447" s="6" t="s">
        <v>451</v>
      </c>
      <c r="M447" s="14">
        <v>45874.655555555553</v>
      </c>
      <c r="N447" s="6" t="s">
        <v>1662</v>
      </c>
      <c r="O447" s="6" t="s">
        <v>92</v>
      </c>
      <c r="P447" s="6" t="s">
        <v>453</v>
      </c>
      <c r="Q447" s="6" t="s">
        <v>428</v>
      </c>
      <c r="R447" s="6" t="s">
        <v>477</v>
      </c>
      <c r="S447" s="6" t="s">
        <v>7</v>
      </c>
      <c r="T447" s="6" t="s">
        <v>248</v>
      </c>
      <c r="U447" s="6" t="s">
        <v>182</v>
      </c>
      <c r="V447" s="6" t="s">
        <v>1664</v>
      </c>
      <c r="W447" s="6" t="s">
        <v>92</v>
      </c>
      <c r="X447" s="6" t="s">
        <v>455</v>
      </c>
      <c r="Y447" s="6">
        <v>2142757360</v>
      </c>
      <c r="Z447" s="6" t="s">
        <v>134</v>
      </c>
      <c r="AA447" s="6" t="s">
        <v>92</v>
      </c>
      <c r="AB447" s="6">
        <v>425.4</v>
      </c>
      <c r="AC447" s="6">
        <v>120.57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456</v>
      </c>
      <c r="AJ447" s="6" t="s">
        <v>1665</v>
      </c>
      <c r="AK447" s="6" t="s">
        <v>17</v>
      </c>
      <c r="AL447" s="6" t="s">
        <v>74</v>
      </c>
      <c r="AM447" s="6" t="s">
        <v>67</v>
      </c>
      <c r="AN447" s="6" t="s">
        <v>22</v>
      </c>
      <c r="AO447" s="6" t="s">
        <v>253</v>
      </c>
      <c r="AP447" s="6" t="s">
        <v>254</v>
      </c>
      <c r="AQ447" s="6" t="s">
        <v>20</v>
      </c>
    </row>
    <row r="448" spans="1:43" hidden="1" x14ac:dyDescent="0.25">
      <c r="A448" s="6">
        <v>22700754</v>
      </c>
      <c r="B448" s="6">
        <v>23502970</v>
      </c>
      <c r="C448" s="6" t="s">
        <v>241</v>
      </c>
      <c r="D448" s="14">
        <v>45876.528564814813</v>
      </c>
      <c r="E448" s="14">
        <v>45876.536898148152</v>
      </c>
      <c r="F448" s="6" t="s">
        <v>19</v>
      </c>
      <c r="G448" s="6" t="s">
        <v>19</v>
      </c>
      <c r="H448" s="6" t="s">
        <v>1666</v>
      </c>
      <c r="I448" s="6" t="s">
        <v>259</v>
      </c>
      <c r="J448" s="6" t="s">
        <v>1667</v>
      </c>
      <c r="K448" s="6" t="s">
        <v>1668</v>
      </c>
      <c r="L448" s="6" t="s">
        <v>1668</v>
      </c>
      <c r="M448" s="14">
        <v>45876.429861111108</v>
      </c>
      <c r="N448" s="6">
        <v>1293</v>
      </c>
      <c r="O448" s="6" t="s">
        <v>92</v>
      </c>
      <c r="P448" s="6" t="s">
        <v>245</v>
      </c>
      <c r="Q448" s="6" t="s">
        <v>428</v>
      </c>
      <c r="R448" s="6" t="s">
        <v>477</v>
      </c>
      <c r="S448" s="6" t="s">
        <v>7</v>
      </c>
      <c r="T448" s="6" t="s">
        <v>248</v>
      </c>
      <c r="U448" s="6" t="s">
        <v>146</v>
      </c>
      <c r="V448" s="6" t="s">
        <v>1669</v>
      </c>
      <c r="W448" s="6" t="s">
        <v>92</v>
      </c>
      <c r="X448" s="6" t="s">
        <v>285</v>
      </c>
      <c r="Y448" s="6">
        <v>2971585096</v>
      </c>
      <c r="Z448" s="6" t="s">
        <v>98</v>
      </c>
      <c r="AA448" s="6" t="s">
        <v>92</v>
      </c>
      <c r="AB448" s="6">
        <v>0</v>
      </c>
      <c r="AC448" s="6">
        <v>30.95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1670</v>
      </c>
      <c r="AJ448" s="6" t="s">
        <v>1671</v>
      </c>
      <c r="AK448" s="6" t="s">
        <v>12</v>
      </c>
      <c r="AL448" s="6" t="s">
        <v>57</v>
      </c>
      <c r="AM448" s="6" t="s">
        <v>288</v>
      </c>
      <c r="AN448" s="6" t="s">
        <v>28</v>
      </c>
      <c r="AO448" s="6" t="s">
        <v>253</v>
      </c>
      <c r="AP448" s="6" t="s">
        <v>480</v>
      </c>
      <c r="AQ448" s="6" t="s">
        <v>43</v>
      </c>
    </row>
    <row r="449" spans="1:43" hidden="1" x14ac:dyDescent="0.25">
      <c r="A449" s="6">
        <v>22693310</v>
      </c>
      <c r="B449" s="6">
        <v>23496252</v>
      </c>
      <c r="C449" s="6" t="s">
        <v>241</v>
      </c>
      <c r="D449" s="14">
        <v>45875.524062500001</v>
      </c>
      <c r="E449" s="14">
        <v>45875.556134259263</v>
      </c>
      <c r="F449" s="6" t="s">
        <v>19</v>
      </c>
      <c r="G449" s="6" t="s">
        <v>19</v>
      </c>
      <c r="H449" s="6" t="s">
        <v>1672</v>
      </c>
      <c r="I449" s="6" t="s">
        <v>259</v>
      </c>
      <c r="J449" s="6" t="s">
        <v>1673</v>
      </c>
      <c r="K449" s="6" t="s">
        <v>1674</v>
      </c>
      <c r="L449" s="6" t="s">
        <v>1674</v>
      </c>
      <c r="M449" s="14">
        <v>45875.40625</v>
      </c>
      <c r="N449" s="6">
        <v>1251</v>
      </c>
      <c r="O449" s="6" t="s">
        <v>92</v>
      </c>
      <c r="P449" s="6" t="s">
        <v>245</v>
      </c>
      <c r="Q449" s="6" t="s">
        <v>428</v>
      </c>
      <c r="R449" s="6" t="s">
        <v>428</v>
      </c>
      <c r="S449" s="6" t="s">
        <v>9</v>
      </c>
      <c r="T449" s="6" t="s">
        <v>248</v>
      </c>
      <c r="U449" s="6" t="s">
        <v>146</v>
      </c>
      <c r="V449" s="6" t="s">
        <v>1669</v>
      </c>
      <c r="W449" s="6" t="s">
        <v>92</v>
      </c>
      <c r="X449" s="6" t="s">
        <v>92</v>
      </c>
      <c r="Y449" s="6" t="s">
        <v>92</v>
      </c>
      <c r="Z449" s="6" t="s">
        <v>98</v>
      </c>
      <c r="AA449" s="6" t="s">
        <v>92</v>
      </c>
      <c r="AB449" s="6">
        <v>155</v>
      </c>
      <c r="AC449" s="6">
        <v>0</v>
      </c>
      <c r="AD449" s="6">
        <v>0</v>
      </c>
      <c r="AE449" s="6">
        <v>0</v>
      </c>
      <c r="AF449" s="6">
        <v>0</v>
      </c>
      <c r="AG449" s="6">
        <v>0</v>
      </c>
      <c r="AH449" s="6">
        <v>0</v>
      </c>
      <c r="AI449" s="6" t="s">
        <v>1675</v>
      </c>
      <c r="AJ449" s="6" t="s">
        <v>264</v>
      </c>
      <c r="AK449" s="6" t="s">
        <v>12</v>
      </c>
      <c r="AL449" s="6" t="s">
        <v>56</v>
      </c>
      <c r="AM449" s="6" t="s">
        <v>265</v>
      </c>
      <c r="AN449" s="6" t="s">
        <v>22</v>
      </c>
      <c r="AO449" s="6" t="s">
        <v>253</v>
      </c>
      <c r="AP449" s="6" t="s">
        <v>254</v>
      </c>
      <c r="AQ449" s="6" t="s">
        <v>20</v>
      </c>
    </row>
    <row r="450" spans="1:43" hidden="1" x14ac:dyDescent="0.25">
      <c r="A450" s="6">
        <v>22678475</v>
      </c>
      <c r="B450" s="6">
        <v>23483048</v>
      </c>
      <c r="C450" s="6" t="s">
        <v>241</v>
      </c>
      <c r="D450" s="14">
        <v>45873.518495370372</v>
      </c>
      <c r="E450" s="14">
        <v>45873.540960648148</v>
      </c>
      <c r="F450" s="6" t="s">
        <v>21</v>
      </c>
      <c r="G450" s="6" t="s">
        <v>21</v>
      </c>
      <c r="H450" s="6" t="s">
        <v>1676</v>
      </c>
      <c r="I450" s="6" t="s">
        <v>259</v>
      </c>
      <c r="J450" s="6" t="s">
        <v>1673</v>
      </c>
      <c r="K450" s="6" t="s">
        <v>1674</v>
      </c>
      <c r="L450" s="6" t="s">
        <v>1674</v>
      </c>
      <c r="M450" s="14">
        <v>45873.463194444441</v>
      </c>
      <c r="N450" s="6">
        <v>1136</v>
      </c>
      <c r="O450" s="6" t="s">
        <v>92</v>
      </c>
      <c r="P450" s="6" t="s">
        <v>245</v>
      </c>
      <c r="Q450" s="6" t="s">
        <v>428</v>
      </c>
      <c r="R450" s="6" t="s">
        <v>428</v>
      </c>
      <c r="S450" s="6" t="s">
        <v>9</v>
      </c>
      <c r="T450" s="6" t="s">
        <v>248</v>
      </c>
      <c r="U450" s="6" t="s">
        <v>146</v>
      </c>
      <c r="V450" s="6" t="s">
        <v>1669</v>
      </c>
      <c r="W450" s="6" t="s">
        <v>92</v>
      </c>
      <c r="X450" s="6" t="s">
        <v>92</v>
      </c>
      <c r="Y450" s="6" t="s">
        <v>92</v>
      </c>
      <c r="Z450" s="6" t="s">
        <v>98</v>
      </c>
      <c r="AA450" s="6" t="s">
        <v>92</v>
      </c>
      <c r="AB450" s="6">
        <v>310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1677</v>
      </c>
      <c r="AJ450" s="6" t="s">
        <v>264</v>
      </c>
      <c r="AK450" s="6" t="s">
        <v>12</v>
      </c>
      <c r="AL450" s="6" t="s">
        <v>56</v>
      </c>
      <c r="AM450" s="6" t="s">
        <v>265</v>
      </c>
      <c r="AN450" s="6" t="s">
        <v>22</v>
      </c>
      <c r="AO450" s="6" t="s">
        <v>253</v>
      </c>
      <c r="AP450" s="6" t="s">
        <v>254</v>
      </c>
      <c r="AQ450" s="6" t="s">
        <v>20</v>
      </c>
    </row>
    <row r="451" spans="1:43" hidden="1" x14ac:dyDescent="0.25">
      <c r="A451" s="6">
        <v>22678480</v>
      </c>
      <c r="B451" s="6">
        <v>23483052</v>
      </c>
      <c r="C451" s="6" t="s">
        <v>241</v>
      </c>
      <c r="D451" s="14">
        <v>45873.51866898148</v>
      </c>
      <c r="E451" s="14">
        <v>45873.543599537043</v>
      </c>
      <c r="F451" s="6" t="s">
        <v>21</v>
      </c>
      <c r="G451" s="6" t="s">
        <v>21</v>
      </c>
      <c r="H451" s="6" t="s">
        <v>1678</v>
      </c>
      <c r="I451" s="6" t="s">
        <v>259</v>
      </c>
      <c r="J451" s="6" t="s">
        <v>1679</v>
      </c>
      <c r="K451" s="6" t="s">
        <v>665</v>
      </c>
      <c r="L451" s="6" t="s">
        <v>665</v>
      </c>
      <c r="M451" s="14">
        <v>45873.44027777778</v>
      </c>
      <c r="N451" s="6">
        <v>1133</v>
      </c>
      <c r="O451" s="6" t="s">
        <v>92</v>
      </c>
      <c r="P451" s="6" t="s">
        <v>453</v>
      </c>
      <c r="Q451" s="6" t="s">
        <v>428</v>
      </c>
      <c r="R451" s="6" t="s">
        <v>428</v>
      </c>
      <c r="S451" s="6" t="s">
        <v>9</v>
      </c>
      <c r="T451" s="6" t="s">
        <v>248</v>
      </c>
      <c r="U451" s="6" t="s">
        <v>146</v>
      </c>
      <c r="V451" s="6" t="s">
        <v>1680</v>
      </c>
      <c r="W451" s="6" t="s">
        <v>92</v>
      </c>
      <c r="X451" s="6" t="s">
        <v>92</v>
      </c>
      <c r="Y451" s="6" t="s">
        <v>92</v>
      </c>
      <c r="Z451" s="6" t="s">
        <v>98</v>
      </c>
      <c r="AA451" s="6" t="s">
        <v>92</v>
      </c>
      <c r="AB451" s="6">
        <v>2986.14</v>
      </c>
      <c r="AC451" s="6">
        <v>0</v>
      </c>
      <c r="AD451" s="6">
        <v>0</v>
      </c>
      <c r="AE451" s="6">
        <v>0</v>
      </c>
      <c r="AF451" s="6">
        <v>0</v>
      </c>
      <c r="AG451" s="6">
        <v>29.86</v>
      </c>
      <c r="AH451" s="6">
        <v>0</v>
      </c>
      <c r="AI451" s="6" t="s">
        <v>1681</v>
      </c>
      <c r="AJ451" s="6" t="s">
        <v>264</v>
      </c>
      <c r="AK451" s="6" t="s">
        <v>12</v>
      </c>
      <c r="AL451" s="6" t="s">
        <v>56</v>
      </c>
      <c r="AM451" s="6" t="s">
        <v>265</v>
      </c>
      <c r="AN451" s="6" t="s">
        <v>22</v>
      </c>
      <c r="AO451" s="6" t="s">
        <v>662</v>
      </c>
      <c r="AP451" s="6" t="s">
        <v>480</v>
      </c>
      <c r="AQ451" s="6" t="s">
        <v>39</v>
      </c>
    </row>
    <row r="452" spans="1:43" x14ac:dyDescent="0.25">
      <c r="A452" s="6">
        <v>22678488</v>
      </c>
      <c r="B452" s="6">
        <v>23483060</v>
      </c>
      <c r="C452" s="6" t="s">
        <v>241</v>
      </c>
      <c r="D452" s="14">
        <v>45873.519050925926</v>
      </c>
      <c r="E452" s="14">
        <v>45873.543749999997</v>
      </c>
      <c r="F452" s="6" t="s">
        <v>21</v>
      </c>
      <c r="G452" s="6" t="s">
        <v>21</v>
      </c>
      <c r="H452" s="6" t="s">
        <v>1682</v>
      </c>
      <c r="I452" s="6" t="s">
        <v>259</v>
      </c>
      <c r="J452" s="6" t="s">
        <v>1683</v>
      </c>
      <c r="K452" s="6" t="s">
        <v>665</v>
      </c>
      <c r="L452" s="6" t="s">
        <v>665</v>
      </c>
      <c r="M452" s="14">
        <v>45873.456944444442</v>
      </c>
      <c r="N452" s="6">
        <v>1108</v>
      </c>
      <c r="O452" s="6" t="s">
        <v>92</v>
      </c>
      <c r="P452" s="6" t="s">
        <v>453</v>
      </c>
      <c r="Q452" s="6" t="s">
        <v>428</v>
      </c>
      <c r="R452" s="6" t="s">
        <v>428</v>
      </c>
      <c r="S452" s="6" t="s">
        <v>9</v>
      </c>
      <c r="T452" s="6" t="s">
        <v>248</v>
      </c>
      <c r="U452" s="6" t="s">
        <v>146</v>
      </c>
      <c r="V452" s="6" t="s">
        <v>1680</v>
      </c>
      <c r="W452" s="6" t="s">
        <v>92</v>
      </c>
      <c r="X452" s="6" t="s">
        <v>92</v>
      </c>
      <c r="Y452" s="6" t="s">
        <v>92</v>
      </c>
      <c r="Z452" s="6" t="s">
        <v>98</v>
      </c>
      <c r="AA452" s="6" t="s">
        <v>92</v>
      </c>
      <c r="AB452" s="6">
        <v>6145.5504000000001</v>
      </c>
      <c r="AC452" s="6">
        <v>0</v>
      </c>
      <c r="AD452" s="6">
        <v>0</v>
      </c>
      <c r="AE452" s="6">
        <v>0</v>
      </c>
      <c r="AF452" s="6">
        <v>0</v>
      </c>
      <c r="AG452" s="6">
        <v>902.5</v>
      </c>
      <c r="AH452" s="6">
        <v>0</v>
      </c>
      <c r="AI452" s="6" t="s">
        <v>1684</v>
      </c>
      <c r="AJ452" s="6" t="s">
        <v>264</v>
      </c>
      <c r="AK452" s="6" t="s">
        <v>12</v>
      </c>
      <c r="AL452" s="6" t="s">
        <v>56</v>
      </c>
      <c r="AM452" s="6" t="s">
        <v>265</v>
      </c>
      <c r="AN452" s="6" t="s">
        <v>22</v>
      </c>
      <c r="AO452" s="6" t="s">
        <v>662</v>
      </c>
      <c r="AP452" s="6" t="s">
        <v>480</v>
      </c>
      <c r="AQ452" s="6" t="s">
        <v>39</v>
      </c>
    </row>
    <row r="453" spans="1:43" x14ac:dyDescent="0.25">
      <c r="A453" s="6">
        <v>22702799</v>
      </c>
      <c r="B453" s="6">
        <v>23504923</v>
      </c>
      <c r="C453" s="6" t="s">
        <v>241</v>
      </c>
      <c r="D453" s="14">
        <v>45876.759351851862</v>
      </c>
      <c r="E453" s="14">
        <v>45876.774884259263</v>
      </c>
      <c r="F453" s="6" t="s">
        <v>19</v>
      </c>
      <c r="G453" s="6" t="s">
        <v>19</v>
      </c>
      <c r="H453" s="6" t="s">
        <v>1685</v>
      </c>
      <c r="I453" s="6" t="s">
        <v>259</v>
      </c>
      <c r="J453" s="6" t="s">
        <v>1686</v>
      </c>
      <c r="K453" s="6" t="s">
        <v>665</v>
      </c>
      <c r="L453" s="6" t="s">
        <v>665</v>
      </c>
      <c r="M453" s="14">
        <v>45876.743055555547</v>
      </c>
      <c r="N453" s="6">
        <v>2724</v>
      </c>
      <c r="O453" s="6" t="s">
        <v>1687</v>
      </c>
      <c r="P453" s="6" t="s">
        <v>453</v>
      </c>
      <c r="Q453" s="6" t="s">
        <v>246</v>
      </c>
      <c r="R453" s="6" t="s">
        <v>247</v>
      </c>
      <c r="S453" s="6" t="s">
        <v>8</v>
      </c>
      <c r="T453" s="6" t="s">
        <v>248</v>
      </c>
      <c r="U453" s="6" t="s">
        <v>128</v>
      </c>
      <c r="V453" s="6" t="s">
        <v>1688</v>
      </c>
      <c r="W453" s="6" t="s">
        <v>92</v>
      </c>
      <c r="X453" s="6" t="s">
        <v>92</v>
      </c>
      <c r="Y453" s="6" t="s">
        <v>92</v>
      </c>
      <c r="Z453" s="6" t="s">
        <v>79</v>
      </c>
      <c r="AA453" s="6" t="s">
        <v>92</v>
      </c>
      <c r="AB453" s="6">
        <v>1136.6207999999999</v>
      </c>
      <c r="AC453" s="6">
        <v>0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1689</v>
      </c>
      <c r="AJ453" s="6" t="s">
        <v>264</v>
      </c>
      <c r="AK453" s="6" t="s">
        <v>12</v>
      </c>
      <c r="AL453" s="6" t="s">
        <v>56</v>
      </c>
      <c r="AM453" s="6" t="s">
        <v>265</v>
      </c>
      <c r="AN453" s="6" t="s">
        <v>22</v>
      </c>
      <c r="AO453" s="6" t="s">
        <v>253</v>
      </c>
      <c r="AP453" s="6" t="s">
        <v>254</v>
      </c>
      <c r="AQ453" s="6" t="s">
        <v>20</v>
      </c>
    </row>
    <row r="454" spans="1:43" hidden="1" x14ac:dyDescent="0.25">
      <c r="A454" s="6">
        <v>22702811</v>
      </c>
      <c r="B454" s="6">
        <v>23504934</v>
      </c>
      <c r="C454" s="6" t="s">
        <v>241</v>
      </c>
      <c r="D454" s="14">
        <v>45876.759664351863</v>
      </c>
      <c r="E454" s="14">
        <v>45876.775127314817</v>
      </c>
      <c r="F454" s="6" t="s">
        <v>19</v>
      </c>
      <c r="G454" s="6" t="s">
        <v>19</v>
      </c>
      <c r="H454" s="6" t="s">
        <v>1690</v>
      </c>
      <c r="I454" s="6" t="s">
        <v>259</v>
      </c>
      <c r="J454" s="6" t="s">
        <v>1691</v>
      </c>
      <c r="K454" s="6" t="s">
        <v>665</v>
      </c>
      <c r="L454" s="6" t="s">
        <v>665</v>
      </c>
      <c r="M454" s="14">
        <v>45876.744444444441</v>
      </c>
      <c r="N454" s="6">
        <v>2706</v>
      </c>
      <c r="O454" s="6" t="s">
        <v>1692</v>
      </c>
      <c r="P454" s="6" t="s">
        <v>453</v>
      </c>
      <c r="Q454" s="6" t="s">
        <v>246</v>
      </c>
      <c r="R454" s="6" t="s">
        <v>247</v>
      </c>
      <c r="S454" s="6" t="s">
        <v>8</v>
      </c>
      <c r="T454" s="6" t="s">
        <v>248</v>
      </c>
      <c r="U454" s="6" t="s">
        <v>128</v>
      </c>
      <c r="V454" s="6" t="s">
        <v>1688</v>
      </c>
      <c r="W454" s="6" t="s">
        <v>92</v>
      </c>
      <c r="X454" s="6" t="s">
        <v>92</v>
      </c>
      <c r="Y454" s="6" t="s">
        <v>92</v>
      </c>
      <c r="Z454" s="6" t="s">
        <v>79</v>
      </c>
      <c r="AA454" s="6" t="s">
        <v>92</v>
      </c>
      <c r="AB454" s="6">
        <v>405.78719999999998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1693</v>
      </c>
      <c r="AJ454" s="6" t="s">
        <v>264</v>
      </c>
      <c r="AK454" s="6" t="s">
        <v>12</v>
      </c>
      <c r="AL454" s="6" t="s">
        <v>56</v>
      </c>
      <c r="AM454" s="6" t="s">
        <v>265</v>
      </c>
      <c r="AN454" s="6" t="s">
        <v>22</v>
      </c>
      <c r="AO454" s="6" t="s">
        <v>253</v>
      </c>
      <c r="AP454" s="6" t="s">
        <v>254</v>
      </c>
      <c r="AQ454" s="6" t="s">
        <v>20</v>
      </c>
    </row>
    <row r="455" spans="1:43" x14ac:dyDescent="0.25">
      <c r="A455" s="6">
        <v>22702819</v>
      </c>
      <c r="B455" s="6">
        <v>23504941</v>
      </c>
      <c r="C455" s="6" t="s">
        <v>241</v>
      </c>
      <c r="D455" s="14">
        <v>45876.759826388887</v>
      </c>
      <c r="E455" s="14">
        <v>45876.775370370371</v>
      </c>
      <c r="F455" s="6" t="s">
        <v>19</v>
      </c>
      <c r="G455" s="6" t="s">
        <v>19</v>
      </c>
      <c r="H455" s="6" t="s">
        <v>1694</v>
      </c>
      <c r="I455" s="6" t="s">
        <v>259</v>
      </c>
      <c r="J455" s="6" t="s">
        <v>1695</v>
      </c>
      <c r="K455" s="6" t="s">
        <v>665</v>
      </c>
      <c r="L455" s="6" t="s">
        <v>665</v>
      </c>
      <c r="M455" s="14">
        <v>45876.744444444441</v>
      </c>
      <c r="N455" s="6">
        <v>2701</v>
      </c>
      <c r="O455" s="6" t="s">
        <v>1533</v>
      </c>
      <c r="P455" s="6" t="s">
        <v>453</v>
      </c>
      <c r="Q455" s="6" t="s">
        <v>246</v>
      </c>
      <c r="R455" s="6" t="s">
        <v>247</v>
      </c>
      <c r="S455" s="6" t="s">
        <v>8</v>
      </c>
      <c r="T455" s="6" t="s">
        <v>248</v>
      </c>
      <c r="U455" s="6" t="s">
        <v>128</v>
      </c>
      <c r="V455" s="6" t="s">
        <v>1688</v>
      </c>
      <c r="W455" s="6" t="s">
        <v>92</v>
      </c>
      <c r="X455" s="6" t="s">
        <v>92</v>
      </c>
      <c r="Y455" s="6" t="s">
        <v>92</v>
      </c>
      <c r="Z455" s="6" t="s">
        <v>79</v>
      </c>
      <c r="AA455" s="6" t="s">
        <v>92</v>
      </c>
      <c r="AB455" s="6">
        <v>334.18560000000002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1696</v>
      </c>
      <c r="AJ455" s="6" t="s">
        <v>264</v>
      </c>
      <c r="AK455" s="6" t="s">
        <v>12</v>
      </c>
      <c r="AL455" s="6" t="s">
        <v>56</v>
      </c>
      <c r="AM455" s="6" t="s">
        <v>265</v>
      </c>
      <c r="AN455" s="6" t="s">
        <v>22</v>
      </c>
      <c r="AO455" s="6" t="s">
        <v>253</v>
      </c>
      <c r="AP455" s="6" t="s">
        <v>254</v>
      </c>
      <c r="AQ455" s="6" t="s">
        <v>20</v>
      </c>
    </row>
    <row r="456" spans="1:43" hidden="1" x14ac:dyDescent="0.25">
      <c r="A456" s="6">
        <v>22702841</v>
      </c>
      <c r="B456" s="6">
        <v>23504957</v>
      </c>
      <c r="C456" s="6" t="s">
        <v>241</v>
      </c>
      <c r="D456" s="14">
        <v>45876.76017361111</v>
      </c>
      <c r="E456" s="14">
        <v>45876.775590277779</v>
      </c>
      <c r="F456" s="6" t="s">
        <v>19</v>
      </c>
      <c r="G456" s="6" t="s">
        <v>19</v>
      </c>
      <c r="H456" s="6" t="s">
        <v>1697</v>
      </c>
      <c r="I456" s="6" t="s">
        <v>259</v>
      </c>
      <c r="J456" s="6" t="s">
        <v>1698</v>
      </c>
      <c r="K456" s="6" t="s">
        <v>665</v>
      </c>
      <c r="L456" s="6" t="s">
        <v>665</v>
      </c>
      <c r="M456" s="14">
        <v>45876.743750000001</v>
      </c>
      <c r="N456" s="6">
        <v>2680</v>
      </c>
      <c r="O456" s="6" t="s">
        <v>1699</v>
      </c>
      <c r="P456" s="6" t="s">
        <v>453</v>
      </c>
      <c r="Q456" s="6" t="s">
        <v>246</v>
      </c>
      <c r="R456" s="6" t="s">
        <v>247</v>
      </c>
      <c r="S456" s="6" t="s">
        <v>8</v>
      </c>
      <c r="T456" s="6" t="s">
        <v>248</v>
      </c>
      <c r="U456" s="6" t="s">
        <v>128</v>
      </c>
      <c r="V456" s="6" t="s">
        <v>1688</v>
      </c>
      <c r="W456" s="6" t="s">
        <v>92</v>
      </c>
      <c r="X456" s="6" t="s">
        <v>92</v>
      </c>
      <c r="Y456" s="6" t="s">
        <v>92</v>
      </c>
      <c r="Z456" s="6" t="s">
        <v>79</v>
      </c>
      <c r="AA456" s="6" t="s">
        <v>92</v>
      </c>
      <c r="AB456" s="6">
        <v>494.72640000000001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1700</v>
      </c>
      <c r="AJ456" s="6" t="s">
        <v>264</v>
      </c>
      <c r="AK456" s="6" t="s">
        <v>12</v>
      </c>
      <c r="AL456" s="6" t="s">
        <v>56</v>
      </c>
      <c r="AM456" s="6" t="s">
        <v>265</v>
      </c>
      <c r="AN456" s="6" t="s">
        <v>22</v>
      </c>
      <c r="AO456" s="6" t="s">
        <v>253</v>
      </c>
      <c r="AP456" s="6" t="s">
        <v>254</v>
      </c>
      <c r="AQ456" s="6" t="s">
        <v>20</v>
      </c>
    </row>
    <row r="457" spans="1:43" x14ac:dyDescent="0.25">
      <c r="A457" s="6">
        <v>22702843</v>
      </c>
      <c r="B457" s="6">
        <v>23504959</v>
      </c>
      <c r="C457" s="6" t="s">
        <v>241</v>
      </c>
      <c r="D457" s="14">
        <v>45876.760208333333</v>
      </c>
      <c r="E457" s="14">
        <v>45876.775601851848</v>
      </c>
      <c r="F457" s="6" t="s">
        <v>19</v>
      </c>
      <c r="G457" s="6" t="s">
        <v>19</v>
      </c>
      <c r="H457" s="6" t="s">
        <v>1701</v>
      </c>
      <c r="I457" s="6" t="s">
        <v>259</v>
      </c>
      <c r="J457" s="6" t="s">
        <v>1702</v>
      </c>
      <c r="K457" s="6" t="s">
        <v>665</v>
      </c>
      <c r="L457" s="6" t="s">
        <v>665</v>
      </c>
      <c r="M457" s="14">
        <v>45876.742361111108</v>
      </c>
      <c r="N457" s="6">
        <v>2677</v>
      </c>
      <c r="O457" s="6" t="s">
        <v>1703</v>
      </c>
      <c r="P457" s="6" t="s">
        <v>453</v>
      </c>
      <c r="Q457" s="6" t="s">
        <v>246</v>
      </c>
      <c r="R457" s="6" t="s">
        <v>247</v>
      </c>
      <c r="S457" s="6" t="s">
        <v>8</v>
      </c>
      <c r="T457" s="6" t="s">
        <v>248</v>
      </c>
      <c r="U457" s="6" t="s">
        <v>128</v>
      </c>
      <c r="V457" s="6" t="s">
        <v>1688</v>
      </c>
      <c r="W457" s="6" t="s">
        <v>92</v>
      </c>
      <c r="X457" s="6" t="s">
        <v>92</v>
      </c>
      <c r="Y457" s="6" t="s">
        <v>92</v>
      </c>
      <c r="Z457" s="6" t="s">
        <v>79</v>
      </c>
      <c r="AA457" s="6" t="s">
        <v>92</v>
      </c>
      <c r="AB457" s="6">
        <v>536.83839999999998</v>
      </c>
      <c r="AC457" s="6">
        <v>0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1704</v>
      </c>
      <c r="AJ457" s="6" t="s">
        <v>264</v>
      </c>
      <c r="AK457" s="6" t="s">
        <v>12</v>
      </c>
      <c r="AL457" s="6" t="s">
        <v>56</v>
      </c>
      <c r="AM457" s="6" t="s">
        <v>265</v>
      </c>
      <c r="AN457" s="6" t="s">
        <v>22</v>
      </c>
      <c r="AO457" s="6" t="s">
        <v>253</v>
      </c>
      <c r="AP457" s="6" t="s">
        <v>254</v>
      </c>
      <c r="AQ457" s="6" t="s">
        <v>20</v>
      </c>
    </row>
    <row r="458" spans="1:43" x14ac:dyDescent="0.25">
      <c r="A458" s="6">
        <v>22702859</v>
      </c>
      <c r="B458" s="6">
        <v>23504975</v>
      </c>
      <c r="C458" s="6" t="s">
        <v>241</v>
      </c>
      <c r="D458" s="14">
        <v>45876.760462962957</v>
      </c>
      <c r="E458" s="14">
        <v>45876.775752314818</v>
      </c>
      <c r="F458" s="6" t="s">
        <v>19</v>
      </c>
      <c r="G458" s="6" t="s">
        <v>19</v>
      </c>
      <c r="H458" s="6" t="s">
        <v>1705</v>
      </c>
      <c r="I458" s="6" t="s">
        <v>259</v>
      </c>
      <c r="J458" s="6" t="s">
        <v>1706</v>
      </c>
      <c r="K458" s="6" t="s">
        <v>665</v>
      </c>
      <c r="L458" s="6" t="s">
        <v>665</v>
      </c>
      <c r="M458" s="14">
        <v>45876.636805555558</v>
      </c>
      <c r="N458" s="6">
        <v>2669</v>
      </c>
      <c r="O458" s="6" t="s">
        <v>1547</v>
      </c>
      <c r="P458" s="6" t="s">
        <v>453</v>
      </c>
      <c r="Q458" s="6" t="s">
        <v>246</v>
      </c>
      <c r="R458" s="6" t="s">
        <v>247</v>
      </c>
      <c r="S458" s="6" t="s">
        <v>8</v>
      </c>
      <c r="T458" s="6" t="s">
        <v>248</v>
      </c>
      <c r="U458" s="6" t="s">
        <v>128</v>
      </c>
      <c r="V458" s="6" t="s">
        <v>1688</v>
      </c>
      <c r="W458" s="6" t="s">
        <v>92</v>
      </c>
      <c r="X458" s="6" t="s">
        <v>92</v>
      </c>
      <c r="Y458" s="6" t="s">
        <v>92</v>
      </c>
      <c r="Z458" s="6" t="s">
        <v>79</v>
      </c>
      <c r="AA458" s="6" t="s">
        <v>92</v>
      </c>
      <c r="AB458" s="6">
        <v>511.21280000000002</v>
      </c>
      <c r="AC458" s="6">
        <v>0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1707</v>
      </c>
      <c r="AJ458" s="6" t="s">
        <v>264</v>
      </c>
      <c r="AK458" s="6" t="s">
        <v>12</v>
      </c>
      <c r="AL458" s="6" t="s">
        <v>56</v>
      </c>
      <c r="AM458" s="6" t="s">
        <v>265</v>
      </c>
      <c r="AN458" s="6" t="s">
        <v>22</v>
      </c>
      <c r="AO458" s="6" t="s">
        <v>253</v>
      </c>
      <c r="AP458" s="6" t="s">
        <v>254</v>
      </c>
      <c r="AQ458" s="6" t="s">
        <v>20</v>
      </c>
    </row>
    <row r="459" spans="1:43" x14ac:dyDescent="0.25">
      <c r="A459" s="6">
        <v>22702870</v>
      </c>
      <c r="B459" s="6">
        <v>23504986</v>
      </c>
      <c r="C459" s="6" t="s">
        <v>241</v>
      </c>
      <c r="D459" s="14">
        <v>45876.760601851849</v>
      </c>
      <c r="E459" s="14">
        <v>45876.77820601852</v>
      </c>
      <c r="F459" s="6" t="s">
        <v>19</v>
      </c>
      <c r="G459" s="6" t="s">
        <v>19</v>
      </c>
      <c r="H459" s="6" t="s">
        <v>1708</v>
      </c>
      <c r="I459" s="6" t="s">
        <v>259</v>
      </c>
      <c r="J459" s="6" t="s">
        <v>1709</v>
      </c>
      <c r="K459" s="6" t="s">
        <v>665</v>
      </c>
      <c r="L459" s="6" t="s">
        <v>665</v>
      </c>
      <c r="M459" s="14">
        <v>45876.742361111108</v>
      </c>
      <c r="N459" s="6">
        <v>2660</v>
      </c>
      <c r="O459" s="6" t="s">
        <v>1710</v>
      </c>
      <c r="P459" s="6" t="s">
        <v>453</v>
      </c>
      <c r="Q459" s="6" t="s">
        <v>246</v>
      </c>
      <c r="R459" s="6" t="s">
        <v>247</v>
      </c>
      <c r="S459" s="6" t="s">
        <v>8</v>
      </c>
      <c r="T459" s="6" t="s">
        <v>248</v>
      </c>
      <c r="U459" s="6" t="s">
        <v>128</v>
      </c>
      <c r="V459" s="6" t="s">
        <v>1688</v>
      </c>
      <c r="W459" s="6" t="s">
        <v>92</v>
      </c>
      <c r="X459" s="6" t="s">
        <v>92</v>
      </c>
      <c r="Y459" s="6" t="s">
        <v>92</v>
      </c>
      <c r="Z459" s="6" t="s">
        <v>79</v>
      </c>
      <c r="AA459" s="6" t="s">
        <v>92</v>
      </c>
      <c r="AB459" s="6">
        <v>289.47519999999997</v>
      </c>
      <c r="AC459" s="6">
        <v>0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1711</v>
      </c>
      <c r="AJ459" s="6" t="s">
        <v>264</v>
      </c>
      <c r="AK459" s="6" t="s">
        <v>12</v>
      </c>
      <c r="AL459" s="6" t="s">
        <v>56</v>
      </c>
      <c r="AM459" s="6" t="s">
        <v>265</v>
      </c>
      <c r="AN459" s="6" t="s">
        <v>22</v>
      </c>
      <c r="AO459" s="6" t="s">
        <v>253</v>
      </c>
      <c r="AP459" s="6" t="s">
        <v>254</v>
      </c>
      <c r="AQ459" s="6" t="s">
        <v>20</v>
      </c>
    </row>
    <row r="460" spans="1:43" hidden="1" x14ac:dyDescent="0.25">
      <c r="A460" s="6">
        <v>22702871</v>
      </c>
      <c r="B460" s="6">
        <v>23504987</v>
      </c>
      <c r="C460" s="6" t="s">
        <v>241</v>
      </c>
      <c r="D460" s="14">
        <v>45876.760636574072</v>
      </c>
      <c r="E460" s="14">
        <v>45876.778217592589</v>
      </c>
      <c r="F460" s="6" t="s">
        <v>19</v>
      </c>
      <c r="G460" s="6" t="s">
        <v>19</v>
      </c>
      <c r="H460" s="6" t="s">
        <v>1712</v>
      </c>
      <c r="I460" s="6" t="s">
        <v>259</v>
      </c>
      <c r="J460" s="6" t="s">
        <v>1713</v>
      </c>
      <c r="K460" s="6" t="s">
        <v>665</v>
      </c>
      <c r="L460" s="6" t="s">
        <v>665</v>
      </c>
      <c r="M460" s="14">
        <v>45876.741666666669</v>
      </c>
      <c r="N460" s="6">
        <v>2650</v>
      </c>
      <c r="O460" s="6" t="s">
        <v>1714</v>
      </c>
      <c r="P460" s="6" t="s">
        <v>453</v>
      </c>
      <c r="Q460" s="6" t="s">
        <v>246</v>
      </c>
      <c r="R460" s="6" t="s">
        <v>247</v>
      </c>
      <c r="S460" s="6" t="s">
        <v>8</v>
      </c>
      <c r="T460" s="6" t="s">
        <v>248</v>
      </c>
      <c r="U460" s="6" t="s">
        <v>128</v>
      </c>
      <c r="V460" s="6" t="s">
        <v>1688</v>
      </c>
      <c r="W460" s="6" t="s">
        <v>92</v>
      </c>
      <c r="X460" s="6" t="s">
        <v>92</v>
      </c>
      <c r="Y460" s="6" t="s">
        <v>92</v>
      </c>
      <c r="Z460" s="6" t="s">
        <v>79</v>
      </c>
      <c r="AA460" s="6" t="s">
        <v>92</v>
      </c>
      <c r="AB460" s="6">
        <v>199.9872</v>
      </c>
      <c r="AC460" s="6">
        <v>0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1715</v>
      </c>
      <c r="AJ460" s="6" t="s">
        <v>264</v>
      </c>
      <c r="AK460" s="6" t="s">
        <v>12</v>
      </c>
      <c r="AL460" s="6" t="s">
        <v>56</v>
      </c>
      <c r="AM460" s="6" t="s">
        <v>265</v>
      </c>
      <c r="AN460" s="6" t="s">
        <v>22</v>
      </c>
      <c r="AO460" s="6" t="s">
        <v>253</v>
      </c>
      <c r="AP460" s="6" t="s">
        <v>254</v>
      </c>
      <c r="AQ460" s="6" t="s">
        <v>20</v>
      </c>
    </row>
    <row r="461" spans="1:43" x14ac:dyDescent="0.25">
      <c r="A461" s="6">
        <v>22702833</v>
      </c>
      <c r="B461" s="6">
        <v>23504952</v>
      </c>
      <c r="C461" s="6" t="s">
        <v>241</v>
      </c>
      <c r="D461" s="14">
        <v>45876.760057870371</v>
      </c>
      <c r="E461" s="14">
        <v>45876.775555555563</v>
      </c>
      <c r="F461" s="6" t="s">
        <v>19</v>
      </c>
      <c r="G461" s="6" t="s">
        <v>19</v>
      </c>
      <c r="H461" s="6" t="s">
        <v>1716</v>
      </c>
      <c r="I461" s="6" t="s">
        <v>259</v>
      </c>
      <c r="J461" s="6" t="s">
        <v>1717</v>
      </c>
      <c r="K461" s="6" t="s">
        <v>1718</v>
      </c>
      <c r="L461" s="6" t="s">
        <v>1718</v>
      </c>
      <c r="M461" s="14">
        <v>45876.743750000001</v>
      </c>
      <c r="N461" s="6">
        <v>2691</v>
      </c>
      <c r="O461" s="6" t="s">
        <v>1719</v>
      </c>
      <c r="P461" s="6" t="s">
        <v>453</v>
      </c>
      <c r="Q461" s="6" t="s">
        <v>246</v>
      </c>
      <c r="R461" s="6" t="s">
        <v>247</v>
      </c>
      <c r="S461" s="6" t="s">
        <v>8</v>
      </c>
      <c r="T461" s="6" t="s">
        <v>248</v>
      </c>
      <c r="U461" s="6" t="s">
        <v>128</v>
      </c>
      <c r="V461" s="6" t="s">
        <v>1688</v>
      </c>
      <c r="W461" s="6" t="s">
        <v>92</v>
      </c>
      <c r="X461" s="6" t="s">
        <v>92</v>
      </c>
      <c r="Y461" s="6" t="s">
        <v>92</v>
      </c>
      <c r="Z461" s="6" t="s">
        <v>79</v>
      </c>
      <c r="AA461" s="6" t="s">
        <v>92</v>
      </c>
      <c r="AB461" s="6">
        <v>402.62880000000001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1720</v>
      </c>
      <c r="AJ461" s="6" t="s">
        <v>264</v>
      </c>
      <c r="AK461" s="6" t="s">
        <v>12</v>
      </c>
      <c r="AL461" s="6" t="s">
        <v>56</v>
      </c>
      <c r="AM461" s="6" t="s">
        <v>265</v>
      </c>
      <c r="AN461" s="6" t="s">
        <v>22</v>
      </c>
      <c r="AO461" s="6" t="s">
        <v>253</v>
      </c>
      <c r="AP461" s="6" t="s">
        <v>254</v>
      </c>
      <c r="AQ461" s="6" t="s">
        <v>20</v>
      </c>
    </row>
    <row r="462" spans="1:43" hidden="1" x14ac:dyDescent="0.25">
      <c r="A462" s="6">
        <v>22702836</v>
      </c>
      <c r="B462" s="6">
        <v>23504954</v>
      </c>
      <c r="C462" s="6" t="s">
        <v>241</v>
      </c>
      <c r="D462" s="14">
        <v>45876.760092592587</v>
      </c>
      <c r="E462" s="14">
        <v>45876.775567129633</v>
      </c>
      <c r="F462" s="6" t="s">
        <v>19</v>
      </c>
      <c r="G462" s="6" t="s">
        <v>19</v>
      </c>
      <c r="H462" s="6" t="s">
        <v>1721</v>
      </c>
      <c r="I462" s="6" t="s">
        <v>259</v>
      </c>
      <c r="J462" s="6" t="s">
        <v>1717</v>
      </c>
      <c r="K462" s="6" t="s">
        <v>1718</v>
      </c>
      <c r="L462" s="6" t="s">
        <v>1718</v>
      </c>
      <c r="M462" s="14">
        <v>45876.743750000001</v>
      </c>
      <c r="N462" s="6">
        <v>2688</v>
      </c>
      <c r="O462" s="6" t="s">
        <v>1719</v>
      </c>
      <c r="P462" s="6" t="s">
        <v>453</v>
      </c>
      <c r="Q462" s="6" t="s">
        <v>246</v>
      </c>
      <c r="R462" s="6" t="s">
        <v>247</v>
      </c>
      <c r="S462" s="6" t="s">
        <v>8</v>
      </c>
      <c r="T462" s="6" t="s">
        <v>248</v>
      </c>
      <c r="U462" s="6" t="s">
        <v>128</v>
      </c>
      <c r="V462" s="6" t="s">
        <v>1688</v>
      </c>
      <c r="W462" s="6" t="s">
        <v>92</v>
      </c>
      <c r="X462" s="6" t="s">
        <v>92</v>
      </c>
      <c r="Y462" s="6" t="s">
        <v>92</v>
      </c>
      <c r="Z462" s="6" t="s">
        <v>79</v>
      </c>
      <c r="AA462" s="6" t="s">
        <v>92</v>
      </c>
      <c r="AB462" s="6">
        <v>536.83839999999998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1722</v>
      </c>
      <c r="AJ462" s="6" t="s">
        <v>264</v>
      </c>
      <c r="AK462" s="6" t="s">
        <v>12</v>
      </c>
      <c r="AL462" s="6" t="s">
        <v>56</v>
      </c>
      <c r="AM462" s="6" t="s">
        <v>265</v>
      </c>
      <c r="AN462" s="6" t="s">
        <v>22</v>
      </c>
      <c r="AO462" s="6" t="s">
        <v>253</v>
      </c>
      <c r="AP462" s="6" t="s">
        <v>254</v>
      </c>
      <c r="AQ462" s="6" t="s">
        <v>20</v>
      </c>
    </row>
    <row r="463" spans="1:43" hidden="1" x14ac:dyDescent="0.25">
      <c r="A463" s="6">
        <v>22702806</v>
      </c>
      <c r="B463" s="6">
        <v>23504930</v>
      </c>
      <c r="C463" s="6" t="s">
        <v>241</v>
      </c>
      <c r="D463" s="14">
        <v>45876.759571759263</v>
      </c>
      <c r="E463" s="14">
        <v>45876.77511574074</v>
      </c>
      <c r="F463" s="6" t="s">
        <v>19</v>
      </c>
      <c r="G463" s="6" t="s">
        <v>19</v>
      </c>
      <c r="H463" s="6" t="s">
        <v>1723</v>
      </c>
      <c r="I463" s="6" t="s">
        <v>259</v>
      </c>
      <c r="J463" s="6" t="s">
        <v>1724</v>
      </c>
      <c r="K463" s="6" t="s">
        <v>1718</v>
      </c>
      <c r="L463" s="6" t="s">
        <v>1718</v>
      </c>
      <c r="M463" s="14">
        <v>45876.742361111108</v>
      </c>
      <c r="N463" s="6">
        <v>2710</v>
      </c>
      <c r="O463" s="6" t="s">
        <v>1725</v>
      </c>
      <c r="P463" s="6" t="s">
        <v>453</v>
      </c>
      <c r="Q463" s="6" t="s">
        <v>246</v>
      </c>
      <c r="R463" s="6" t="s">
        <v>247</v>
      </c>
      <c r="S463" s="6" t="s">
        <v>8</v>
      </c>
      <c r="T463" s="6" t="s">
        <v>248</v>
      </c>
      <c r="U463" s="6" t="s">
        <v>128</v>
      </c>
      <c r="V463" s="6" t="s">
        <v>1688</v>
      </c>
      <c r="W463" s="6" t="s">
        <v>92</v>
      </c>
      <c r="X463" s="6" t="s">
        <v>92</v>
      </c>
      <c r="Y463" s="6" t="s">
        <v>92</v>
      </c>
      <c r="Z463" s="6" t="s">
        <v>79</v>
      </c>
      <c r="AA463" s="6" t="s">
        <v>92</v>
      </c>
      <c r="AB463" s="6">
        <v>468.45119999999997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1726</v>
      </c>
      <c r="AJ463" s="6" t="s">
        <v>264</v>
      </c>
      <c r="AK463" s="6" t="s">
        <v>12</v>
      </c>
      <c r="AL463" s="6" t="s">
        <v>56</v>
      </c>
      <c r="AM463" s="6" t="s">
        <v>265</v>
      </c>
      <c r="AN463" s="6" t="s">
        <v>22</v>
      </c>
      <c r="AO463" s="6" t="s">
        <v>253</v>
      </c>
      <c r="AP463" s="6" t="s">
        <v>254</v>
      </c>
      <c r="AQ463" s="6" t="s">
        <v>20</v>
      </c>
    </row>
    <row r="464" spans="1:43" hidden="1" x14ac:dyDescent="0.25">
      <c r="A464" s="6">
        <v>22692949</v>
      </c>
      <c r="B464" s="6">
        <v>23495893</v>
      </c>
      <c r="C464" s="6" t="s">
        <v>241</v>
      </c>
      <c r="D464" s="14">
        <v>45875.507349537038</v>
      </c>
      <c r="E464" s="14">
        <v>45875.52202546296</v>
      </c>
      <c r="F464" s="6" t="s">
        <v>19</v>
      </c>
      <c r="G464" s="6" t="s">
        <v>19</v>
      </c>
      <c r="H464" s="6" t="s">
        <v>1727</v>
      </c>
      <c r="I464" s="6" t="s">
        <v>259</v>
      </c>
      <c r="J464" s="6" t="s">
        <v>1728</v>
      </c>
      <c r="K464" s="6" t="s">
        <v>1718</v>
      </c>
      <c r="L464" s="6" t="s">
        <v>1718</v>
      </c>
      <c r="M464" s="14">
        <v>45875.370138888888</v>
      </c>
      <c r="N464" s="6">
        <v>2186</v>
      </c>
      <c r="O464" s="6" t="s">
        <v>92</v>
      </c>
      <c r="P464" s="6" t="s">
        <v>245</v>
      </c>
      <c r="Q464" s="6" t="s">
        <v>246</v>
      </c>
      <c r="R464" s="6" t="s">
        <v>247</v>
      </c>
      <c r="S464" s="6" t="s">
        <v>3</v>
      </c>
      <c r="T464" s="6" t="s">
        <v>248</v>
      </c>
      <c r="U464" s="6" t="s">
        <v>128</v>
      </c>
      <c r="V464" s="6" t="s">
        <v>1688</v>
      </c>
      <c r="W464" s="6" t="s">
        <v>92</v>
      </c>
      <c r="X464" s="6" t="s">
        <v>92</v>
      </c>
      <c r="Y464" s="6" t="s">
        <v>92</v>
      </c>
      <c r="Z464" s="6" t="s">
        <v>79</v>
      </c>
      <c r="AA464" s="6" t="s">
        <v>92</v>
      </c>
      <c r="AB464" s="6">
        <v>345.87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1729</v>
      </c>
      <c r="AJ464" s="6" t="s">
        <v>264</v>
      </c>
      <c r="AK464" s="6" t="s">
        <v>12</v>
      </c>
      <c r="AL464" s="6" t="s">
        <v>56</v>
      </c>
      <c r="AM464" s="6" t="s">
        <v>265</v>
      </c>
      <c r="AN464" s="6" t="s">
        <v>22</v>
      </c>
      <c r="AO464" s="6" t="s">
        <v>253</v>
      </c>
      <c r="AP464" s="6" t="s">
        <v>254</v>
      </c>
      <c r="AQ464" s="6" t="s">
        <v>20</v>
      </c>
    </row>
    <row r="465" spans="1:43" hidden="1" x14ac:dyDescent="0.25">
      <c r="A465" s="6">
        <v>22692950</v>
      </c>
      <c r="B465" s="6">
        <v>23495894</v>
      </c>
      <c r="C465" s="6" t="s">
        <v>241</v>
      </c>
      <c r="D465" s="14">
        <v>45875.507349537038</v>
      </c>
      <c r="E465" s="14">
        <v>45875.522037037037</v>
      </c>
      <c r="F465" s="6" t="s">
        <v>19</v>
      </c>
      <c r="G465" s="6" t="s">
        <v>19</v>
      </c>
      <c r="H465" s="6" t="s">
        <v>1730</v>
      </c>
      <c r="I465" s="6" t="s">
        <v>259</v>
      </c>
      <c r="J465" s="6" t="s">
        <v>1728</v>
      </c>
      <c r="K465" s="6" t="s">
        <v>1718</v>
      </c>
      <c r="L465" s="6" t="s">
        <v>1718</v>
      </c>
      <c r="M465" s="14">
        <v>45875.370138888888</v>
      </c>
      <c r="N465" s="6">
        <v>2186</v>
      </c>
      <c r="O465" s="6" t="s">
        <v>92</v>
      </c>
      <c r="P465" s="6" t="s">
        <v>245</v>
      </c>
      <c r="Q465" s="6" t="s">
        <v>246</v>
      </c>
      <c r="R465" s="6" t="s">
        <v>247</v>
      </c>
      <c r="S465" s="6" t="s">
        <v>3</v>
      </c>
      <c r="T465" s="6" t="s">
        <v>248</v>
      </c>
      <c r="U465" s="6" t="s">
        <v>128</v>
      </c>
      <c r="V465" s="6" t="s">
        <v>1688</v>
      </c>
      <c r="W465" s="6" t="s">
        <v>92</v>
      </c>
      <c r="X465" s="6" t="s">
        <v>92</v>
      </c>
      <c r="Y465" s="6" t="s">
        <v>92</v>
      </c>
      <c r="Z465" s="6" t="s">
        <v>79</v>
      </c>
      <c r="AA465" s="6" t="s">
        <v>92</v>
      </c>
      <c r="AB465" s="6">
        <v>249.8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1729</v>
      </c>
      <c r="AJ465" s="6" t="s">
        <v>264</v>
      </c>
      <c r="AK465" s="6" t="s">
        <v>12</v>
      </c>
      <c r="AL465" s="6" t="s">
        <v>56</v>
      </c>
      <c r="AM465" s="6" t="s">
        <v>265</v>
      </c>
      <c r="AN465" s="6" t="s">
        <v>22</v>
      </c>
      <c r="AO465" s="6" t="s">
        <v>253</v>
      </c>
      <c r="AP465" s="6" t="s">
        <v>254</v>
      </c>
      <c r="AQ465" s="6" t="s">
        <v>20</v>
      </c>
    </row>
    <row r="466" spans="1:43" hidden="1" x14ac:dyDescent="0.25">
      <c r="A466" s="6">
        <v>22692951</v>
      </c>
      <c r="B466" s="6">
        <v>23495895</v>
      </c>
      <c r="C466" s="6" t="s">
        <v>241</v>
      </c>
      <c r="D466" s="14">
        <v>45875.507349537038</v>
      </c>
      <c r="E466" s="14">
        <v>45875.522048611107</v>
      </c>
      <c r="F466" s="6" t="s">
        <v>19</v>
      </c>
      <c r="G466" s="6" t="s">
        <v>19</v>
      </c>
      <c r="H466" s="6" t="s">
        <v>1731</v>
      </c>
      <c r="I466" s="6" t="s">
        <v>259</v>
      </c>
      <c r="J466" s="6" t="s">
        <v>1728</v>
      </c>
      <c r="K466" s="6" t="s">
        <v>1718</v>
      </c>
      <c r="L466" s="6" t="s">
        <v>1718</v>
      </c>
      <c r="M466" s="14">
        <v>45875.370138888888</v>
      </c>
      <c r="N466" s="6">
        <v>2186</v>
      </c>
      <c r="O466" s="6" t="s">
        <v>92</v>
      </c>
      <c r="P466" s="6" t="s">
        <v>245</v>
      </c>
      <c r="Q466" s="6" t="s">
        <v>246</v>
      </c>
      <c r="R466" s="6" t="s">
        <v>247</v>
      </c>
      <c r="S466" s="6" t="s">
        <v>3</v>
      </c>
      <c r="T466" s="6" t="s">
        <v>248</v>
      </c>
      <c r="U466" s="6" t="s">
        <v>128</v>
      </c>
      <c r="V466" s="6" t="s">
        <v>1688</v>
      </c>
      <c r="W466" s="6" t="s">
        <v>92</v>
      </c>
      <c r="X466" s="6" t="s">
        <v>92</v>
      </c>
      <c r="Y466" s="6" t="s">
        <v>92</v>
      </c>
      <c r="Z466" s="6" t="s">
        <v>79</v>
      </c>
      <c r="AA466" s="6" t="s">
        <v>92</v>
      </c>
      <c r="AB466" s="6">
        <v>345.87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1729</v>
      </c>
      <c r="AJ466" s="6" t="s">
        <v>264</v>
      </c>
      <c r="AK466" s="6" t="s">
        <v>12</v>
      </c>
      <c r="AL466" s="6" t="s">
        <v>56</v>
      </c>
      <c r="AM466" s="6" t="s">
        <v>265</v>
      </c>
      <c r="AN466" s="6" t="s">
        <v>22</v>
      </c>
      <c r="AO466" s="6" t="s">
        <v>253</v>
      </c>
      <c r="AP466" s="6" t="s">
        <v>254</v>
      </c>
      <c r="AQ466" s="6" t="s">
        <v>20</v>
      </c>
    </row>
    <row r="467" spans="1:43" hidden="1" x14ac:dyDescent="0.25">
      <c r="A467" s="6">
        <v>22692952</v>
      </c>
      <c r="B467" s="6">
        <v>23495896</v>
      </c>
      <c r="C467" s="6" t="s">
        <v>241</v>
      </c>
      <c r="D467" s="14">
        <v>45875.507395833331</v>
      </c>
      <c r="E467" s="14">
        <v>45875.522048611107</v>
      </c>
      <c r="F467" s="6" t="s">
        <v>19</v>
      </c>
      <c r="G467" s="6" t="s">
        <v>19</v>
      </c>
      <c r="H467" s="6" t="s">
        <v>1732</v>
      </c>
      <c r="I467" s="6" t="s">
        <v>259</v>
      </c>
      <c r="J467" s="6" t="s">
        <v>1733</v>
      </c>
      <c r="K467" s="6" t="s">
        <v>1718</v>
      </c>
      <c r="L467" s="6" t="s">
        <v>1718</v>
      </c>
      <c r="M467" s="14">
        <v>45875.368750000001</v>
      </c>
      <c r="N467" s="6">
        <v>2179</v>
      </c>
      <c r="O467" s="6" t="s">
        <v>92</v>
      </c>
      <c r="P467" s="6" t="s">
        <v>245</v>
      </c>
      <c r="Q467" s="6" t="s">
        <v>246</v>
      </c>
      <c r="R467" s="6" t="s">
        <v>247</v>
      </c>
      <c r="S467" s="6" t="s">
        <v>3</v>
      </c>
      <c r="T467" s="6" t="s">
        <v>248</v>
      </c>
      <c r="U467" s="6" t="s">
        <v>128</v>
      </c>
      <c r="V467" s="6" t="s">
        <v>1688</v>
      </c>
      <c r="W467" s="6" t="s">
        <v>92</v>
      </c>
      <c r="X467" s="6" t="s">
        <v>92</v>
      </c>
      <c r="Y467" s="6" t="s">
        <v>92</v>
      </c>
      <c r="Z467" s="6" t="s">
        <v>79</v>
      </c>
      <c r="AA467" s="6" t="s">
        <v>92</v>
      </c>
      <c r="AB467" s="6">
        <v>345.87</v>
      </c>
      <c r="AC467" s="6">
        <v>0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1734</v>
      </c>
      <c r="AJ467" s="6" t="s">
        <v>264</v>
      </c>
      <c r="AK467" s="6" t="s">
        <v>12</v>
      </c>
      <c r="AL467" s="6" t="s">
        <v>56</v>
      </c>
      <c r="AM467" s="6" t="s">
        <v>265</v>
      </c>
      <c r="AN467" s="6" t="s">
        <v>22</v>
      </c>
      <c r="AO467" s="6" t="s">
        <v>253</v>
      </c>
      <c r="AP467" s="6" t="s">
        <v>254</v>
      </c>
      <c r="AQ467" s="6" t="s">
        <v>20</v>
      </c>
    </row>
    <row r="468" spans="1:43" hidden="1" x14ac:dyDescent="0.25">
      <c r="A468" s="6">
        <v>22692953</v>
      </c>
      <c r="B468" s="6">
        <v>23495897</v>
      </c>
      <c r="C468" s="6" t="s">
        <v>241</v>
      </c>
      <c r="D468" s="14">
        <v>45875.507407407407</v>
      </c>
      <c r="E468" s="14">
        <v>45875.522060185183</v>
      </c>
      <c r="F468" s="6" t="s">
        <v>19</v>
      </c>
      <c r="G468" s="6" t="s">
        <v>19</v>
      </c>
      <c r="H468" s="6" t="s">
        <v>1735</v>
      </c>
      <c r="I468" s="6" t="s">
        <v>259</v>
      </c>
      <c r="J468" s="6" t="s">
        <v>1733</v>
      </c>
      <c r="K468" s="6" t="s">
        <v>1718</v>
      </c>
      <c r="L468" s="6" t="s">
        <v>1718</v>
      </c>
      <c r="M468" s="14">
        <v>45875.368750000001</v>
      </c>
      <c r="N468" s="6">
        <v>2179</v>
      </c>
      <c r="O468" s="6" t="s">
        <v>92</v>
      </c>
      <c r="P468" s="6" t="s">
        <v>245</v>
      </c>
      <c r="Q468" s="6" t="s">
        <v>246</v>
      </c>
      <c r="R468" s="6" t="s">
        <v>247</v>
      </c>
      <c r="S468" s="6" t="s">
        <v>3</v>
      </c>
      <c r="T468" s="6" t="s">
        <v>248</v>
      </c>
      <c r="U468" s="6" t="s">
        <v>128</v>
      </c>
      <c r="V468" s="6" t="s">
        <v>1688</v>
      </c>
      <c r="W468" s="6" t="s">
        <v>92</v>
      </c>
      <c r="X468" s="6" t="s">
        <v>92</v>
      </c>
      <c r="Y468" s="6" t="s">
        <v>92</v>
      </c>
      <c r="Z468" s="6" t="s">
        <v>79</v>
      </c>
      <c r="AA468" s="6" t="s">
        <v>92</v>
      </c>
      <c r="AB468" s="6">
        <v>249.8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1734</v>
      </c>
      <c r="AJ468" s="6" t="s">
        <v>264</v>
      </c>
      <c r="AK468" s="6" t="s">
        <v>12</v>
      </c>
      <c r="AL468" s="6" t="s">
        <v>56</v>
      </c>
      <c r="AM468" s="6" t="s">
        <v>265</v>
      </c>
      <c r="AN468" s="6" t="s">
        <v>22</v>
      </c>
      <c r="AO468" s="6" t="s">
        <v>253</v>
      </c>
      <c r="AP468" s="6" t="s">
        <v>254</v>
      </c>
      <c r="AQ468" s="6" t="s">
        <v>20</v>
      </c>
    </row>
    <row r="469" spans="1:43" hidden="1" x14ac:dyDescent="0.25">
      <c r="A469" s="6">
        <v>22685436</v>
      </c>
      <c r="B469" s="6">
        <v>23489251</v>
      </c>
      <c r="C469" s="6" t="s">
        <v>241</v>
      </c>
      <c r="D469" s="14">
        <v>45874.503634259258</v>
      </c>
      <c r="E469" s="14">
        <v>45874.515092592592</v>
      </c>
      <c r="F469" s="6" t="s">
        <v>21</v>
      </c>
      <c r="G469" s="6" t="s">
        <v>21</v>
      </c>
      <c r="H469" s="6" t="s">
        <v>1736</v>
      </c>
      <c r="I469" s="6" t="s">
        <v>259</v>
      </c>
      <c r="J469" s="6" t="s">
        <v>1737</v>
      </c>
      <c r="K469" s="6" t="s">
        <v>665</v>
      </c>
      <c r="L469" s="6" t="s">
        <v>665</v>
      </c>
      <c r="M469" s="14">
        <v>45874.431250000001</v>
      </c>
      <c r="N469" s="6">
        <v>2554</v>
      </c>
      <c r="O469" s="6" t="s">
        <v>92</v>
      </c>
      <c r="P469" s="6" t="s">
        <v>453</v>
      </c>
      <c r="Q469" s="6" t="s">
        <v>428</v>
      </c>
      <c r="R469" s="6" t="s">
        <v>247</v>
      </c>
      <c r="S469" s="6" t="s">
        <v>9</v>
      </c>
      <c r="T469" s="6" t="s">
        <v>248</v>
      </c>
      <c r="U469" s="6" t="s">
        <v>128</v>
      </c>
      <c r="V469" s="6" t="s">
        <v>1688</v>
      </c>
      <c r="W469" s="6" t="s">
        <v>92</v>
      </c>
      <c r="X469" s="6" t="s">
        <v>92</v>
      </c>
      <c r="Y469" s="6" t="s">
        <v>92</v>
      </c>
      <c r="Z469" s="6" t="s">
        <v>79</v>
      </c>
      <c r="AA469" s="6" t="s">
        <v>92</v>
      </c>
      <c r="AB469" s="6">
        <v>1240</v>
      </c>
      <c r="AC469" s="6">
        <v>0</v>
      </c>
      <c r="AD469" s="6">
        <v>0</v>
      </c>
      <c r="AE469" s="6">
        <v>0</v>
      </c>
      <c r="AF469" s="6">
        <v>0</v>
      </c>
      <c r="AG469" s="6">
        <v>62</v>
      </c>
      <c r="AH469" s="6">
        <v>0</v>
      </c>
      <c r="AI469" s="6" t="s">
        <v>1738</v>
      </c>
      <c r="AJ469" s="6" t="s">
        <v>264</v>
      </c>
      <c r="AK469" s="6" t="s">
        <v>12</v>
      </c>
      <c r="AL469" s="6" t="s">
        <v>56</v>
      </c>
      <c r="AM469" s="6" t="s">
        <v>265</v>
      </c>
      <c r="AN469" s="6" t="s">
        <v>22</v>
      </c>
      <c r="AO469" s="6" t="s">
        <v>662</v>
      </c>
      <c r="AP469" s="6" t="s">
        <v>480</v>
      </c>
      <c r="AQ469" s="6" t="s">
        <v>39</v>
      </c>
    </row>
    <row r="470" spans="1:43" hidden="1" x14ac:dyDescent="0.25">
      <c r="A470" s="6">
        <v>22685449</v>
      </c>
      <c r="B470" s="6">
        <v>23489263</v>
      </c>
      <c r="C470" s="6" t="s">
        <v>241</v>
      </c>
      <c r="D470" s="14">
        <v>45874.503900462973</v>
      </c>
      <c r="E470" s="14">
        <v>45874.518587962957</v>
      </c>
      <c r="F470" s="6" t="s">
        <v>21</v>
      </c>
      <c r="G470" s="6" t="s">
        <v>21</v>
      </c>
      <c r="H470" s="6" t="s">
        <v>1739</v>
      </c>
      <c r="I470" s="6" t="s">
        <v>259</v>
      </c>
      <c r="J470" s="6" t="s">
        <v>1740</v>
      </c>
      <c r="K470" s="6" t="s">
        <v>665</v>
      </c>
      <c r="L470" s="6" t="s">
        <v>665</v>
      </c>
      <c r="M470" s="14">
        <v>45874.280555555553</v>
      </c>
      <c r="N470" s="6">
        <v>2474</v>
      </c>
      <c r="O470" s="6" t="s">
        <v>1741</v>
      </c>
      <c r="P470" s="6" t="s">
        <v>453</v>
      </c>
      <c r="Q470" s="6" t="s">
        <v>246</v>
      </c>
      <c r="R470" s="6" t="s">
        <v>247</v>
      </c>
      <c r="S470" s="6" t="s">
        <v>8</v>
      </c>
      <c r="T470" s="6" t="s">
        <v>248</v>
      </c>
      <c r="U470" s="6" t="s">
        <v>128</v>
      </c>
      <c r="V470" s="6" t="s">
        <v>1688</v>
      </c>
      <c r="W470" s="6" t="s">
        <v>92</v>
      </c>
      <c r="X470" s="6" t="s">
        <v>92</v>
      </c>
      <c r="Y470" s="6" t="s">
        <v>92</v>
      </c>
      <c r="Z470" s="6" t="s">
        <v>79</v>
      </c>
      <c r="AA470" s="6" t="s">
        <v>92</v>
      </c>
      <c r="AB470" s="6">
        <v>635.66719999999998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1742</v>
      </c>
      <c r="AJ470" s="6" t="s">
        <v>264</v>
      </c>
      <c r="AK470" s="6" t="s">
        <v>12</v>
      </c>
      <c r="AL470" s="6" t="s">
        <v>56</v>
      </c>
      <c r="AM470" s="6" t="s">
        <v>265</v>
      </c>
      <c r="AN470" s="6" t="s">
        <v>22</v>
      </c>
      <c r="AO470" s="6" t="s">
        <v>253</v>
      </c>
      <c r="AP470" s="6" t="s">
        <v>254</v>
      </c>
      <c r="AQ470" s="6" t="s">
        <v>20</v>
      </c>
    </row>
    <row r="471" spans="1:43" hidden="1" x14ac:dyDescent="0.25">
      <c r="A471" s="6">
        <v>22701250</v>
      </c>
      <c r="B471" s="6">
        <v>23503436</v>
      </c>
      <c r="C471" s="6" t="s">
        <v>414</v>
      </c>
      <c r="D471" s="14">
        <v>45876.584953703707</v>
      </c>
      <c r="E471" s="14">
        <v>45876.59034722222</v>
      </c>
      <c r="F471" s="6" t="s">
        <v>19</v>
      </c>
      <c r="G471" s="6" t="s">
        <v>19</v>
      </c>
      <c r="H471" s="6" t="s">
        <v>1743</v>
      </c>
      <c r="I471" s="6" t="s">
        <v>16</v>
      </c>
      <c r="J471" s="6" t="s">
        <v>1744</v>
      </c>
      <c r="K471" s="6" t="s">
        <v>792</v>
      </c>
      <c r="L471" s="6" t="s">
        <v>792</v>
      </c>
      <c r="M471" s="14">
        <v>45876.581250000003</v>
      </c>
      <c r="N471" s="6" t="s">
        <v>92</v>
      </c>
      <c r="O471" s="6" t="s">
        <v>92</v>
      </c>
      <c r="P471" s="6" t="s">
        <v>245</v>
      </c>
      <c r="Q471" s="6" t="s">
        <v>428</v>
      </c>
      <c r="R471" s="6" t="s">
        <v>428</v>
      </c>
      <c r="S471" s="6" t="s">
        <v>7</v>
      </c>
      <c r="T471" s="6" t="s">
        <v>248</v>
      </c>
      <c r="U471" s="6" t="s">
        <v>184</v>
      </c>
      <c r="V471" s="6" t="s">
        <v>1745</v>
      </c>
      <c r="W471" s="6" t="s">
        <v>92</v>
      </c>
      <c r="X471" s="6" t="s">
        <v>285</v>
      </c>
      <c r="Y471" s="6">
        <v>4453300183</v>
      </c>
      <c r="Z471" s="6" t="s">
        <v>1746</v>
      </c>
      <c r="AA471" s="6" t="s">
        <v>92</v>
      </c>
      <c r="AB471" s="6">
        <v>140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92</v>
      </c>
      <c r="AJ471" s="6" t="s">
        <v>1747</v>
      </c>
      <c r="AK471" s="6" t="s">
        <v>16</v>
      </c>
      <c r="AL471" s="6" t="s">
        <v>57</v>
      </c>
      <c r="AM471" s="6" t="s">
        <v>288</v>
      </c>
      <c r="AN471" s="6" t="s">
        <v>28</v>
      </c>
      <c r="AO471" s="6" t="s">
        <v>253</v>
      </c>
      <c r="AP471" s="6" t="s">
        <v>480</v>
      </c>
      <c r="AQ471" s="6" t="s">
        <v>43</v>
      </c>
    </row>
    <row r="472" spans="1:43" hidden="1" x14ac:dyDescent="0.25"/>
    <row r="473" spans="1:43" hidden="1" x14ac:dyDescent="0.25"/>
    <row r="474" spans="1:43" hidden="1" x14ac:dyDescent="0.25"/>
    <row r="475" spans="1:43" hidden="1" x14ac:dyDescent="0.25"/>
    <row r="476" spans="1:43" hidden="1" x14ac:dyDescent="0.25"/>
    <row r="477" spans="1:43" hidden="1" x14ac:dyDescent="0.25"/>
    <row r="478" spans="1:43" hidden="1" x14ac:dyDescent="0.25"/>
    <row r="479" spans="1:43" hidden="1" x14ac:dyDescent="0.25"/>
    <row r="480" spans="1:43" hidden="1" x14ac:dyDescent="0.25"/>
    <row r="481" hidden="1" x14ac:dyDescent="0.25"/>
    <row r="482" hidden="1" x14ac:dyDescent="0.25"/>
    <row r="483" hidden="1" x14ac:dyDescent="0.25"/>
    <row r="484" hidden="1" x14ac:dyDescent="0.25"/>
    <row r="485" hidden="1" x14ac:dyDescent="0.25"/>
    <row r="486" hidden="1" x14ac:dyDescent="0.25"/>
    <row r="488" hidden="1" x14ac:dyDescent="0.25"/>
    <row r="490" hidden="1" x14ac:dyDescent="0.25"/>
    <row r="491" hidden="1" x14ac:dyDescent="0.25"/>
    <row r="492" hidden="1" x14ac:dyDescent="0.25"/>
    <row r="494" hidden="1" x14ac:dyDescent="0.25"/>
    <row r="495" hidden="1" x14ac:dyDescent="0.25"/>
    <row r="496" hidden="1" x14ac:dyDescent="0.25"/>
    <row r="497" hidden="1" x14ac:dyDescent="0.25"/>
    <row r="499" hidden="1" x14ac:dyDescent="0.25"/>
    <row r="500" hidden="1" x14ac:dyDescent="0.25"/>
    <row r="501" hidden="1" x14ac:dyDescent="0.25"/>
    <row r="502" hidden="1" x14ac:dyDescent="0.25"/>
    <row r="503" hidden="1" x14ac:dyDescent="0.25"/>
    <row r="504" hidden="1" x14ac:dyDescent="0.25"/>
    <row r="505" hidden="1" x14ac:dyDescent="0.25"/>
    <row r="506" hidden="1" x14ac:dyDescent="0.25"/>
    <row r="507" hidden="1" x14ac:dyDescent="0.25"/>
    <row r="508" hidden="1" x14ac:dyDescent="0.25"/>
    <row r="509" hidden="1" x14ac:dyDescent="0.25"/>
    <row r="510" hidden="1" x14ac:dyDescent="0.25"/>
    <row r="511" hidden="1" x14ac:dyDescent="0.25"/>
    <row r="512" hidden="1" x14ac:dyDescent="0.25"/>
    <row r="513" hidden="1" x14ac:dyDescent="0.25"/>
    <row r="514" hidden="1" x14ac:dyDescent="0.25"/>
    <row r="516" hidden="1" x14ac:dyDescent="0.25"/>
    <row r="517" hidden="1" x14ac:dyDescent="0.25"/>
    <row r="518" hidden="1" x14ac:dyDescent="0.25"/>
    <row r="520" hidden="1" x14ac:dyDescent="0.25"/>
    <row r="521" hidden="1" x14ac:dyDescent="0.25"/>
    <row r="522" hidden="1" x14ac:dyDescent="0.25"/>
    <row r="523" hidden="1" x14ac:dyDescent="0.25"/>
    <row r="525" hidden="1" x14ac:dyDescent="0.25"/>
    <row r="527" hidden="1" x14ac:dyDescent="0.25"/>
    <row r="531" hidden="1" x14ac:dyDescent="0.25"/>
    <row r="532" hidden="1" x14ac:dyDescent="0.25"/>
    <row r="534" hidden="1" x14ac:dyDescent="0.25"/>
    <row r="535" hidden="1" x14ac:dyDescent="0.25"/>
    <row r="536" hidden="1" x14ac:dyDescent="0.25"/>
    <row r="539" hidden="1" x14ac:dyDescent="0.25"/>
    <row r="543" hidden="1" x14ac:dyDescent="0.25"/>
    <row r="546" hidden="1" x14ac:dyDescent="0.25"/>
    <row r="550" hidden="1" x14ac:dyDescent="0.25"/>
    <row r="551" hidden="1" x14ac:dyDescent="0.25"/>
    <row r="553" hidden="1" x14ac:dyDescent="0.25"/>
    <row r="557" hidden="1" x14ac:dyDescent="0.25"/>
    <row r="558" hidden="1" x14ac:dyDescent="0.25"/>
    <row r="559" hidden="1" x14ac:dyDescent="0.25"/>
    <row r="560" hidden="1" x14ac:dyDescent="0.25"/>
    <row r="561" hidden="1" x14ac:dyDescent="0.25"/>
    <row r="562" hidden="1" x14ac:dyDescent="0.25"/>
    <row r="563" hidden="1" x14ac:dyDescent="0.25"/>
    <row r="564" hidden="1" x14ac:dyDescent="0.25"/>
    <row r="565" hidden="1" x14ac:dyDescent="0.25"/>
    <row r="566" hidden="1" x14ac:dyDescent="0.25"/>
    <row r="567" hidden="1" x14ac:dyDescent="0.25"/>
    <row r="568" hidden="1" x14ac:dyDescent="0.25"/>
    <row r="569" hidden="1" x14ac:dyDescent="0.25"/>
    <row r="961" s="6" customFormat="1" x14ac:dyDescent="0.25"/>
    <row r="962" s="6" customFormat="1" x14ac:dyDescent="0.25"/>
    <row r="963" s="6" customFormat="1" x14ac:dyDescent="0.25"/>
    <row r="964" s="6" customFormat="1" x14ac:dyDescent="0.25"/>
    <row r="965" s="6" customFormat="1" x14ac:dyDescent="0.25"/>
    <row r="966" s="6" customFormat="1" x14ac:dyDescent="0.25"/>
    <row r="967" s="6" customFormat="1" x14ac:dyDescent="0.25"/>
    <row r="968" s="6" customFormat="1" x14ac:dyDescent="0.25"/>
    <row r="969" s="6" customFormat="1" x14ac:dyDescent="0.25"/>
    <row r="970" s="6" customFormat="1" x14ac:dyDescent="0.25"/>
    <row r="971" s="6" customFormat="1" x14ac:dyDescent="0.25"/>
    <row r="972" s="6" customFormat="1" x14ac:dyDescent="0.25"/>
    <row r="973" s="6" customFormat="1" x14ac:dyDescent="0.25"/>
    <row r="974" s="6" customFormat="1" x14ac:dyDescent="0.25"/>
    <row r="975" s="6" customFormat="1" x14ac:dyDescent="0.25"/>
    <row r="976" s="6" customFormat="1" x14ac:dyDescent="0.25"/>
    <row r="977" s="6" customFormat="1" x14ac:dyDescent="0.25"/>
    <row r="978" s="6" customFormat="1" x14ac:dyDescent="0.25"/>
    <row r="979" s="6" customFormat="1" x14ac:dyDescent="0.25"/>
    <row r="980" s="6" customFormat="1" x14ac:dyDescent="0.25"/>
    <row r="981" s="6" customFormat="1" x14ac:dyDescent="0.25"/>
    <row r="982" s="6" customFormat="1" x14ac:dyDescent="0.25"/>
    <row r="983" s="6" customFormat="1" x14ac:dyDescent="0.25"/>
    <row r="984" s="6" customFormat="1" x14ac:dyDescent="0.25"/>
    <row r="985" s="6" customFormat="1" x14ac:dyDescent="0.25"/>
    <row r="986" s="6" customFormat="1" x14ac:dyDescent="0.25"/>
    <row r="987" s="6" customFormat="1" x14ac:dyDescent="0.25"/>
    <row r="988" s="6" customFormat="1" x14ac:dyDescent="0.25"/>
    <row r="989" s="6" customFormat="1" x14ac:dyDescent="0.25"/>
    <row r="990" s="6" customFormat="1" x14ac:dyDescent="0.25"/>
    <row r="991" s="6" customFormat="1" x14ac:dyDescent="0.25"/>
    <row r="992" s="6" customFormat="1" x14ac:dyDescent="0.25"/>
    <row r="993" s="6" customFormat="1" x14ac:dyDescent="0.25"/>
    <row r="994" s="6" customFormat="1" x14ac:dyDescent="0.25"/>
    <row r="995" s="6" customFormat="1" x14ac:dyDescent="0.25"/>
    <row r="996" s="6" customFormat="1" x14ac:dyDescent="0.25"/>
    <row r="997" s="6" customFormat="1" x14ac:dyDescent="0.25"/>
    <row r="998" s="6" customFormat="1" x14ac:dyDescent="0.25"/>
    <row r="999" s="6" customFormat="1" x14ac:dyDescent="0.25"/>
    <row r="1000" s="6" customFormat="1" x14ac:dyDescent="0.25"/>
    <row r="1001" s="6" customFormat="1" x14ac:dyDescent="0.25"/>
    <row r="1002" s="6" customFormat="1" x14ac:dyDescent="0.25"/>
    <row r="1003" s="6" customFormat="1" x14ac:dyDescent="0.25"/>
    <row r="1004" s="6" customFormat="1" x14ac:dyDescent="0.25"/>
    <row r="1005" s="6" customFormat="1" x14ac:dyDescent="0.25"/>
    <row r="1006" s="6" customFormat="1" x14ac:dyDescent="0.25"/>
    <row r="1007" s="6" customFormat="1" x14ac:dyDescent="0.25"/>
    <row r="1008" s="6" customFormat="1" x14ac:dyDescent="0.25"/>
    <row r="1009" s="6" customFormat="1" x14ac:dyDescent="0.25"/>
    <row r="1010" s="6" customFormat="1" x14ac:dyDescent="0.25"/>
    <row r="1011" s="6" customFormat="1" x14ac:dyDescent="0.25"/>
    <row r="1012" s="6" customFormat="1" x14ac:dyDescent="0.25"/>
    <row r="1013" s="6" customFormat="1" x14ac:dyDescent="0.25"/>
    <row r="1014" s="6" customFormat="1" x14ac:dyDescent="0.25"/>
    <row r="1015" s="6" customFormat="1" x14ac:dyDescent="0.25"/>
    <row r="1016" s="6" customFormat="1" x14ac:dyDescent="0.25"/>
    <row r="1017" s="6" customFormat="1" x14ac:dyDescent="0.25"/>
    <row r="1018" s="6" customFormat="1" x14ac:dyDescent="0.25"/>
    <row r="1019" s="6" customFormat="1" x14ac:dyDescent="0.25"/>
    <row r="1020" s="6" customFormat="1" x14ac:dyDescent="0.25"/>
    <row r="1021" s="6" customFormat="1" x14ac:dyDescent="0.25"/>
    <row r="1022" s="6" customFormat="1" x14ac:dyDescent="0.25"/>
    <row r="1023" s="6" customFormat="1" x14ac:dyDescent="0.25"/>
    <row r="1024" s="6" customFormat="1" x14ac:dyDescent="0.25"/>
    <row r="1025" s="6" customFormat="1" x14ac:dyDescent="0.25"/>
    <row r="1026" s="6" customFormat="1" x14ac:dyDescent="0.25"/>
    <row r="1027" s="6" customFormat="1" x14ac:dyDescent="0.25"/>
    <row r="1028" s="6" customFormat="1" x14ac:dyDescent="0.25"/>
    <row r="1029" s="6" customFormat="1" x14ac:dyDescent="0.25"/>
    <row r="1030" s="6" customFormat="1" x14ac:dyDescent="0.25"/>
    <row r="1031" s="6" customFormat="1" x14ac:dyDescent="0.25"/>
    <row r="1032" s="6" customFormat="1" x14ac:dyDescent="0.25"/>
    <row r="1033" s="6" customFormat="1" x14ac:dyDescent="0.25"/>
    <row r="1034" s="6" customFormat="1" x14ac:dyDescent="0.25"/>
    <row r="1035" s="6" customFormat="1" x14ac:dyDescent="0.25"/>
    <row r="1036" s="6" customFormat="1" x14ac:dyDescent="0.25"/>
    <row r="1037" s="6" customFormat="1" x14ac:dyDescent="0.25"/>
    <row r="1038" s="6" customFormat="1" x14ac:dyDescent="0.25"/>
    <row r="1039" s="6" customFormat="1" x14ac:dyDescent="0.25"/>
    <row r="1040" s="6" customFormat="1" x14ac:dyDescent="0.25"/>
    <row r="1041" s="6" customFormat="1" x14ac:dyDescent="0.25"/>
    <row r="1042" s="6" customFormat="1" x14ac:dyDescent="0.25"/>
    <row r="1043" s="6" customFormat="1" x14ac:dyDescent="0.25"/>
    <row r="1044" s="6" customFormat="1" x14ac:dyDescent="0.25"/>
    <row r="1045" s="6" customFormat="1" x14ac:dyDescent="0.25"/>
    <row r="1046" s="6" customFormat="1" x14ac:dyDescent="0.25"/>
    <row r="1047" s="6" customFormat="1" x14ac:dyDescent="0.25"/>
    <row r="1048" s="6" customFormat="1" x14ac:dyDescent="0.25"/>
    <row r="1049" s="6" customFormat="1" x14ac:dyDescent="0.25"/>
    <row r="1050" s="6" customFormat="1" x14ac:dyDescent="0.25"/>
    <row r="1051" s="6" customFormat="1" x14ac:dyDescent="0.25"/>
    <row r="1052" s="6" customFormat="1" x14ac:dyDescent="0.25"/>
    <row r="1053" s="6" customFormat="1" x14ac:dyDescent="0.25"/>
    <row r="1054" s="6" customFormat="1" x14ac:dyDescent="0.25"/>
    <row r="1055" s="6" customFormat="1" x14ac:dyDescent="0.25"/>
    <row r="1056" s="6" customFormat="1" x14ac:dyDescent="0.25"/>
    <row r="1057" s="6" customFormat="1" x14ac:dyDescent="0.25"/>
    <row r="1058" s="6" customFormat="1" x14ac:dyDescent="0.25"/>
    <row r="1059" s="6" customFormat="1" x14ac:dyDescent="0.25"/>
    <row r="1060" s="6" customFormat="1" x14ac:dyDescent="0.25"/>
    <row r="1061" s="6" customFormat="1" x14ac:dyDescent="0.25"/>
    <row r="1062" s="6" customFormat="1" x14ac:dyDescent="0.25"/>
    <row r="1063" s="6" customFormat="1" x14ac:dyDescent="0.25"/>
    <row r="1064" s="6" customFormat="1" x14ac:dyDescent="0.25"/>
    <row r="1065" s="6" customFormat="1" x14ac:dyDescent="0.25"/>
    <row r="1066" s="6" customFormat="1" x14ac:dyDescent="0.25"/>
    <row r="1067" s="6" customFormat="1" x14ac:dyDescent="0.25"/>
    <row r="1068" s="6" customFormat="1" x14ac:dyDescent="0.25"/>
    <row r="1069" s="6" customFormat="1" x14ac:dyDescent="0.25"/>
    <row r="1070" s="6" customFormat="1" x14ac:dyDescent="0.25"/>
    <row r="1071" s="6" customFormat="1" x14ac:dyDescent="0.25"/>
    <row r="1072" s="6" customFormat="1" x14ac:dyDescent="0.25"/>
    <row r="1073" s="6" customFormat="1" x14ac:dyDescent="0.25"/>
    <row r="1074" s="6" customFormat="1" x14ac:dyDescent="0.25"/>
    <row r="1075" s="6" customFormat="1" x14ac:dyDescent="0.25"/>
    <row r="1076" s="6" customFormat="1" x14ac:dyDescent="0.25"/>
    <row r="1077" s="6" customFormat="1" x14ac:dyDescent="0.25"/>
    <row r="1078" s="6" customFormat="1" x14ac:dyDescent="0.25"/>
    <row r="1079" s="6" customFormat="1" x14ac:dyDescent="0.25"/>
    <row r="1080" s="6" customFormat="1" x14ac:dyDescent="0.25"/>
    <row r="1081" s="6" customFormat="1" x14ac:dyDescent="0.25"/>
    <row r="1082" s="6" customFormat="1" x14ac:dyDescent="0.25"/>
    <row r="1083" s="6" customFormat="1" x14ac:dyDescent="0.25"/>
    <row r="1084" s="6" customFormat="1" x14ac:dyDescent="0.25"/>
    <row r="1085" s="6" customFormat="1" x14ac:dyDescent="0.25"/>
    <row r="1086" s="6" customFormat="1" x14ac:dyDescent="0.25"/>
    <row r="1087" s="6" customFormat="1" x14ac:dyDescent="0.25"/>
    <row r="1088" s="6" customFormat="1" x14ac:dyDescent="0.25"/>
    <row r="1089" s="6" customFormat="1" x14ac:dyDescent="0.25"/>
    <row r="1090" s="6" customFormat="1" x14ac:dyDescent="0.25"/>
    <row r="1091" s="6" customFormat="1" x14ac:dyDescent="0.25"/>
    <row r="1092" s="6" customFormat="1" x14ac:dyDescent="0.25"/>
    <row r="1093" s="6" customFormat="1" x14ac:dyDescent="0.25"/>
    <row r="1094" s="6" customFormat="1" x14ac:dyDescent="0.25"/>
    <row r="1095" s="6" customFormat="1" x14ac:dyDescent="0.25"/>
    <row r="1096" s="6" customFormat="1" x14ac:dyDescent="0.25"/>
    <row r="1097" s="6" customFormat="1" x14ac:dyDescent="0.25"/>
    <row r="1098" s="6" customFormat="1" x14ac:dyDescent="0.25"/>
    <row r="1099" s="6" customFormat="1" x14ac:dyDescent="0.25"/>
    <row r="1100" s="6" customFormat="1" x14ac:dyDescent="0.25"/>
    <row r="1101" s="6" customFormat="1" x14ac:dyDescent="0.25"/>
    <row r="1102" s="6" customFormat="1" x14ac:dyDescent="0.25"/>
    <row r="1103" s="6" customFormat="1" x14ac:dyDescent="0.25"/>
    <row r="1104" s="6" customFormat="1" x14ac:dyDescent="0.25"/>
    <row r="1105" s="6" customFormat="1" x14ac:dyDescent="0.25"/>
    <row r="1106" s="6" customFormat="1" x14ac:dyDescent="0.25"/>
    <row r="1107" s="6" customFormat="1" x14ac:dyDescent="0.25"/>
    <row r="1108" s="6" customFormat="1" x14ac:dyDescent="0.25"/>
    <row r="1109" s="6" customFormat="1" x14ac:dyDescent="0.25"/>
    <row r="1110" s="6" customFormat="1" x14ac:dyDescent="0.25"/>
    <row r="1111" s="6" customFormat="1" x14ac:dyDescent="0.25"/>
    <row r="1112" s="6" customFormat="1" x14ac:dyDescent="0.25"/>
    <row r="1113" s="6" customFormat="1" x14ac:dyDescent="0.25"/>
    <row r="1114" s="6" customFormat="1" x14ac:dyDescent="0.25"/>
    <row r="1115" s="6" customFormat="1" x14ac:dyDescent="0.25"/>
    <row r="1116" s="6" customFormat="1" x14ac:dyDescent="0.25"/>
    <row r="1117" s="6" customFormat="1" x14ac:dyDescent="0.25"/>
    <row r="1118" s="6" customFormat="1" x14ac:dyDescent="0.25"/>
    <row r="1119" s="6" customFormat="1" x14ac:dyDescent="0.25"/>
    <row r="1120" s="6" customFormat="1" x14ac:dyDescent="0.25"/>
    <row r="1121" s="6" customFormat="1" x14ac:dyDescent="0.25"/>
    <row r="1122" s="6" customFormat="1" x14ac:dyDescent="0.25"/>
    <row r="1123" s="6" customFormat="1" x14ac:dyDescent="0.25"/>
    <row r="1124" s="6" customFormat="1" x14ac:dyDescent="0.25"/>
    <row r="1125" s="6" customFormat="1" x14ac:dyDescent="0.25"/>
    <row r="1126" s="6" customFormat="1" x14ac:dyDescent="0.25"/>
    <row r="1127" s="6" customFormat="1" x14ac:dyDescent="0.25"/>
    <row r="1128" s="6" customFormat="1" x14ac:dyDescent="0.25"/>
    <row r="1129" s="6" customFormat="1" x14ac:dyDescent="0.25"/>
    <row r="1130" s="6" customFormat="1" x14ac:dyDescent="0.25"/>
    <row r="1131" s="6" customFormat="1" x14ac:dyDescent="0.25"/>
    <row r="1132" s="6" customFormat="1" x14ac:dyDescent="0.25"/>
    <row r="1133" s="6" customFormat="1" x14ac:dyDescent="0.25"/>
    <row r="1134" s="6" customFormat="1" x14ac:dyDescent="0.25"/>
    <row r="1135" s="6" customFormat="1" x14ac:dyDescent="0.25"/>
    <row r="1136" s="6" customFormat="1" x14ac:dyDescent="0.25"/>
    <row r="1137" s="6" customFormat="1" x14ac:dyDescent="0.25"/>
    <row r="1138" s="6" customFormat="1" x14ac:dyDescent="0.25"/>
    <row r="1139" s="6" customFormat="1" x14ac:dyDescent="0.25"/>
    <row r="1140" s="6" customFormat="1" x14ac:dyDescent="0.25"/>
    <row r="1141" s="6" customFormat="1" x14ac:dyDescent="0.25"/>
    <row r="1142" s="6" customFormat="1" x14ac:dyDescent="0.25"/>
    <row r="1143" s="6" customFormat="1" x14ac:dyDescent="0.25"/>
    <row r="1144" s="6" customFormat="1" x14ac:dyDescent="0.25"/>
    <row r="1145" s="6" customFormat="1" x14ac:dyDescent="0.25"/>
    <row r="1146" s="6" customFormat="1" x14ac:dyDescent="0.25"/>
    <row r="1147" s="6" customFormat="1" x14ac:dyDescent="0.25"/>
    <row r="1148" s="6" customFormat="1" x14ac:dyDescent="0.25"/>
    <row r="1149" s="6" customFormat="1" x14ac:dyDescent="0.25"/>
    <row r="1150" s="6" customFormat="1" x14ac:dyDescent="0.25"/>
    <row r="1151" s="6" customFormat="1" x14ac:dyDescent="0.25"/>
    <row r="1152" s="6" customFormat="1" x14ac:dyDescent="0.25"/>
    <row r="1153" s="6" customFormat="1" x14ac:dyDescent="0.25"/>
    <row r="1154" s="6" customFormat="1" x14ac:dyDescent="0.25"/>
    <row r="1155" s="6" customFormat="1" x14ac:dyDescent="0.25"/>
    <row r="1156" s="6" customFormat="1" x14ac:dyDescent="0.25"/>
    <row r="1157" s="6" customFormat="1" x14ac:dyDescent="0.25"/>
    <row r="1158" s="6" customFormat="1" x14ac:dyDescent="0.25"/>
    <row r="1159" s="6" customFormat="1" x14ac:dyDescent="0.25"/>
    <row r="1160" s="6" customFormat="1" x14ac:dyDescent="0.25"/>
    <row r="1161" s="6" customFormat="1" x14ac:dyDescent="0.25"/>
    <row r="1162" s="6" customFormat="1" x14ac:dyDescent="0.25"/>
    <row r="1163" s="6" customFormat="1" x14ac:dyDescent="0.25"/>
    <row r="1164" s="6" customFormat="1" x14ac:dyDescent="0.25"/>
    <row r="1165" s="6" customFormat="1" x14ac:dyDescent="0.25"/>
    <row r="1166" s="6" customFormat="1" x14ac:dyDescent="0.25"/>
    <row r="1167" s="6" customFormat="1" x14ac:dyDescent="0.25"/>
    <row r="1168" s="6" customFormat="1" x14ac:dyDescent="0.25"/>
    <row r="1169" s="6" customFormat="1" x14ac:dyDescent="0.25"/>
    <row r="1170" s="6" customFormat="1" x14ac:dyDescent="0.25"/>
    <row r="1171" s="6" customFormat="1" x14ac:dyDescent="0.25"/>
    <row r="1172" s="6" customFormat="1" x14ac:dyDescent="0.25"/>
    <row r="1173" s="6" customFormat="1" x14ac:dyDescent="0.25"/>
    <row r="1174" s="6" customFormat="1" x14ac:dyDescent="0.25"/>
    <row r="1175" s="6" customFormat="1" x14ac:dyDescent="0.25"/>
    <row r="1176" s="6" customFormat="1" x14ac:dyDescent="0.25"/>
    <row r="1177" s="6" customFormat="1" x14ac:dyDescent="0.25"/>
    <row r="1178" s="6" customFormat="1" x14ac:dyDescent="0.25"/>
    <row r="1179" s="6" customFormat="1" x14ac:dyDescent="0.25"/>
    <row r="1180" s="6" customFormat="1" x14ac:dyDescent="0.25"/>
    <row r="1181" s="6" customFormat="1" x14ac:dyDescent="0.25"/>
    <row r="1182" s="6" customFormat="1" x14ac:dyDescent="0.25"/>
    <row r="1183" s="6" customFormat="1" x14ac:dyDescent="0.25"/>
    <row r="1184" s="6" customFormat="1" x14ac:dyDescent="0.25"/>
    <row r="1185" s="6" customFormat="1" x14ac:dyDescent="0.25"/>
    <row r="1186" s="6" customFormat="1" x14ac:dyDescent="0.25"/>
    <row r="1187" s="6" customFormat="1" x14ac:dyDescent="0.25"/>
    <row r="1188" s="6" customFormat="1" x14ac:dyDescent="0.25"/>
    <row r="1189" s="6" customFormat="1" x14ac:dyDescent="0.25"/>
    <row r="1190" s="6" customFormat="1" x14ac:dyDescent="0.25"/>
    <row r="1191" s="6" customFormat="1" x14ac:dyDescent="0.25"/>
    <row r="1192" s="6" customFormat="1" x14ac:dyDescent="0.25"/>
    <row r="1193" s="6" customFormat="1" x14ac:dyDescent="0.25"/>
    <row r="1194" s="6" customFormat="1" x14ac:dyDescent="0.25"/>
    <row r="1195" s="6" customFormat="1" x14ac:dyDescent="0.25"/>
    <row r="1196" s="6" customFormat="1" x14ac:dyDescent="0.25"/>
    <row r="1197" s="6" customFormat="1" x14ac:dyDescent="0.25"/>
    <row r="1198" s="6" customFormat="1" x14ac:dyDescent="0.25"/>
    <row r="1199" s="6" customFormat="1" x14ac:dyDescent="0.25"/>
    <row r="1200" s="6" customFormat="1" x14ac:dyDescent="0.25"/>
    <row r="1201" s="6" customFormat="1" x14ac:dyDescent="0.25"/>
    <row r="1202" s="6" customFormat="1" x14ac:dyDescent="0.25"/>
    <row r="1203" s="6" customFormat="1" x14ac:dyDescent="0.25"/>
    <row r="1204" s="6" customFormat="1" x14ac:dyDescent="0.25"/>
    <row r="1205" s="6" customFormat="1" x14ac:dyDescent="0.25"/>
    <row r="1206" s="6" customFormat="1" x14ac:dyDescent="0.25"/>
    <row r="1207" s="6" customFormat="1" x14ac:dyDescent="0.25"/>
    <row r="1208" s="6" customFormat="1" x14ac:dyDescent="0.25"/>
    <row r="1209" s="6" customFormat="1" x14ac:dyDescent="0.25"/>
    <row r="1210" s="6" customFormat="1" x14ac:dyDescent="0.25"/>
    <row r="1211" s="6" customFormat="1" x14ac:dyDescent="0.25"/>
    <row r="1212" s="6" customFormat="1" x14ac:dyDescent="0.25"/>
    <row r="1213" s="6" customFormat="1" x14ac:dyDescent="0.25"/>
    <row r="1214" s="6" customFormat="1" x14ac:dyDescent="0.25"/>
    <row r="1215" s="6" customFormat="1" x14ac:dyDescent="0.25"/>
    <row r="1216" s="6" customFormat="1" x14ac:dyDescent="0.25"/>
    <row r="1217" s="6" customFormat="1" x14ac:dyDescent="0.25"/>
    <row r="1218" s="6" customFormat="1" x14ac:dyDescent="0.25"/>
    <row r="1219" s="6" customFormat="1" x14ac:dyDescent="0.25"/>
    <row r="1220" s="6" customFormat="1" x14ac:dyDescent="0.25"/>
    <row r="1221" s="6" customFormat="1" x14ac:dyDescent="0.25"/>
    <row r="1222" s="6" customFormat="1" x14ac:dyDescent="0.25"/>
    <row r="1223" s="6" customFormat="1" x14ac:dyDescent="0.25"/>
    <row r="1224" s="6" customFormat="1" x14ac:dyDescent="0.25"/>
    <row r="1225" s="6" customFormat="1" x14ac:dyDescent="0.25"/>
    <row r="1226" s="6" customFormat="1" x14ac:dyDescent="0.25"/>
    <row r="1227" s="6" customFormat="1" x14ac:dyDescent="0.25"/>
    <row r="1228" s="6" customFormat="1" x14ac:dyDescent="0.25"/>
    <row r="1229" s="6" customFormat="1" x14ac:dyDescent="0.25"/>
    <row r="1230" s="6" customFormat="1" x14ac:dyDescent="0.25"/>
    <row r="1231" s="6" customFormat="1" x14ac:dyDescent="0.25"/>
    <row r="1232" s="6" customFormat="1" x14ac:dyDescent="0.25"/>
    <row r="1233" s="6" customFormat="1" x14ac:dyDescent="0.25"/>
    <row r="1234" s="6" customFormat="1" x14ac:dyDescent="0.25"/>
    <row r="1235" s="6" customFormat="1" x14ac:dyDescent="0.25"/>
    <row r="1236" s="6" customFormat="1" x14ac:dyDescent="0.25"/>
    <row r="1237" s="6" customFormat="1" x14ac:dyDescent="0.25"/>
    <row r="1238" s="6" customFormat="1" x14ac:dyDescent="0.25"/>
    <row r="1239" s="6" customFormat="1" x14ac:dyDescent="0.25"/>
    <row r="1240" s="6" customFormat="1" x14ac:dyDescent="0.25"/>
    <row r="1241" s="6" customFormat="1" x14ac:dyDescent="0.25"/>
    <row r="1242" s="6" customFormat="1" x14ac:dyDescent="0.25"/>
    <row r="1243" s="6" customFormat="1" x14ac:dyDescent="0.25"/>
    <row r="1244" s="6" customFormat="1" x14ac:dyDescent="0.25"/>
    <row r="1245" s="6" customFormat="1" x14ac:dyDescent="0.25"/>
    <row r="1246" s="6" customFormat="1" x14ac:dyDescent="0.25"/>
    <row r="1247" s="6" customFormat="1" x14ac:dyDescent="0.25"/>
    <row r="1248" s="6" customFormat="1" x14ac:dyDescent="0.25"/>
    <row r="1249" s="6" customFormat="1" x14ac:dyDescent="0.25"/>
    <row r="1250" s="6" customFormat="1" x14ac:dyDescent="0.25"/>
    <row r="1251" s="6" customFormat="1" x14ac:dyDescent="0.25"/>
    <row r="1252" s="6" customFormat="1" x14ac:dyDescent="0.25"/>
    <row r="1253" s="6" customFormat="1" x14ac:dyDescent="0.25"/>
    <row r="1254" s="6" customFormat="1" x14ac:dyDescent="0.25"/>
    <row r="1255" s="6" customFormat="1" x14ac:dyDescent="0.25"/>
    <row r="1256" s="6" customFormat="1" x14ac:dyDescent="0.25"/>
    <row r="1257" s="6" customFormat="1" x14ac:dyDescent="0.25"/>
    <row r="1258" s="6" customFormat="1" x14ac:dyDescent="0.25"/>
    <row r="1259" s="6" customFormat="1" x14ac:dyDescent="0.25"/>
    <row r="1260" s="6" customFormat="1" x14ac:dyDescent="0.25"/>
    <row r="1261" s="6" customFormat="1" x14ac:dyDescent="0.25"/>
    <row r="1262" s="6" customFormat="1" x14ac:dyDescent="0.25"/>
    <row r="1263" s="6" customFormat="1" x14ac:dyDescent="0.25"/>
    <row r="1264" s="6" customFormat="1" x14ac:dyDescent="0.25"/>
    <row r="1265" s="6" customFormat="1" x14ac:dyDescent="0.25"/>
    <row r="1266" s="6" customFormat="1" x14ac:dyDescent="0.25"/>
    <row r="1267" s="6" customFormat="1" x14ac:dyDescent="0.25"/>
    <row r="1268" s="6" customFormat="1" x14ac:dyDescent="0.25"/>
    <row r="1269" s="6" customFormat="1" x14ac:dyDescent="0.25"/>
    <row r="1270" s="6" customFormat="1" x14ac:dyDescent="0.25"/>
    <row r="1271" s="6" customFormat="1" x14ac:dyDescent="0.25"/>
    <row r="1272" s="6" customFormat="1" x14ac:dyDescent="0.25"/>
    <row r="1273" s="6" customFormat="1" x14ac:dyDescent="0.25"/>
    <row r="1274" s="6" customFormat="1" x14ac:dyDescent="0.25"/>
    <row r="1275" s="6" customFormat="1" x14ac:dyDescent="0.25"/>
    <row r="1276" s="6" customFormat="1" x14ac:dyDescent="0.25"/>
    <row r="1277" s="6" customFormat="1" x14ac:dyDescent="0.25"/>
    <row r="1278" s="6" customFormat="1" x14ac:dyDescent="0.25"/>
    <row r="1279" s="6" customFormat="1" x14ac:dyDescent="0.25"/>
    <row r="1280" s="6" customFormat="1" x14ac:dyDescent="0.25"/>
    <row r="1281" s="6" customFormat="1" x14ac:dyDescent="0.25"/>
    <row r="1282" s="6" customFormat="1" x14ac:dyDescent="0.25"/>
    <row r="1283" s="6" customFormat="1" x14ac:dyDescent="0.25"/>
    <row r="1284" s="6" customFormat="1" x14ac:dyDescent="0.25"/>
    <row r="1285" s="6" customFormat="1" x14ac:dyDescent="0.25"/>
    <row r="1286" s="6" customFormat="1" x14ac:dyDescent="0.25"/>
    <row r="1287" s="6" customFormat="1" x14ac:dyDescent="0.25"/>
    <row r="1288" s="6" customFormat="1" x14ac:dyDescent="0.25"/>
    <row r="1289" s="6" customFormat="1" x14ac:dyDescent="0.25"/>
    <row r="1290" s="6" customFormat="1" x14ac:dyDescent="0.25"/>
    <row r="1291" s="6" customFormat="1" x14ac:dyDescent="0.25"/>
    <row r="1292" s="6" customFormat="1" x14ac:dyDescent="0.25"/>
    <row r="1293" s="6" customFormat="1" x14ac:dyDescent="0.25"/>
    <row r="1294" s="6" customFormat="1" x14ac:dyDescent="0.25"/>
    <row r="1295" s="6" customFormat="1" x14ac:dyDescent="0.25"/>
    <row r="1296" s="6" customFormat="1" x14ac:dyDescent="0.25"/>
    <row r="1297" s="6" customFormat="1" x14ac:dyDescent="0.25"/>
    <row r="1298" s="6" customFormat="1" x14ac:dyDescent="0.25"/>
    <row r="1299" s="6" customFormat="1" x14ac:dyDescent="0.25"/>
    <row r="1300" s="6" customFormat="1" x14ac:dyDescent="0.25"/>
    <row r="1301" s="6" customFormat="1" x14ac:dyDescent="0.25"/>
    <row r="1302" s="6" customFormat="1" x14ac:dyDescent="0.25"/>
    <row r="1303" s="6" customFormat="1" x14ac:dyDescent="0.25"/>
    <row r="1304" s="6" customFormat="1" x14ac:dyDescent="0.25"/>
    <row r="1305" s="6" customFormat="1" x14ac:dyDescent="0.25"/>
    <row r="1306" s="6" customFormat="1" x14ac:dyDescent="0.25"/>
    <row r="1307" s="6" customFormat="1" x14ac:dyDescent="0.25"/>
    <row r="1308" s="6" customFormat="1" x14ac:dyDescent="0.25"/>
    <row r="1309" s="6" customFormat="1" x14ac:dyDescent="0.25"/>
    <row r="1310" s="6" customFormat="1" x14ac:dyDescent="0.25"/>
    <row r="1311" s="6" customFormat="1" x14ac:dyDescent="0.25"/>
    <row r="1312" s="6" customFormat="1" x14ac:dyDescent="0.25"/>
    <row r="1313" s="6" customFormat="1" x14ac:dyDescent="0.25"/>
    <row r="1314" s="6" customFormat="1" x14ac:dyDescent="0.25"/>
    <row r="1315" s="6" customFormat="1" x14ac:dyDescent="0.25"/>
    <row r="1316" s="6" customFormat="1" x14ac:dyDescent="0.25"/>
    <row r="1317" s="6" customFormat="1" x14ac:dyDescent="0.25"/>
    <row r="1318" s="6" customFormat="1" x14ac:dyDescent="0.25"/>
    <row r="1319" s="6" customFormat="1" x14ac:dyDescent="0.25"/>
    <row r="1320" s="6" customFormat="1" x14ac:dyDescent="0.25"/>
    <row r="1321" s="6" customFormat="1" x14ac:dyDescent="0.25"/>
    <row r="1322" s="6" customFormat="1" x14ac:dyDescent="0.25"/>
    <row r="1323" s="6" customFormat="1" x14ac:dyDescent="0.25"/>
    <row r="1324" s="6" customFormat="1" x14ac:dyDescent="0.25"/>
    <row r="1325" s="6" customFormat="1" x14ac:dyDescent="0.25"/>
    <row r="1326" s="6" customFormat="1" x14ac:dyDescent="0.25"/>
    <row r="1327" s="6" customFormat="1" x14ac:dyDescent="0.25"/>
    <row r="1328" s="6" customFormat="1" x14ac:dyDescent="0.25"/>
    <row r="1329" s="6" customFormat="1" x14ac:dyDescent="0.25"/>
    <row r="1330" s="6" customFormat="1" x14ac:dyDescent="0.25"/>
    <row r="1331" s="6" customFormat="1" x14ac:dyDescent="0.25"/>
    <row r="1332" s="6" customFormat="1" x14ac:dyDescent="0.25"/>
    <row r="1333" s="6" customFormat="1" x14ac:dyDescent="0.25"/>
    <row r="1334" s="6" customFormat="1" x14ac:dyDescent="0.25"/>
    <row r="1335" s="6" customFormat="1" x14ac:dyDescent="0.25"/>
    <row r="1336" s="6" customFormat="1" x14ac:dyDescent="0.25"/>
    <row r="1337" s="6" customFormat="1" x14ac:dyDescent="0.25"/>
    <row r="1338" s="6" customFormat="1" x14ac:dyDescent="0.25"/>
    <row r="1339" s="6" customFormat="1" x14ac:dyDescent="0.25"/>
    <row r="1340" s="6" customFormat="1" x14ac:dyDescent="0.25"/>
    <row r="1341" s="6" customFormat="1" x14ac:dyDescent="0.25"/>
    <row r="1342" s="6" customFormat="1" x14ac:dyDescent="0.25"/>
    <row r="1343" s="6" customFormat="1" x14ac:dyDescent="0.25"/>
    <row r="1344" s="6" customFormat="1" x14ac:dyDescent="0.25"/>
    <row r="1345" s="6" customFormat="1" x14ac:dyDescent="0.25"/>
    <row r="1346" s="6" customFormat="1" x14ac:dyDescent="0.25"/>
    <row r="1347" s="6" customFormat="1" x14ac:dyDescent="0.25"/>
    <row r="1348" s="6" customFormat="1" x14ac:dyDescent="0.25"/>
    <row r="1349" s="6" customFormat="1" x14ac:dyDescent="0.25"/>
    <row r="1350" s="6" customFormat="1" x14ac:dyDescent="0.25"/>
    <row r="1351" s="6" customFormat="1" x14ac:dyDescent="0.25"/>
    <row r="1352" s="6" customFormat="1" x14ac:dyDescent="0.25"/>
    <row r="1353" s="6" customFormat="1" x14ac:dyDescent="0.25"/>
    <row r="1354" s="6" customFormat="1" x14ac:dyDescent="0.25"/>
    <row r="1355" s="6" customFormat="1" x14ac:dyDescent="0.25"/>
    <row r="1356" s="6" customFormat="1" x14ac:dyDescent="0.25"/>
    <row r="1357" s="6" customFormat="1" x14ac:dyDescent="0.25"/>
    <row r="1358" s="6" customFormat="1" x14ac:dyDescent="0.25"/>
    <row r="1359" s="6" customFormat="1" x14ac:dyDescent="0.25"/>
    <row r="1360" s="6" customFormat="1" x14ac:dyDescent="0.25"/>
    <row r="1361" s="6" customFormat="1" x14ac:dyDescent="0.25"/>
    <row r="1362" s="6" customFormat="1" x14ac:dyDescent="0.25"/>
    <row r="1363" s="6" customFormat="1" x14ac:dyDescent="0.25"/>
    <row r="1364" s="6" customFormat="1" x14ac:dyDescent="0.25"/>
    <row r="1365" s="6" customFormat="1" x14ac:dyDescent="0.25"/>
    <row r="1366" s="6" customFormat="1" x14ac:dyDescent="0.25"/>
    <row r="1367" s="6" customFormat="1" x14ac:dyDescent="0.25"/>
    <row r="1368" s="6" customFormat="1" x14ac:dyDescent="0.25"/>
    <row r="1369" s="6" customFormat="1" x14ac:dyDescent="0.25"/>
    <row r="1370" s="6" customFormat="1" x14ac:dyDescent="0.25"/>
    <row r="1371" s="6" customFormat="1" x14ac:dyDescent="0.25"/>
    <row r="1372" s="6" customFormat="1" x14ac:dyDescent="0.25"/>
    <row r="1373" s="6" customFormat="1" x14ac:dyDescent="0.25"/>
    <row r="1374" s="6" customFormat="1" x14ac:dyDescent="0.25"/>
    <row r="1375" s="6" customFormat="1" x14ac:dyDescent="0.25"/>
    <row r="1376" s="6" customFormat="1" x14ac:dyDescent="0.25"/>
    <row r="1377" s="6" customFormat="1" x14ac:dyDescent="0.25"/>
    <row r="1378" s="6" customFormat="1" x14ac:dyDescent="0.25"/>
    <row r="1379" s="6" customFormat="1" x14ac:dyDescent="0.25"/>
    <row r="1380" s="6" customFormat="1" x14ac:dyDescent="0.25"/>
    <row r="1381" s="6" customFormat="1" x14ac:dyDescent="0.25"/>
    <row r="1382" s="6" customFormat="1" x14ac:dyDescent="0.25"/>
    <row r="1383" s="6" customFormat="1" x14ac:dyDescent="0.25"/>
    <row r="1384" s="6" customFormat="1" x14ac:dyDescent="0.25"/>
    <row r="1385" s="6" customFormat="1" x14ac:dyDescent="0.25"/>
    <row r="1386" s="6" customFormat="1" x14ac:dyDescent="0.25"/>
    <row r="1387" s="6" customFormat="1" x14ac:dyDescent="0.25"/>
    <row r="1388" s="6" customFormat="1" x14ac:dyDescent="0.25"/>
    <row r="1389" s="6" customFormat="1" x14ac:dyDescent="0.25"/>
    <row r="1390" s="6" customFormat="1" x14ac:dyDescent="0.25"/>
    <row r="1391" s="6" customFormat="1" x14ac:dyDescent="0.25"/>
    <row r="1392" s="6" customFormat="1" x14ac:dyDescent="0.25"/>
    <row r="1393" s="6" customFormat="1" x14ac:dyDescent="0.25"/>
    <row r="1394" s="6" customFormat="1" x14ac:dyDescent="0.25"/>
    <row r="1395" s="6" customFormat="1" x14ac:dyDescent="0.25"/>
    <row r="1396" s="6" customFormat="1" x14ac:dyDescent="0.25"/>
    <row r="1397" s="6" customFormat="1" x14ac:dyDescent="0.25"/>
    <row r="1398" s="6" customFormat="1" x14ac:dyDescent="0.25"/>
    <row r="1399" s="6" customFormat="1" x14ac:dyDescent="0.25"/>
    <row r="1400" s="6" customFormat="1" x14ac:dyDescent="0.25"/>
    <row r="1401" s="6" customFormat="1" x14ac:dyDescent="0.25"/>
    <row r="1402" s="6" customFormat="1" x14ac:dyDescent="0.25"/>
    <row r="1403" s="6" customFormat="1" x14ac:dyDescent="0.25"/>
    <row r="1404" s="6" customFormat="1" x14ac:dyDescent="0.25"/>
    <row r="1405" s="6" customFormat="1" x14ac:dyDescent="0.25"/>
    <row r="1406" s="6" customFormat="1" x14ac:dyDescent="0.25"/>
    <row r="1407" s="6" customFormat="1" x14ac:dyDescent="0.25"/>
    <row r="1408" s="6" customFormat="1" x14ac:dyDescent="0.25"/>
    <row r="1409" s="6" customFormat="1" x14ac:dyDescent="0.25"/>
    <row r="1410" s="6" customFormat="1" x14ac:dyDescent="0.25"/>
    <row r="1411" s="6" customFormat="1" x14ac:dyDescent="0.25"/>
    <row r="1412" s="6" customFormat="1" x14ac:dyDescent="0.25"/>
    <row r="1413" s="6" customFormat="1" x14ac:dyDescent="0.25"/>
    <row r="1414" s="6" customFormat="1" x14ac:dyDescent="0.25"/>
    <row r="1415" s="6" customFormat="1" x14ac:dyDescent="0.25"/>
    <row r="1416" s="6" customFormat="1" x14ac:dyDescent="0.25"/>
    <row r="1417" s="6" customFormat="1" x14ac:dyDescent="0.25"/>
    <row r="1418" s="6" customFormat="1" x14ac:dyDescent="0.25"/>
    <row r="1419" s="6" customFormat="1" x14ac:dyDescent="0.25"/>
    <row r="1420" s="6" customFormat="1" x14ac:dyDescent="0.25"/>
    <row r="1421" s="6" customFormat="1" x14ac:dyDescent="0.25"/>
    <row r="1422" s="6" customFormat="1" x14ac:dyDescent="0.25"/>
    <row r="1423" s="6" customFormat="1" x14ac:dyDescent="0.25"/>
    <row r="1424" s="6" customFormat="1" x14ac:dyDescent="0.25"/>
    <row r="1425" s="6" customFormat="1" x14ac:dyDescent="0.25"/>
    <row r="1426" s="6" customFormat="1" x14ac:dyDescent="0.25"/>
    <row r="1427" s="6" customFormat="1" x14ac:dyDescent="0.25"/>
    <row r="1428" s="6" customFormat="1" x14ac:dyDescent="0.25"/>
    <row r="1429" s="6" customFormat="1" x14ac:dyDescent="0.25"/>
    <row r="1430" s="6" customFormat="1" x14ac:dyDescent="0.25"/>
    <row r="1431" s="6" customFormat="1" x14ac:dyDescent="0.25"/>
    <row r="1432" s="6" customFormat="1" x14ac:dyDescent="0.25"/>
    <row r="1433" s="6" customFormat="1" x14ac:dyDescent="0.25"/>
    <row r="1434" s="6" customFormat="1" x14ac:dyDescent="0.25"/>
    <row r="1435" s="6" customFormat="1" x14ac:dyDescent="0.25"/>
    <row r="1436" s="6" customFormat="1" x14ac:dyDescent="0.25"/>
    <row r="1437" s="6" customFormat="1" x14ac:dyDescent="0.25"/>
    <row r="1438" s="6" customFormat="1" x14ac:dyDescent="0.25"/>
    <row r="1439" s="6" customFormat="1" x14ac:dyDescent="0.25"/>
    <row r="1440" s="6" customFormat="1" x14ac:dyDescent="0.25"/>
    <row r="1441" s="6" customFormat="1" x14ac:dyDescent="0.25"/>
    <row r="1442" s="6" customFormat="1" x14ac:dyDescent="0.25"/>
    <row r="1443" s="6" customFormat="1" x14ac:dyDescent="0.25"/>
    <row r="1444" s="6" customFormat="1" x14ac:dyDescent="0.25"/>
    <row r="1445" s="6" customFormat="1" x14ac:dyDescent="0.25"/>
    <row r="1446" s="6" customFormat="1" x14ac:dyDescent="0.25"/>
    <row r="1447" s="6" customFormat="1" x14ac:dyDescent="0.25"/>
    <row r="1448" s="6" customFormat="1" x14ac:dyDescent="0.25"/>
    <row r="1449" s="6" customFormat="1" x14ac:dyDescent="0.25"/>
    <row r="1450" s="6" customFormat="1" x14ac:dyDescent="0.25"/>
    <row r="1451" s="6" customFormat="1" x14ac:dyDescent="0.25"/>
    <row r="1452" s="6" customFormat="1" x14ac:dyDescent="0.25"/>
    <row r="1453" s="6" customFormat="1" x14ac:dyDescent="0.25"/>
    <row r="1454" s="6" customFormat="1" x14ac:dyDescent="0.25"/>
    <row r="1455" s="6" customFormat="1" x14ac:dyDescent="0.25"/>
    <row r="1456" s="6" customFormat="1" x14ac:dyDescent="0.25"/>
    <row r="1457" s="6" customFormat="1" x14ac:dyDescent="0.25"/>
    <row r="1458" s="6" customFormat="1" x14ac:dyDescent="0.25"/>
    <row r="1459" s="6" customFormat="1" x14ac:dyDescent="0.25"/>
    <row r="1460" s="6" customFormat="1" x14ac:dyDescent="0.25"/>
    <row r="1461" s="6" customFormat="1" x14ac:dyDescent="0.25"/>
    <row r="1462" s="6" customFormat="1" x14ac:dyDescent="0.25"/>
    <row r="1463" s="6" customFormat="1" x14ac:dyDescent="0.25"/>
    <row r="1464" s="6" customFormat="1" x14ac:dyDescent="0.25"/>
    <row r="1465" s="6" customFormat="1" x14ac:dyDescent="0.25"/>
    <row r="1466" s="6" customFormat="1" x14ac:dyDescent="0.25"/>
    <row r="1467" s="6" customFormat="1" x14ac:dyDescent="0.25"/>
    <row r="1468" s="6" customFormat="1" x14ac:dyDescent="0.25"/>
    <row r="1469" s="6" customFormat="1" x14ac:dyDescent="0.25"/>
    <row r="1470" s="6" customFormat="1" x14ac:dyDescent="0.25"/>
    <row r="1471" s="6" customFormat="1" x14ac:dyDescent="0.25"/>
    <row r="1472" s="6" customFormat="1" x14ac:dyDescent="0.25"/>
    <row r="1473" s="6" customFormat="1" x14ac:dyDescent="0.25"/>
    <row r="1474" s="6" customFormat="1" x14ac:dyDescent="0.25"/>
    <row r="1475" s="6" customFormat="1" x14ac:dyDescent="0.25"/>
    <row r="1476" s="6" customFormat="1" x14ac:dyDescent="0.25"/>
    <row r="1477" s="6" customFormat="1" x14ac:dyDescent="0.25"/>
    <row r="1478" s="6" customFormat="1" x14ac:dyDescent="0.25"/>
    <row r="1479" s="6" customFormat="1" x14ac:dyDescent="0.25"/>
    <row r="1480" s="6" customFormat="1" x14ac:dyDescent="0.25"/>
    <row r="1481" s="6" customFormat="1" x14ac:dyDescent="0.25"/>
    <row r="1482" s="6" customFormat="1" x14ac:dyDescent="0.25"/>
    <row r="1483" s="6" customFormat="1" x14ac:dyDescent="0.25"/>
    <row r="1484" s="6" customFormat="1" x14ac:dyDescent="0.25"/>
    <row r="1485" s="6" customFormat="1" x14ac:dyDescent="0.25"/>
    <row r="1486" s="6" customFormat="1" x14ac:dyDescent="0.25"/>
    <row r="1487" s="6" customFormat="1" x14ac:dyDescent="0.25"/>
    <row r="1488" s="6" customFormat="1" x14ac:dyDescent="0.25"/>
    <row r="1489" s="6" customFormat="1" x14ac:dyDescent="0.25"/>
    <row r="1490" s="6" customFormat="1" x14ac:dyDescent="0.25"/>
    <row r="1491" s="6" customFormat="1" x14ac:dyDescent="0.25"/>
    <row r="1492" s="6" customFormat="1" x14ac:dyDescent="0.25"/>
    <row r="1493" s="6" customFormat="1" x14ac:dyDescent="0.25"/>
    <row r="1494" s="6" customFormat="1" x14ac:dyDescent="0.25"/>
    <row r="1495" s="6" customFormat="1" x14ac:dyDescent="0.25"/>
    <row r="1496" s="6" customFormat="1" x14ac:dyDescent="0.25"/>
    <row r="1497" s="6" customFormat="1" x14ac:dyDescent="0.25"/>
    <row r="1498" s="6" customFormat="1" x14ac:dyDescent="0.25"/>
    <row r="1499" s="6" customFormat="1" x14ac:dyDescent="0.25"/>
    <row r="1500" s="6" customFormat="1" x14ac:dyDescent="0.25"/>
    <row r="1501" s="6" customFormat="1" x14ac:dyDescent="0.25"/>
    <row r="1502" s="6" customFormat="1" x14ac:dyDescent="0.25"/>
    <row r="1503" s="6" customFormat="1" x14ac:dyDescent="0.25"/>
    <row r="1504" s="6" customFormat="1" x14ac:dyDescent="0.25"/>
    <row r="1505" s="6" customFormat="1" x14ac:dyDescent="0.25"/>
    <row r="1506" s="6" customFormat="1" x14ac:dyDescent="0.25"/>
    <row r="1507" s="6" customFormat="1" x14ac:dyDescent="0.25"/>
    <row r="1508" s="6" customFormat="1" x14ac:dyDescent="0.25"/>
    <row r="1509" s="6" customFormat="1" x14ac:dyDescent="0.25"/>
    <row r="1510" s="6" customFormat="1" x14ac:dyDescent="0.25"/>
    <row r="1511" s="6" customFormat="1" x14ac:dyDescent="0.25"/>
    <row r="1512" s="6" customFormat="1" x14ac:dyDescent="0.25"/>
    <row r="1513" s="6" customFormat="1" x14ac:dyDescent="0.25"/>
    <row r="1514" s="6" customFormat="1" x14ac:dyDescent="0.25"/>
    <row r="1515" s="6" customFormat="1" x14ac:dyDescent="0.25"/>
    <row r="1516" s="6" customFormat="1" x14ac:dyDescent="0.25"/>
    <row r="1517" s="6" customFormat="1" x14ac:dyDescent="0.25"/>
    <row r="1518" s="6" customFormat="1" x14ac:dyDescent="0.25"/>
    <row r="1519" s="6" customFormat="1" x14ac:dyDescent="0.25"/>
    <row r="1520" s="6" customFormat="1" x14ac:dyDescent="0.25"/>
    <row r="1521" s="6" customFormat="1" x14ac:dyDescent="0.25"/>
    <row r="1522" s="6" customFormat="1" x14ac:dyDescent="0.25"/>
    <row r="1523" s="6" customFormat="1" x14ac:dyDescent="0.25"/>
    <row r="1524" s="6" customFormat="1" x14ac:dyDescent="0.25"/>
    <row r="1525" s="6" customFormat="1" x14ac:dyDescent="0.25"/>
    <row r="1526" s="6" customFormat="1" x14ac:dyDescent="0.25"/>
    <row r="1527" s="6" customFormat="1" x14ac:dyDescent="0.25"/>
    <row r="1528" s="6" customFormat="1" x14ac:dyDescent="0.25"/>
    <row r="1529" s="6" customFormat="1" x14ac:dyDescent="0.25"/>
    <row r="1530" s="6" customFormat="1" x14ac:dyDescent="0.25"/>
    <row r="1531" s="6" customFormat="1" x14ac:dyDescent="0.25"/>
    <row r="1532" s="6" customFormat="1" x14ac:dyDescent="0.25"/>
    <row r="1533" s="6" customFormat="1" x14ac:dyDescent="0.25"/>
    <row r="1534" s="6" customFormat="1" x14ac:dyDescent="0.25"/>
    <row r="1535" s="6" customFormat="1" x14ac:dyDescent="0.25"/>
    <row r="1536" s="6" customFormat="1" x14ac:dyDescent="0.25"/>
    <row r="1537" s="6" customFormat="1" x14ac:dyDescent="0.25"/>
    <row r="1538" s="6" customFormat="1" x14ac:dyDescent="0.25"/>
    <row r="1539" s="6" customFormat="1" x14ac:dyDescent="0.25"/>
    <row r="1540" s="6" customFormat="1" x14ac:dyDescent="0.25"/>
    <row r="1541" s="6" customFormat="1" x14ac:dyDescent="0.25"/>
    <row r="1542" s="6" customFormat="1" x14ac:dyDescent="0.25"/>
    <row r="1543" s="6" customFormat="1" x14ac:dyDescent="0.25"/>
    <row r="1544" s="6" customFormat="1" x14ac:dyDescent="0.25"/>
    <row r="1545" s="6" customFormat="1" x14ac:dyDescent="0.25"/>
    <row r="1546" s="6" customFormat="1" x14ac:dyDescent="0.25"/>
    <row r="1547" s="6" customFormat="1" x14ac:dyDescent="0.25"/>
    <row r="1548" s="6" customFormat="1" x14ac:dyDescent="0.25"/>
    <row r="1549" s="6" customFormat="1" x14ac:dyDescent="0.25"/>
    <row r="1550" s="6" customFormat="1" x14ac:dyDescent="0.25"/>
    <row r="1551" s="6" customFormat="1" x14ac:dyDescent="0.25"/>
    <row r="1552" s="6" customFormat="1" x14ac:dyDescent="0.25"/>
    <row r="1553" s="6" customFormat="1" x14ac:dyDescent="0.25"/>
    <row r="1554" s="6" customFormat="1" x14ac:dyDescent="0.25"/>
    <row r="1555" s="6" customFormat="1" x14ac:dyDescent="0.25"/>
    <row r="1556" s="6" customFormat="1" x14ac:dyDescent="0.25"/>
    <row r="1557" s="6" customFormat="1" x14ac:dyDescent="0.25"/>
    <row r="1558" s="6" customFormat="1" x14ac:dyDescent="0.25"/>
    <row r="1559" s="6" customFormat="1" x14ac:dyDescent="0.25"/>
    <row r="1560" s="6" customFormat="1" x14ac:dyDescent="0.25"/>
    <row r="1561" s="6" customFormat="1" x14ac:dyDescent="0.25"/>
    <row r="1562" s="6" customFormat="1" x14ac:dyDescent="0.25"/>
    <row r="1563" s="6" customFormat="1" x14ac:dyDescent="0.25"/>
    <row r="1564" s="6" customFormat="1" x14ac:dyDescent="0.25"/>
    <row r="1565" s="6" customFormat="1" x14ac:dyDescent="0.25"/>
    <row r="1566" s="6" customFormat="1" x14ac:dyDescent="0.25"/>
    <row r="1567" s="6" customFormat="1" x14ac:dyDescent="0.25"/>
    <row r="1568" s="6" customFormat="1" x14ac:dyDescent="0.25"/>
    <row r="1569" s="6" customFormat="1" x14ac:dyDescent="0.25"/>
    <row r="1570" s="6" customFormat="1" x14ac:dyDescent="0.25"/>
    <row r="1571" s="6" customFormat="1" x14ac:dyDescent="0.25"/>
    <row r="1572" s="6" customFormat="1" x14ac:dyDescent="0.25"/>
    <row r="1573" s="6" customFormat="1" x14ac:dyDescent="0.25"/>
    <row r="1574" s="6" customFormat="1" x14ac:dyDescent="0.25"/>
    <row r="1575" s="6" customFormat="1" x14ac:dyDescent="0.25"/>
    <row r="1576" s="6" customFormat="1" x14ac:dyDescent="0.25"/>
    <row r="1577" s="6" customFormat="1" x14ac:dyDescent="0.25"/>
    <row r="1578" s="6" customFormat="1" x14ac:dyDescent="0.25"/>
    <row r="1579" s="6" customFormat="1" x14ac:dyDescent="0.25"/>
    <row r="1580" s="6" customFormat="1" x14ac:dyDescent="0.25"/>
    <row r="1581" s="6" customFormat="1" x14ac:dyDescent="0.25"/>
    <row r="1582" s="6" customFormat="1" x14ac:dyDescent="0.25"/>
    <row r="1583" s="6" customFormat="1" x14ac:dyDescent="0.25"/>
    <row r="1584" s="6" customFormat="1" x14ac:dyDescent="0.25"/>
    <row r="1585" s="6" customFormat="1" x14ac:dyDescent="0.25"/>
    <row r="1586" s="6" customFormat="1" x14ac:dyDescent="0.25"/>
    <row r="1587" s="6" customFormat="1" x14ac:dyDescent="0.25"/>
    <row r="1588" s="6" customFormat="1" x14ac:dyDescent="0.25"/>
    <row r="1589" s="6" customFormat="1" x14ac:dyDescent="0.25"/>
    <row r="1590" s="6" customFormat="1" x14ac:dyDescent="0.25"/>
    <row r="1591" s="6" customFormat="1" x14ac:dyDescent="0.25"/>
    <row r="1592" s="6" customFormat="1" x14ac:dyDescent="0.25"/>
    <row r="1593" s="6" customFormat="1" x14ac:dyDescent="0.25"/>
    <row r="1594" s="6" customFormat="1" x14ac:dyDescent="0.25"/>
    <row r="1595" s="6" customFormat="1" x14ac:dyDescent="0.25"/>
    <row r="1596" s="6" customFormat="1" x14ac:dyDescent="0.25"/>
    <row r="1597" s="6" customFormat="1" x14ac:dyDescent="0.25"/>
    <row r="1598" s="6" customFormat="1" x14ac:dyDescent="0.25"/>
    <row r="1599" s="6" customFormat="1" x14ac:dyDescent="0.25"/>
    <row r="1600" s="6" customFormat="1" x14ac:dyDescent="0.25"/>
    <row r="1601" s="6" customFormat="1" x14ac:dyDescent="0.25"/>
    <row r="1602" s="6" customFormat="1" x14ac:dyDescent="0.25"/>
    <row r="1603" s="6" customFormat="1" x14ac:dyDescent="0.25"/>
    <row r="1604" s="6" customFormat="1" x14ac:dyDescent="0.25"/>
    <row r="1605" s="6" customFormat="1" x14ac:dyDescent="0.25"/>
    <row r="1606" s="6" customFormat="1" x14ac:dyDescent="0.25"/>
    <row r="1607" s="6" customFormat="1" x14ac:dyDescent="0.25"/>
    <row r="1608" s="6" customFormat="1" x14ac:dyDescent="0.25"/>
    <row r="1609" s="6" customFormat="1" x14ac:dyDescent="0.25"/>
    <row r="1610" s="6" customFormat="1" x14ac:dyDescent="0.25"/>
    <row r="1611" s="6" customFormat="1" x14ac:dyDescent="0.25"/>
    <row r="1612" s="6" customFormat="1" x14ac:dyDescent="0.25"/>
    <row r="1613" s="6" customFormat="1" x14ac:dyDescent="0.25"/>
    <row r="1614" s="6" customFormat="1" x14ac:dyDescent="0.25"/>
    <row r="1615" s="6" customFormat="1" x14ac:dyDescent="0.25"/>
    <row r="1616" s="6" customFormat="1" x14ac:dyDescent="0.25"/>
    <row r="1617" s="6" customFormat="1" x14ac:dyDescent="0.25"/>
    <row r="1618" s="6" customFormat="1" x14ac:dyDescent="0.25"/>
    <row r="1619" s="6" customFormat="1" x14ac:dyDescent="0.25"/>
    <row r="1620" s="6" customFormat="1" x14ac:dyDescent="0.25"/>
    <row r="1621" s="6" customFormat="1" x14ac:dyDescent="0.25"/>
    <row r="1622" s="6" customFormat="1" x14ac:dyDescent="0.25"/>
    <row r="1623" s="6" customFormat="1" x14ac:dyDescent="0.25"/>
    <row r="1624" s="6" customFormat="1" x14ac:dyDescent="0.25"/>
    <row r="1625" s="6" customFormat="1" x14ac:dyDescent="0.25"/>
    <row r="1626" s="6" customFormat="1" x14ac:dyDescent="0.25"/>
    <row r="1627" s="6" customFormat="1" x14ac:dyDescent="0.25"/>
    <row r="1628" s="6" customFormat="1" x14ac:dyDescent="0.25"/>
    <row r="1629" s="6" customFormat="1" x14ac:dyDescent="0.25"/>
    <row r="1630" s="6" customFormat="1" x14ac:dyDescent="0.25"/>
    <row r="1631" s="6" customFormat="1" x14ac:dyDescent="0.25"/>
    <row r="1632" s="6" customFormat="1" x14ac:dyDescent="0.25"/>
    <row r="1633" s="6" customFormat="1" x14ac:dyDescent="0.25"/>
    <row r="1634" s="6" customFormat="1" x14ac:dyDescent="0.25"/>
    <row r="1635" s="6" customFormat="1" x14ac:dyDescent="0.25"/>
    <row r="1636" s="6" customFormat="1" x14ac:dyDescent="0.25"/>
    <row r="1637" s="6" customFormat="1" x14ac:dyDescent="0.25"/>
    <row r="1638" s="6" customFormat="1" x14ac:dyDescent="0.25"/>
    <row r="1639" s="6" customFormat="1" x14ac:dyDescent="0.25"/>
    <row r="1640" s="6" customFormat="1" x14ac:dyDescent="0.25"/>
    <row r="1641" s="6" customFormat="1" x14ac:dyDescent="0.25"/>
    <row r="1642" s="6" customFormat="1" x14ac:dyDescent="0.25"/>
    <row r="1643" s="6" customFormat="1" x14ac:dyDescent="0.25"/>
    <row r="1644" s="6" customFormat="1" x14ac:dyDescent="0.25"/>
    <row r="1645" s="6" customFormat="1" x14ac:dyDescent="0.25"/>
    <row r="1646" s="6" customFormat="1" x14ac:dyDescent="0.25"/>
    <row r="1647" s="6" customFormat="1" x14ac:dyDescent="0.25"/>
    <row r="1648" s="6" customFormat="1" x14ac:dyDescent="0.25"/>
    <row r="1649" s="6" customFormat="1" x14ac:dyDescent="0.25"/>
    <row r="1650" s="6" customFormat="1" x14ac:dyDescent="0.25"/>
    <row r="1651" s="6" customFormat="1" x14ac:dyDescent="0.25"/>
    <row r="1652" s="6" customFormat="1" x14ac:dyDescent="0.25"/>
    <row r="1653" s="6" customFormat="1" x14ac:dyDescent="0.25"/>
    <row r="1654" s="6" customFormat="1" x14ac:dyDescent="0.25"/>
    <row r="1655" s="6" customFormat="1" x14ac:dyDescent="0.25"/>
    <row r="1656" s="6" customFormat="1" x14ac:dyDescent="0.25"/>
    <row r="1657" s="6" customFormat="1" x14ac:dyDescent="0.25"/>
    <row r="1658" s="6" customFormat="1" x14ac:dyDescent="0.25"/>
    <row r="1659" s="6" customFormat="1" x14ac:dyDescent="0.25"/>
    <row r="1660" s="6" customFormat="1" x14ac:dyDescent="0.25"/>
    <row r="1661" s="6" customFormat="1" x14ac:dyDescent="0.25"/>
    <row r="1662" s="6" customFormat="1" x14ac:dyDescent="0.25"/>
    <row r="1663" s="6" customFormat="1" x14ac:dyDescent="0.25"/>
    <row r="1664" s="6" customFormat="1" x14ac:dyDescent="0.25"/>
    <row r="1665" s="6" customFormat="1" x14ac:dyDescent="0.25"/>
    <row r="1666" s="6" customFormat="1" x14ac:dyDescent="0.25"/>
    <row r="1667" s="6" customFormat="1" x14ac:dyDescent="0.25"/>
    <row r="1668" s="6" customFormat="1" x14ac:dyDescent="0.25"/>
    <row r="1669" s="6" customFormat="1" x14ac:dyDescent="0.25"/>
    <row r="1670" s="6" customFormat="1" x14ac:dyDescent="0.25"/>
    <row r="1671" s="6" customFormat="1" x14ac:dyDescent="0.25"/>
    <row r="1672" s="6" customFormat="1" x14ac:dyDescent="0.25"/>
    <row r="1673" s="6" customFormat="1" x14ac:dyDescent="0.25"/>
    <row r="1674" s="6" customFormat="1" x14ac:dyDescent="0.25"/>
    <row r="1675" s="6" customFormat="1" x14ac:dyDescent="0.25"/>
    <row r="1676" s="6" customFormat="1" x14ac:dyDescent="0.25"/>
    <row r="1677" s="6" customFormat="1" x14ac:dyDescent="0.25"/>
    <row r="1678" s="6" customFormat="1" x14ac:dyDescent="0.25"/>
    <row r="1679" s="6" customFormat="1" x14ac:dyDescent="0.25"/>
    <row r="1680" s="6" customFormat="1" x14ac:dyDescent="0.25"/>
    <row r="1681" s="6" customFormat="1" x14ac:dyDescent="0.25"/>
    <row r="1682" s="6" customFormat="1" x14ac:dyDescent="0.25"/>
    <row r="1683" s="6" customFormat="1" x14ac:dyDescent="0.25"/>
    <row r="1684" s="6" customFormat="1" x14ac:dyDescent="0.25"/>
    <row r="1685" s="6" customFormat="1" x14ac:dyDescent="0.25"/>
    <row r="1686" s="6" customFormat="1" x14ac:dyDescent="0.25"/>
    <row r="1687" s="6" customFormat="1" x14ac:dyDescent="0.25"/>
    <row r="1688" s="6" customFormat="1" x14ac:dyDescent="0.25"/>
    <row r="1689" s="6" customFormat="1" x14ac:dyDescent="0.25"/>
    <row r="1690" s="6" customFormat="1" x14ac:dyDescent="0.25"/>
    <row r="1691" s="6" customFormat="1" x14ac:dyDescent="0.25"/>
    <row r="1692" s="6" customFormat="1" x14ac:dyDescent="0.25"/>
    <row r="1693" s="6" customFormat="1" x14ac:dyDescent="0.25"/>
    <row r="1694" s="6" customFormat="1" x14ac:dyDescent="0.25"/>
    <row r="1695" s="6" customFormat="1" x14ac:dyDescent="0.25"/>
    <row r="1696" s="6" customFormat="1" x14ac:dyDescent="0.25"/>
    <row r="1697" s="6" customFormat="1" x14ac:dyDescent="0.25"/>
    <row r="1698" s="6" customFormat="1" x14ac:dyDescent="0.25"/>
    <row r="1699" s="6" customFormat="1" x14ac:dyDescent="0.25"/>
    <row r="1700" s="6" customFormat="1" x14ac:dyDescent="0.25"/>
    <row r="1701" s="6" customFormat="1" x14ac:dyDescent="0.25"/>
    <row r="1702" s="6" customFormat="1" x14ac:dyDescent="0.25"/>
    <row r="1703" s="6" customFormat="1" x14ac:dyDescent="0.25"/>
    <row r="1704" s="6" customFormat="1" x14ac:dyDescent="0.25"/>
    <row r="1705" s="6" customFormat="1" x14ac:dyDescent="0.25"/>
    <row r="1706" s="6" customFormat="1" x14ac:dyDescent="0.25"/>
    <row r="1707" s="6" customFormat="1" x14ac:dyDescent="0.25"/>
    <row r="1708" s="6" customFormat="1" x14ac:dyDescent="0.25"/>
    <row r="1709" s="6" customFormat="1" x14ac:dyDescent="0.25"/>
    <row r="1710" s="6" customFormat="1" x14ac:dyDescent="0.25"/>
    <row r="1711" s="6" customFormat="1" x14ac:dyDescent="0.25"/>
    <row r="1712" s="6" customFormat="1" x14ac:dyDescent="0.25"/>
    <row r="1713" s="6" customFormat="1" x14ac:dyDescent="0.25"/>
    <row r="1714" s="6" customFormat="1" x14ac:dyDescent="0.25"/>
    <row r="1715" s="6" customFormat="1" x14ac:dyDescent="0.25"/>
    <row r="1716" s="6" customFormat="1" x14ac:dyDescent="0.25"/>
    <row r="1717" s="6" customFormat="1" x14ac:dyDescent="0.25"/>
    <row r="1718" s="6" customFormat="1" x14ac:dyDescent="0.25"/>
    <row r="1719" s="6" customFormat="1" x14ac:dyDescent="0.25"/>
    <row r="1720" s="6" customFormat="1" x14ac:dyDescent="0.25"/>
    <row r="1721" s="6" customFormat="1" x14ac:dyDescent="0.25"/>
    <row r="1722" s="6" customFormat="1" x14ac:dyDescent="0.25"/>
    <row r="1723" s="6" customFormat="1" x14ac:dyDescent="0.25"/>
    <row r="1724" s="6" customFormat="1" x14ac:dyDescent="0.25"/>
    <row r="1725" s="6" customFormat="1" x14ac:dyDescent="0.25"/>
    <row r="1726" s="6" customFormat="1" x14ac:dyDescent="0.25"/>
    <row r="1727" s="6" customFormat="1" x14ac:dyDescent="0.25"/>
    <row r="1728" s="6" customFormat="1" x14ac:dyDescent="0.25"/>
    <row r="1729" s="6" customFormat="1" x14ac:dyDescent="0.25"/>
    <row r="1730" s="6" customFormat="1" x14ac:dyDescent="0.25"/>
    <row r="1731" s="6" customFormat="1" x14ac:dyDescent="0.25"/>
    <row r="1732" s="6" customFormat="1" x14ac:dyDescent="0.25"/>
    <row r="1733" s="6" customFormat="1" x14ac:dyDescent="0.25"/>
    <row r="1734" s="6" customFormat="1" x14ac:dyDescent="0.25"/>
    <row r="1735" s="6" customFormat="1" x14ac:dyDescent="0.25"/>
    <row r="1736" s="6" customFormat="1" x14ac:dyDescent="0.25"/>
    <row r="1737" s="6" customFormat="1" x14ac:dyDescent="0.25"/>
    <row r="1738" s="6" customFormat="1" x14ac:dyDescent="0.25"/>
    <row r="1739" s="6" customFormat="1" x14ac:dyDescent="0.25"/>
    <row r="1740" s="6" customFormat="1" x14ac:dyDescent="0.25"/>
    <row r="1741" s="6" customFormat="1" x14ac:dyDescent="0.25"/>
    <row r="1742" s="6" customFormat="1" x14ac:dyDescent="0.25"/>
    <row r="1743" s="6" customFormat="1" x14ac:dyDescent="0.25"/>
    <row r="1744" s="6" customFormat="1" x14ac:dyDescent="0.25"/>
    <row r="1745" s="6" customFormat="1" x14ac:dyDescent="0.25"/>
    <row r="1746" s="6" customFormat="1" x14ac:dyDescent="0.25"/>
    <row r="1747" s="6" customFormat="1" x14ac:dyDescent="0.25"/>
    <row r="1748" s="6" customFormat="1" x14ac:dyDescent="0.25"/>
    <row r="1749" s="6" customFormat="1" x14ac:dyDescent="0.25"/>
    <row r="1750" s="6" customFormat="1" x14ac:dyDescent="0.25"/>
    <row r="1751" s="6" customFormat="1" x14ac:dyDescent="0.25"/>
    <row r="1752" s="6" customFormat="1" x14ac:dyDescent="0.25"/>
    <row r="1753" s="6" customFormat="1" x14ac:dyDescent="0.25"/>
    <row r="1754" s="6" customFormat="1" x14ac:dyDescent="0.25"/>
    <row r="1755" s="6" customFormat="1" x14ac:dyDescent="0.25"/>
    <row r="1756" s="6" customFormat="1" x14ac:dyDescent="0.25"/>
    <row r="1757" s="6" customFormat="1" x14ac:dyDescent="0.25"/>
    <row r="1758" s="6" customFormat="1" x14ac:dyDescent="0.25"/>
    <row r="1759" s="6" customFormat="1" x14ac:dyDescent="0.25"/>
    <row r="1760" s="6" customFormat="1" x14ac:dyDescent="0.25"/>
    <row r="1761" s="6" customFormat="1" x14ac:dyDescent="0.25"/>
    <row r="1762" s="6" customFormat="1" x14ac:dyDescent="0.25"/>
    <row r="1763" s="6" customFormat="1" x14ac:dyDescent="0.25"/>
    <row r="1764" s="6" customFormat="1" x14ac:dyDescent="0.25"/>
    <row r="1765" s="6" customFormat="1" x14ac:dyDescent="0.25"/>
    <row r="1766" s="6" customFormat="1" x14ac:dyDescent="0.25"/>
    <row r="1767" s="6" customFormat="1" x14ac:dyDescent="0.25"/>
    <row r="1768" s="6" customFormat="1" x14ac:dyDescent="0.25"/>
    <row r="1769" s="6" customFormat="1" x14ac:dyDescent="0.25"/>
    <row r="1770" s="6" customFormat="1" x14ac:dyDescent="0.25"/>
    <row r="1771" s="6" customFormat="1" x14ac:dyDescent="0.25"/>
    <row r="1772" s="6" customFormat="1" x14ac:dyDescent="0.25"/>
    <row r="1773" s="6" customFormat="1" x14ac:dyDescent="0.25"/>
    <row r="1774" s="6" customFormat="1" x14ac:dyDescent="0.25"/>
    <row r="1775" s="6" customFormat="1" x14ac:dyDescent="0.25"/>
    <row r="1776" s="6" customFormat="1" x14ac:dyDescent="0.25"/>
    <row r="1777" s="6" customFormat="1" x14ac:dyDescent="0.25"/>
    <row r="1778" s="6" customFormat="1" x14ac:dyDescent="0.25"/>
    <row r="1779" s="6" customFormat="1" x14ac:dyDescent="0.25"/>
    <row r="1780" s="6" customFormat="1" x14ac:dyDescent="0.25"/>
    <row r="1781" s="6" customFormat="1" x14ac:dyDescent="0.25"/>
    <row r="1782" s="6" customFormat="1" x14ac:dyDescent="0.25"/>
    <row r="1783" s="6" customFormat="1" x14ac:dyDescent="0.25"/>
    <row r="1784" s="6" customFormat="1" x14ac:dyDescent="0.25"/>
    <row r="1785" s="6" customFormat="1" x14ac:dyDescent="0.25"/>
    <row r="1786" s="6" customFormat="1" x14ac:dyDescent="0.25"/>
    <row r="1787" s="6" customFormat="1" x14ac:dyDescent="0.25"/>
    <row r="1788" s="6" customFormat="1" x14ac:dyDescent="0.25"/>
    <row r="1789" s="6" customFormat="1" x14ac:dyDescent="0.25"/>
    <row r="1790" s="6" customFormat="1" x14ac:dyDescent="0.25"/>
    <row r="1791" s="6" customFormat="1" x14ac:dyDescent="0.25"/>
    <row r="1792" s="6" customFormat="1" x14ac:dyDescent="0.25"/>
    <row r="1793" s="6" customFormat="1" x14ac:dyDescent="0.25"/>
    <row r="1794" s="6" customFormat="1" x14ac:dyDescent="0.25"/>
    <row r="1795" s="6" customFormat="1" x14ac:dyDescent="0.25"/>
    <row r="1796" s="6" customFormat="1" x14ac:dyDescent="0.25"/>
    <row r="1797" s="6" customFormat="1" x14ac:dyDescent="0.25"/>
    <row r="1798" s="6" customFormat="1" x14ac:dyDescent="0.25"/>
    <row r="1799" s="6" customFormat="1" x14ac:dyDescent="0.25"/>
    <row r="1800" s="6" customFormat="1" x14ac:dyDescent="0.25"/>
    <row r="1801" s="6" customFormat="1" x14ac:dyDescent="0.25"/>
    <row r="1802" s="6" customFormat="1" x14ac:dyDescent="0.25"/>
    <row r="1803" s="6" customFormat="1" x14ac:dyDescent="0.25"/>
    <row r="1804" s="6" customFormat="1" x14ac:dyDescent="0.25"/>
    <row r="1805" s="6" customFormat="1" x14ac:dyDescent="0.25"/>
    <row r="1806" s="6" customFormat="1" x14ac:dyDescent="0.25"/>
    <row r="1807" s="6" customFormat="1" x14ac:dyDescent="0.25"/>
    <row r="1808" s="6" customFormat="1" x14ac:dyDescent="0.25"/>
    <row r="1809" s="6" customFormat="1" x14ac:dyDescent="0.25"/>
    <row r="1810" s="6" customFormat="1" x14ac:dyDescent="0.25"/>
    <row r="1811" s="6" customFormat="1" x14ac:dyDescent="0.25"/>
    <row r="1812" s="6" customFormat="1" x14ac:dyDescent="0.25"/>
    <row r="1813" s="6" customFormat="1" x14ac:dyDescent="0.25"/>
    <row r="1814" s="6" customFormat="1" x14ac:dyDescent="0.25"/>
    <row r="1815" s="6" customFormat="1" x14ac:dyDescent="0.25"/>
    <row r="1816" s="6" customFormat="1" x14ac:dyDescent="0.25"/>
    <row r="1817" s="6" customFormat="1" x14ac:dyDescent="0.25"/>
    <row r="1818" s="6" customFormat="1" x14ac:dyDescent="0.25"/>
    <row r="1819" s="6" customFormat="1" x14ac:dyDescent="0.25"/>
    <row r="1820" s="6" customFormat="1" x14ac:dyDescent="0.25"/>
    <row r="1821" s="6" customFormat="1" x14ac:dyDescent="0.25"/>
    <row r="1822" s="6" customFormat="1" x14ac:dyDescent="0.25"/>
    <row r="1823" s="6" customFormat="1" x14ac:dyDescent="0.25"/>
    <row r="1824" s="6" customFormat="1" x14ac:dyDescent="0.25"/>
    <row r="1825" s="6" customFormat="1" x14ac:dyDescent="0.25"/>
    <row r="1826" s="6" customFormat="1" x14ac:dyDescent="0.25"/>
    <row r="1827" s="6" customFormat="1" x14ac:dyDescent="0.25"/>
    <row r="1828" s="6" customFormat="1" x14ac:dyDescent="0.25"/>
    <row r="1829" s="6" customFormat="1" x14ac:dyDescent="0.25"/>
    <row r="1830" s="6" customFormat="1" x14ac:dyDescent="0.25"/>
    <row r="1831" s="6" customFormat="1" x14ac:dyDescent="0.25"/>
    <row r="1832" s="6" customFormat="1" x14ac:dyDescent="0.25"/>
    <row r="1833" s="6" customFormat="1" x14ac:dyDescent="0.25"/>
    <row r="1834" s="6" customFormat="1" x14ac:dyDescent="0.25"/>
    <row r="1835" s="6" customFormat="1" x14ac:dyDescent="0.25"/>
    <row r="1836" s="6" customFormat="1" x14ac:dyDescent="0.25"/>
    <row r="1837" s="6" customFormat="1" x14ac:dyDescent="0.25"/>
    <row r="1838" s="6" customFormat="1" x14ac:dyDescent="0.25"/>
    <row r="1839" s="6" customFormat="1" x14ac:dyDescent="0.25"/>
    <row r="1840" s="6" customFormat="1" x14ac:dyDescent="0.25"/>
    <row r="1841" s="6" customFormat="1" x14ac:dyDescent="0.25"/>
    <row r="1842" s="6" customFormat="1" x14ac:dyDescent="0.25"/>
    <row r="1843" s="6" customFormat="1" x14ac:dyDescent="0.25"/>
    <row r="1844" s="6" customFormat="1" x14ac:dyDescent="0.25"/>
    <row r="1845" s="6" customFormat="1" x14ac:dyDescent="0.25"/>
    <row r="1846" s="6" customFormat="1" x14ac:dyDescent="0.25"/>
    <row r="1847" s="6" customFormat="1" x14ac:dyDescent="0.25"/>
    <row r="1848" s="6" customFormat="1" x14ac:dyDescent="0.25"/>
    <row r="1849" s="6" customFormat="1" x14ac:dyDescent="0.25"/>
    <row r="1850" s="6" customFormat="1" x14ac:dyDescent="0.25"/>
    <row r="1851" s="6" customFormat="1" x14ac:dyDescent="0.25"/>
    <row r="1852" s="6" customFormat="1" x14ac:dyDescent="0.25"/>
    <row r="1853" s="6" customFormat="1" x14ac:dyDescent="0.25"/>
    <row r="1854" s="6" customFormat="1" x14ac:dyDescent="0.25"/>
    <row r="1855" s="6" customFormat="1" x14ac:dyDescent="0.25"/>
    <row r="1856" s="6" customFormat="1" x14ac:dyDescent="0.25"/>
    <row r="1857" s="6" customFormat="1" x14ac:dyDescent="0.25"/>
    <row r="1858" s="6" customFormat="1" x14ac:dyDescent="0.25"/>
    <row r="1859" s="6" customFormat="1" x14ac:dyDescent="0.25"/>
    <row r="1860" s="6" customFormat="1" x14ac:dyDescent="0.25"/>
    <row r="1861" s="6" customFormat="1" x14ac:dyDescent="0.25"/>
    <row r="1862" s="6" customFormat="1" x14ac:dyDescent="0.25"/>
    <row r="1863" s="6" customFormat="1" x14ac:dyDescent="0.25"/>
    <row r="1864" s="6" customFormat="1" x14ac:dyDescent="0.25"/>
    <row r="1865" s="6" customFormat="1" x14ac:dyDescent="0.25"/>
    <row r="1866" s="6" customFormat="1" x14ac:dyDescent="0.25"/>
    <row r="1867" s="6" customFormat="1" x14ac:dyDescent="0.25"/>
    <row r="1868" s="6" customFormat="1" x14ac:dyDescent="0.25"/>
    <row r="1869" s="6" customFormat="1" x14ac:dyDescent="0.25"/>
    <row r="1870" s="6" customFormat="1" x14ac:dyDescent="0.25"/>
    <row r="1871" s="6" customFormat="1" x14ac:dyDescent="0.25"/>
    <row r="1872" s="6" customFormat="1" x14ac:dyDescent="0.25"/>
    <row r="1873" s="6" customFormat="1" x14ac:dyDescent="0.25"/>
    <row r="1874" s="6" customFormat="1" x14ac:dyDescent="0.25"/>
    <row r="1875" s="6" customFormat="1" x14ac:dyDescent="0.25"/>
    <row r="1876" s="6" customFormat="1" x14ac:dyDescent="0.25"/>
    <row r="1877" s="6" customFormat="1" x14ac:dyDescent="0.25"/>
    <row r="1878" s="6" customFormat="1" x14ac:dyDescent="0.25"/>
    <row r="1879" s="6" customFormat="1" x14ac:dyDescent="0.25"/>
    <row r="1880" s="6" customFormat="1" x14ac:dyDescent="0.25"/>
    <row r="1881" s="6" customFormat="1" x14ac:dyDescent="0.25"/>
    <row r="1882" s="6" customFormat="1" x14ac:dyDescent="0.25"/>
    <row r="1883" s="6" customFormat="1" x14ac:dyDescent="0.25"/>
    <row r="1884" s="6" customFormat="1" x14ac:dyDescent="0.25"/>
    <row r="1885" s="6" customFormat="1" x14ac:dyDescent="0.25"/>
    <row r="1886" s="6" customFormat="1" x14ac:dyDescent="0.25"/>
    <row r="1887" s="6" customFormat="1" x14ac:dyDescent="0.25"/>
    <row r="1888" s="6" customFormat="1" x14ac:dyDescent="0.25"/>
    <row r="1889" s="6" customFormat="1" x14ac:dyDescent="0.25"/>
    <row r="1890" s="6" customFormat="1" x14ac:dyDescent="0.25"/>
    <row r="1891" s="6" customFormat="1" x14ac:dyDescent="0.25"/>
    <row r="1892" s="6" customFormat="1" x14ac:dyDescent="0.25"/>
    <row r="1893" s="6" customFormat="1" x14ac:dyDescent="0.25"/>
    <row r="1894" s="6" customFormat="1" x14ac:dyDescent="0.25"/>
    <row r="1895" s="6" customFormat="1" x14ac:dyDescent="0.25"/>
    <row r="1896" s="6" customFormat="1" x14ac:dyDescent="0.25"/>
    <row r="1897" s="6" customFormat="1" x14ac:dyDescent="0.25"/>
    <row r="1898" s="6" customFormat="1" x14ac:dyDescent="0.25"/>
    <row r="1899" s="6" customFormat="1" x14ac:dyDescent="0.25"/>
    <row r="1900" s="6" customFormat="1" x14ac:dyDescent="0.25"/>
    <row r="1901" s="6" customFormat="1" x14ac:dyDescent="0.25"/>
    <row r="1902" s="6" customFormat="1" x14ac:dyDescent="0.25"/>
    <row r="1903" s="6" customFormat="1" x14ac:dyDescent="0.25"/>
    <row r="1904" s="6" customFormat="1" x14ac:dyDescent="0.25"/>
    <row r="1905" s="6" customFormat="1" x14ac:dyDescent="0.25"/>
    <row r="1906" s="6" customFormat="1" x14ac:dyDescent="0.25"/>
    <row r="1907" s="6" customFormat="1" x14ac:dyDescent="0.25"/>
    <row r="1908" s="6" customFormat="1" x14ac:dyDescent="0.25"/>
    <row r="1909" s="6" customFormat="1" x14ac:dyDescent="0.25"/>
    <row r="1910" s="6" customFormat="1" x14ac:dyDescent="0.25"/>
    <row r="1911" s="6" customFormat="1" x14ac:dyDescent="0.25"/>
    <row r="1912" s="6" customFormat="1" x14ac:dyDescent="0.25"/>
    <row r="1913" s="6" customFormat="1" x14ac:dyDescent="0.25"/>
    <row r="1914" s="6" customFormat="1" x14ac:dyDescent="0.25"/>
    <row r="1915" s="6" customFormat="1" x14ac:dyDescent="0.25"/>
    <row r="1916" s="6" customFormat="1" x14ac:dyDescent="0.25"/>
    <row r="1917" s="6" customFormat="1" x14ac:dyDescent="0.25"/>
    <row r="1918" s="6" customFormat="1" x14ac:dyDescent="0.25"/>
    <row r="1919" s="6" customFormat="1" x14ac:dyDescent="0.25"/>
    <row r="1920" s="6" customFormat="1" x14ac:dyDescent="0.25"/>
    <row r="1921" s="6" customFormat="1" x14ac:dyDescent="0.25"/>
    <row r="1922" s="6" customFormat="1" x14ac:dyDescent="0.25"/>
    <row r="1923" s="6" customFormat="1" x14ac:dyDescent="0.25"/>
    <row r="1924" s="6" customFormat="1" x14ac:dyDescent="0.25"/>
    <row r="1925" s="6" customFormat="1" x14ac:dyDescent="0.25"/>
    <row r="1926" s="6" customFormat="1" x14ac:dyDescent="0.25"/>
    <row r="1927" s="6" customFormat="1" x14ac:dyDescent="0.25"/>
    <row r="1928" s="6" customFormat="1" x14ac:dyDescent="0.25"/>
    <row r="1929" s="6" customFormat="1" x14ac:dyDescent="0.25"/>
    <row r="1930" s="6" customFormat="1" x14ac:dyDescent="0.25"/>
    <row r="1931" s="6" customFormat="1" x14ac:dyDescent="0.25"/>
    <row r="1932" s="6" customFormat="1" x14ac:dyDescent="0.25"/>
    <row r="1933" s="6" customFormat="1" x14ac:dyDescent="0.25"/>
    <row r="1934" s="6" customFormat="1" x14ac:dyDescent="0.25"/>
    <row r="1935" s="6" customFormat="1" x14ac:dyDescent="0.25"/>
    <row r="1936" s="6" customFormat="1" x14ac:dyDescent="0.25"/>
    <row r="1937" s="6" customFormat="1" x14ac:dyDescent="0.25"/>
    <row r="1938" s="6" customFormat="1" x14ac:dyDescent="0.25"/>
    <row r="1939" s="6" customFormat="1" x14ac:dyDescent="0.25"/>
    <row r="1940" s="6" customFormat="1" x14ac:dyDescent="0.25"/>
    <row r="1941" s="6" customFormat="1" x14ac:dyDescent="0.25"/>
    <row r="1942" s="6" customFormat="1" x14ac:dyDescent="0.25"/>
    <row r="1943" s="6" customFormat="1" x14ac:dyDescent="0.25"/>
    <row r="1944" s="6" customFormat="1" x14ac:dyDescent="0.25"/>
    <row r="1945" s="6" customFormat="1" x14ac:dyDescent="0.25"/>
    <row r="1946" s="6" customFormat="1" x14ac:dyDescent="0.25"/>
    <row r="1947" s="6" customFormat="1" x14ac:dyDescent="0.25"/>
    <row r="1948" s="6" customFormat="1" x14ac:dyDescent="0.25"/>
    <row r="1949" s="6" customFormat="1" x14ac:dyDescent="0.25"/>
    <row r="1950" s="6" customFormat="1" x14ac:dyDescent="0.25"/>
    <row r="1951" s="6" customFormat="1" x14ac:dyDescent="0.25"/>
    <row r="1952" s="6" customFormat="1" x14ac:dyDescent="0.25"/>
    <row r="1953" s="6" customFormat="1" x14ac:dyDescent="0.25"/>
    <row r="1954" s="6" customFormat="1" x14ac:dyDescent="0.25"/>
    <row r="1955" s="6" customFormat="1" x14ac:dyDescent="0.25"/>
    <row r="1956" s="6" customFormat="1" x14ac:dyDescent="0.25"/>
    <row r="1957" s="6" customFormat="1" x14ac:dyDescent="0.25"/>
    <row r="1958" s="6" customFormat="1" x14ac:dyDescent="0.25"/>
    <row r="1959" s="6" customFormat="1" x14ac:dyDescent="0.25"/>
    <row r="1960" s="6" customFormat="1" x14ac:dyDescent="0.25"/>
    <row r="1961" s="6" customFormat="1" x14ac:dyDescent="0.25"/>
    <row r="1962" s="6" customFormat="1" x14ac:dyDescent="0.25"/>
    <row r="1963" s="6" customFormat="1" x14ac:dyDescent="0.25"/>
    <row r="1964" s="6" customFormat="1" x14ac:dyDescent="0.25"/>
    <row r="1965" s="6" customFormat="1" x14ac:dyDescent="0.25"/>
    <row r="1966" s="6" customFormat="1" x14ac:dyDescent="0.25"/>
    <row r="1967" s="6" customFormat="1" x14ac:dyDescent="0.25"/>
    <row r="1968" s="6" customFormat="1" x14ac:dyDescent="0.25"/>
    <row r="1969" s="6" customFormat="1" x14ac:dyDescent="0.25"/>
    <row r="1970" s="6" customFormat="1" x14ac:dyDescent="0.25"/>
    <row r="1971" s="6" customFormat="1" x14ac:dyDescent="0.25"/>
    <row r="1972" s="6" customFormat="1" x14ac:dyDescent="0.25"/>
    <row r="1973" s="6" customFormat="1" x14ac:dyDescent="0.25"/>
    <row r="1974" s="6" customFormat="1" x14ac:dyDescent="0.25"/>
    <row r="1975" s="6" customFormat="1" x14ac:dyDescent="0.25"/>
    <row r="1976" s="6" customFormat="1" x14ac:dyDescent="0.25"/>
    <row r="1977" s="6" customFormat="1" x14ac:dyDescent="0.25"/>
    <row r="1978" s="6" customFormat="1" x14ac:dyDescent="0.25"/>
    <row r="1979" s="6" customFormat="1" x14ac:dyDescent="0.25"/>
    <row r="1980" s="6" customFormat="1" x14ac:dyDescent="0.25"/>
    <row r="1981" s="6" customFormat="1" x14ac:dyDescent="0.25"/>
    <row r="1982" s="6" customFormat="1" x14ac:dyDescent="0.25"/>
    <row r="1983" s="6" customFormat="1" x14ac:dyDescent="0.25"/>
    <row r="1984" s="6" customFormat="1" x14ac:dyDescent="0.25"/>
    <row r="1985" s="6" customFormat="1" x14ac:dyDescent="0.25"/>
    <row r="1986" s="6" customFormat="1" x14ac:dyDescent="0.25"/>
    <row r="1987" s="6" customFormat="1" x14ac:dyDescent="0.25"/>
    <row r="1988" s="6" customFormat="1" x14ac:dyDescent="0.25"/>
    <row r="1989" s="6" customFormat="1" x14ac:dyDescent="0.25"/>
    <row r="1990" s="6" customFormat="1" x14ac:dyDescent="0.25"/>
    <row r="1991" s="6" customFormat="1" x14ac:dyDescent="0.25"/>
    <row r="1992" s="6" customFormat="1" x14ac:dyDescent="0.25"/>
    <row r="1993" s="6" customFormat="1" x14ac:dyDescent="0.25"/>
    <row r="1994" s="6" customFormat="1" x14ac:dyDescent="0.25"/>
    <row r="1995" s="6" customFormat="1" x14ac:dyDescent="0.25"/>
    <row r="1996" s="6" customFormat="1" x14ac:dyDescent="0.25"/>
    <row r="1997" s="6" customFormat="1" x14ac:dyDescent="0.25"/>
    <row r="1998" s="6" customFormat="1" x14ac:dyDescent="0.25"/>
    <row r="1999" s="6" customFormat="1" x14ac:dyDescent="0.25"/>
    <row r="2000" s="6" customFormat="1" x14ac:dyDescent="0.25"/>
    <row r="2001" s="6" customFormat="1" x14ac:dyDescent="0.25"/>
    <row r="2002" s="6" customFormat="1" x14ac:dyDescent="0.25"/>
    <row r="2003" s="6" customFormat="1" x14ac:dyDescent="0.25"/>
    <row r="2004" s="6" customFormat="1" x14ac:dyDescent="0.25"/>
    <row r="2005" s="6" customFormat="1" x14ac:dyDescent="0.25"/>
    <row r="2006" s="6" customFormat="1" x14ac:dyDescent="0.25"/>
    <row r="2007" s="6" customFormat="1" x14ac:dyDescent="0.25"/>
    <row r="2008" s="6" customFormat="1" x14ac:dyDescent="0.25"/>
    <row r="2009" s="6" customFormat="1" x14ac:dyDescent="0.25"/>
    <row r="2010" s="6" customFormat="1" x14ac:dyDescent="0.25"/>
    <row r="2011" s="6" customFormat="1" x14ac:dyDescent="0.25"/>
    <row r="2012" s="6" customFormat="1" x14ac:dyDescent="0.25"/>
    <row r="2013" s="6" customFormat="1" x14ac:dyDescent="0.25"/>
    <row r="2014" s="6" customFormat="1" x14ac:dyDescent="0.25"/>
    <row r="2015" s="6" customFormat="1" x14ac:dyDescent="0.25"/>
    <row r="2016" s="6" customFormat="1" x14ac:dyDescent="0.25"/>
    <row r="2017" s="6" customFormat="1" x14ac:dyDescent="0.25"/>
    <row r="2018" s="6" customFormat="1" x14ac:dyDescent="0.25"/>
    <row r="2019" s="6" customFormat="1" x14ac:dyDescent="0.25"/>
    <row r="2020" s="6" customFormat="1" x14ac:dyDescent="0.25"/>
    <row r="2021" s="6" customFormat="1" x14ac:dyDescent="0.25"/>
    <row r="2022" s="6" customFormat="1" x14ac:dyDescent="0.25"/>
    <row r="2023" s="6" customFormat="1" x14ac:dyDescent="0.25"/>
    <row r="2024" s="6" customFormat="1" x14ac:dyDescent="0.25"/>
    <row r="2025" s="6" customFormat="1" x14ac:dyDescent="0.25"/>
    <row r="2026" s="6" customFormat="1" x14ac:dyDescent="0.25"/>
    <row r="2027" s="6" customFormat="1" x14ac:dyDescent="0.25"/>
    <row r="2028" s="6" customFormat="1" x14ac:dyDescent="0.25"/>
    <row r="2029" s="6" customFormat="1" x14ac:dyDescent="0.25"/>
    <row r="2030" s="6" customFormat="1" x14ac:dyDescent="0.25"/>
    <row r="2031" s="6" customFormat="1" x14ac:dyDescent="0.25"/>
    <row r="2032" s="6" customFormat="1" x14ac:dyDescent="0.25"/>
    <row r="2033" s="6" customFormat="1" x14ac:dyDescent="0.25"/>
    <row r="2034" s="6" customFormat="1" x14ac:dyDescent="0.25"/>
    <row r="2035" s="6" customFormat="1" x14ac:dyDescent="0.25"/>
    <row r="2036" s="6" customFormat="1" x14ac:dyDescent="0.25"/>
    <row r="2037" s="6" customFormat="1" x14ac:dyDescent="0.25"/>
    <row r="2038" s="6" customFormat="1" x14ac:dyDescent="0.25"/>
    <row r="2039" s="6" customFormat="1" x14ac:dyDescent="0.25"/>
    <row r="2040" s="6" customFormat="1" x14ac:dyDescent="0.25"/>
    <row r="2041" s="6" customFormat="1" x14ac:dyDescent="0.25"/>
    <row r="2042" s="6" customFormat="1" x14ac:dyDescent="0.25"/>
    <row r="2043" s="6" customFormat="1" x14ac:dyDescent="0.25"/>
    <row r="2044" s="6" customFormat="1" x14ac:dyDescent="0.25"/>
    <row r="2045" s="6" customFormat="1" x14ac:dyDescent="0.25"/>
    <row r="2046" s="6" customFormat="1" x14ac:dyDescent="0.25"/>
    <row r="2047" s="6" customFormat="1" x14ac:dyDescent="0.25"/>
    <row r="2048" s="6" customFormat="1" x14ac:dyDescent="0.25"/>
    <row r="2049" s="6" customFormat="1" x14ac:dyDescent="0.25"/>
    <row r="2050" s="6" customFormat="1" x14ac:dyDescent="0.25"/>
    <row r="2051" s="6" customFormat="1" x14ac:dyDescent="0.25"/>
    <row r="2052" s="6" customFormat="1" x14ac:dyDescent="0.25"/>
    <row r="2053" s="6" customFormat="1" x14ac:dyDescent="0.25"/>
    <row r="2054" s="6" customFormat="1" x14ac:dyDescent="0.25"/>
    <row r="2055" s="6" customFormat="1" x14ac:dyDescent="0.25"/>
    <row r="2056" s="6" customFormat="1" x14ac:dyDescent="0.25"/>
    <row r="2057" s="6" customFormat="1" x14ac:dyDescent="0.25"/>
    <row r="2058" s="6" customFormat="1" x14ac:dyDescent="0.25"/>
    <row r="2059" s="6" customFormat="1" x14ac:dyDescent="0.25"/>
    <row r="2060" s="6" customFormat="1" x14ac:dyDescent="0.25"/>
    <row r="2061" s="6" customFormat="1" x14ac:dyDescent="0.25"/>
    <row r="2062" s="6" customFormat="1" x14ac:dyDescent="0.25"/>
    <row r="2063" s="6" customFormat="1" x14ac:dyDescent="0.25"/>
    <row r="2064" s="6" customFormat="1" x14ac:dyDescent="0.25"/>
    <row r="2065" s="6" customFormat="1" x14ac:dyDescent="0.25"/>
    <row r="2066" s="6" customFormat="1" x14ac:dyDescent="0.25"/>
    <row r="2067" s="6" customFormat="1" x14ac:dyDescent="0.25"/>
    <row r="2068" s="6" customFormat="1" x14ac:dyDescent="0.25"/>
    <row r="2069" s="6" customFormat="1" x14ac:dyDescent="0.25"/>
    <row r="2070" s="6" customFormat="1" x14ac:dyDescent="0.25"/>
    <row r="2071" s="6" customFormat="1" x14ac:dyDescent="0.25"/>
    <row r="2072" s="6" customFormat="1" x14ac:dyDescent="0.25"/>
    <row r="2073" s="6" customFormat="1" x14ac:dyDescent="0.25"/>
    <row r="2074" s="6" customFormat="1" x14ac:dyDescent="0.25"/>
    <row r="2075" s="6" customFormat="1" x14ac:dyDescent="0.25"/>
    <row r="2076" s="6" customFormat="1" x14ac:dyDescent="0.25"/>
    <row r="2077" s="6" customFormat="1" x14ac:dyDescent="0.25"/>
    <row r="2078" s="6" customFormat="1" x14ac:dyDescent="0.25"/>
    <row r="2079" s="6" customFormat="1" x14ac:dyDescent="0.25"/>
    <row r="2080" s="6" customFormat="1" x14ac:dyDescent="0.25"/>
    <row r="2081" s="6" customFormat="1" x14ac:dyDescent="0.25"/>
    <row r="2082" s="6" customFormat="1" x14ac:dyDescent="0.25"/>
    <row r="2083" s="6" customFormat="1" x14ac:dyDescent="0.25"/>
    <row r="2084" s="6" customFormat="1" x14ac:dyDescent="0.25"/>
    <row r="2085" s="6" customFormat="1" x14ac:dyDescent="0.25"/>
    <row r="2086" s="6" customFormat="1" x14ac:dyDescent="0.25"/>
    <row r="2087" s="6" customFormat="1" x14ac:dyDescent="0.25"/>
    <row r="2088" s="6" customFormat="1" x14ac:dyDescent="0.25"/>
    <row r="2089" s="6" customFormat="1" x14ac:dyDescent="0.25"/>
    <row r="2090" s="6" customFormat="1" x14ac:dyDescent="0.25"/>
    <row r="2091" s="6" customFormat="1" x14ac:dyDescent="0.25"/>
    <row r="2092" s="6" customFormat="1" x14ac:dyDescent="0.25"/>
    <row r="2093" s="6" customFormat="1" x14ac:dyDescent="0.25"/>
    <row r="2094" s="6" customFormat="1" x14ac:dyDescent="0.25"/>
    <row r="2095" s="6" customFormat="1" x14ac:dyDescent="0.25"/>
    <row r="2096" s="6" customFormat="1" x14ac:dyDescent="0.25"/>
    <row r="2097" s="6" customFormat="1" x14ac:dyDescent="0.25"/>
    <row r="2098" s="6" customFormat="1" x14ac:dyDescent="0.25"/>
    <row r="2099" s="6" customFormat="1" x14ac:dyDescent="0.25"/>
    <row r="2100" s="6" customFormat="1" x14ac:dyDescent="0.25"/>
    <row r="2101" s="6" customFormat="1" x14ac:dyDescent="0.25"/>
    <row r="2102" s="6" customFormat="1" x14ac:dyDescent="0.25"/>
    <row r="2103" s="6" customFormat="1" x14ac:dyDescent="0.25"/>
    <row r="2104" s="6" customFormat="1" x14ac:dyDescent="0.25"/>
    <row r="2105" s="6" customFormat="1" x14ac:dyDescent="0.25"/>
    <row r="2106" s="6" customFormat="1" x14ac:dyDescent="0.25"/>
    <row r="2107" s="6" customFormat="1" x14ac:dyDescent="0.25"/>
    <row r="2108" s="6" customFormat="1" x14ac:dyDescent="0.25"/>
    <row r="2109" s="6" customFormat="1" x14ac:dyDescent="0.25"/>
    <row r="2110" s="6" customFormat="1" x14ac:dyDescent="0.25"/>
    <row r="2111" s="6" customFormat="1" x14ac:dyDescent="0.25"/>
    <row r="2112" s="6" customFormat="1" x14ac:dyDescent="0.25"/>
    <row r="2113" s="6" customFormat="1" x14ac:dyDescent="0.25"/>
    <row r="2114" s="6" customFormat="1" x14ac:dyDescent="0.25"/>
    <row r="2115" s="6" customFormat="1" x14ac:dyDescent="0.25"/>
    <row r="2116" s="6" customFormat="1" x14ac:dyDescent="0.25"/>
    <row r="2117" s="6" customFormat="1" x14ac:dyDescent="0.25"/>
    <row r="2118" s="6" customFormat="1" x14ac:dyDescent="0.25"/>
    <row r="2119" s="6" customFormat="1" x14ac:dyDescent="0.25"/>
    <row r="2120" s="6" customFormat="1" x14ac:dyDescent="0.25"/>
    <row r="2121" s="6" customFormat="1" x14ac:dyDescent="0.25"/>
    <row r="2122" s="6" customFormat="1" x14ac:dyDescent="0.25"/>
    <row r="2123" s="6" customFormat="1" x14ac:dyDescent="0.25"/>
    <row r="2124" s="6" customFormat="1" x14ac:dyDescent="0.25"/>
    <row r="2125" s="6" customFormat="1" x14ac:dyDescent="0.25"/>
    <row r="2126" s="6" customFormat="1" x14ac:dyDescent="0.25"/>
    <row r="2127" s="6" customFormat="1" x14ac:dyDescent="0.25"/>
    <row r="2128" s="6" customFormat="1" x14ac:dyDescent="0.25"/>
    <row r="2129" s="6" customFormat="1" x14ac:dyDescent="0.25"/>
    <row r="2130" s="6" customFormat="1" x14ac:dyDescent="0.25"/>
    <row r="2131" s="6" customFormat="1" x14ac:dyDescent="0.25"/>
    <row r="2132" s="6" customFormat="1" x14ac:dyDescent="0.25"/>
    <row r="2133" s="6" customFormat="1" x14ac:dyDescent="0.25"/>
    <row r="2134" s="6" customFormat="1" x14ac:dyDescent="0.25"/>
    <row r="2135" s="6" customFormat="1" x14ac:dyDescent="0.25"/>
    <row r="2136" s="6" customFormat="1" x14ac:dyDescent="0.25"/>
    <row r="2137" s="6" customFormat="1" x14ac:dyDescent="0.25"/>
    <row r="2138" s="6" customFormat="1" x14ac:dyDescent="0.25"/>
    <row r="2139" s="6" customFormat="1" x14ac:dyDescent="0.25"/>
    <row r="2140" s="6" customFormat="1" x14ac:dyDescent="0.25"/>
    <row r="2141" s="6" customFormat="1" x14ac:dyDescent="0.25"/>
    <row r="2142" s="6" customFormat="1" x14ac:dyDescent="0.25"/>
    <row r="2143" s="6" customFormat="1" x14ac:dyDescent="0.25"/>
    <row r="2144" s="6" customFormat="1" x14ac:dyDescent="0.25"/>
    <row r="2145" s="6" customFormat="1" x14ac:dyDescent="0.25"/>
    <row r="2146" s="6" customFormat="1" x14ac:dyDescent="0.25"/>
    <row r="2147" s="6" customFormat="1" x14ac:dyDescent="0.25"/>
    <row r="2148" s="6" customFormat="1" x14ac:dyDescent="0.25"/>
    <row r="2149" s="6" customFormat="1" x14ac:dyDescent="0.25"/>
    <row r="2150" s="6" customFormat="1" x14ac:dyDescent="0.25"/>
    <row r="2151" s="6" customFormat="1" x14ac:dyDescent="0.25"/>
    <row r="2152" s="6" customFormat="1" x14ac:dyDescent="0.25"/>
    <row r="2153" s="6" customFormat="1" x14ac:dyDescent="0.25"/>
    <row r="2154" s="6" customFormat="1" x14ac:dyDescent="0.25"/>
    <row r="2155" s="6" customFormat="1" x14ac:dyDescent="0.25"/>
    <row r="2156" s="6" customFormat="1" x14ac:dyDescent="0.25"/>
    <row r="2157" s="6" customFormat="1" x14ac:dyDescent="0.25"/>
    <row r="2158" s="6" customFormat="1" x14ac:dyDescent="0.25"/>
    <row r="2159" s="6" customFormat="1" x14ac:dyDescent="0.25"/>
    <row r="2160" s="6" customFormat="1" x14ac:dyDescent="0.25"/>
  </sheetData>
  <autoFilter ref="A1:AQ569" xr:uid="{00000000-0009-0000-0000-000002000000}">
    <filterColumn colId="3">
      <filters>
        <dateGroupItem year="2025" month="7" day="2" dateTimeGrouping="day"/>
      </filters>
    </filterColumn>
    <filterColumn colId="36">
      <filters>
        <filter val="ARGO(TMS)"/>
        <filter val="GOVER"/>
        <filter val="LEMONTECH"/>
        <filter val="SABRE"/>
      </filters>
    </filterColumn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198</v>
      </c>
      <c r="B1" s="10" t="s">
        <v>1748</v>
      </c>
      <c r="C1" s="11" t="s">
        <v>237</v>
      </c>
      <c r="D1" s="11" t="s">
        <v>1749</v>
      </c>
      <c r="E1" s="11" t="s">
        <v>1750</v>
      </c>
      <c r="F1" s="11" t="s">
        <v>240</v>
      </c>
    </row>
    <row r="2" spans="1:6" x14ac:dyDescent="0.25">
      <c r="A2" t="s">
        <v>648</v>
      </c>
      <c r="B2">
        <v>15</v>
      </c>
      <c r="C2" t="s">
        <v>57</v>
      </c>
      <c r="D2" t="s">
        <v>1751</v>
      </c>
      <c r="E2" t="s">
        <v>1752</v>
      </c>
      <c r="F2" t="s">
        <v>1753</v>
      </c>
    </row>
    <row r="3" spans="1:6" x14ac:dyDescent="0.25">
      <c r="A3" t="s">
        <v>648</v>
      </c>
      <c r="B3">
        <v>1</v>
      </c>
      <c r="C3" t="s">
        <v>1754</v>
      </c>
      <c r="D3" t="s">
        <v>1755</v>
      </c>
      <c r="E3" t="s">
        <v>1756</v>
      </c>
      <c r="F3" t="s">
        <v>1753</v>
      </c>
    </row>
    <row r="4" spans="1:6" x14ac:dyDescent="0.25">
      <c r="A4" t="s">
        <v>648</v>
      </c>
      <c r="B4">
        <v>1</v>
      </c>
      <c r="C4" t="s">
        <v>1757</v>
      </c>
      <c r="D4" t="s">
        <v>1758</v>
      </c>
      <c r="E4" t="s">
        <v>1759</v>
      </c>
      <c r="F4" t="s">
        <v>1760</v>
      </c>
    </row>
    <row r="5" spans="1:6" x14ac:dyDescent="0.25">
      <c r="A5" t="s">
        <v>648</v>
      </c>
      <c r="B5">
        <v>1</v>
      </c>
      <c r="C5" t="s">
        <v>1761</v>
      </c>
      <c r="D5" t="s">
        <v>1762</v>
      </c>
      <c r="E5" t="s">
        <v>1763</v>
      </c>
      <c r="F5" t="s">
        <v>20</v>
      </c>
    </row>
    <row r="6" spans="1:6" x14ac:dyDescent="0.25">
      <c r="A6" t="s">
        <v>648</v>
      </c>
      <c r="B6">
        <v>16</v>
      </c>
      <c r="C6" t="s">
        <v>60</v>
      </c>
      <c r="D6" t="s">
        <v>1764</v>
      </c>
      <c r="E6" t="s">
        <v>1765</v>
      </c>
      <c r="F6" t="s">
        <v>1760</v>
      </c>
    </row>
    <row r="7" spans="1:6" x14ac:dyDescent="0.25">
      <c r="A7" t="s">
        <v>648</v>
      </c>
      <c r="B7">
        <v>71</v>
      </c>
      <c r="C7" t="s">
        <v>56</v>
      </c>
      <c r="D7" t="s">
        <v>1766</v>
      </c>
      <c r="E7" t="s">
        <v>1767</v>
      </c>
      <c r="F7" t="s">
        <v>39</v>
      </c>
    </row>
    <row r="8" spans="1:6" x14ac:dyDescent="0.25">
      <c r="A8" t="s">
        <v>648</v>
      </c>
      <c r="B8">
        <v>108</v>
      </c>
      <c r="C8" t="s">
        <v>67</v>
      </c>
      <c r="D8" t="s">
        <v>1768</v>
      </c>
      <c r="E8" t="s">
        <v>1769</v>
      </c>
      <c r="F8" t="s">
        <v>20</v>
      </c>
    </row>
    <row r="9" spans="1:6" x14ac:dyDescent="0.25">
      <c r="A9" t="s">
        <v>648</v>
      </c>
      <c r="B9">
        <v>2</v>
      </c>
      <c r="C9" t="s">
        <v>58</v>
      </c>
      <c r="D9" t="s">
        <v>1770</v>
      </c>
      <c r="E9" t="s">
        <v>1770</v>
      </c>
      <c r="F9" t="s">
        <v>39</v>
      </c>
    </row>
    <row r="10" spans="1:6" x14ac:dyDescent="0.25">
      <c r="A10" t="s">
        <v>648</v>
      </c>
      <c r="B10">
        <v>4</v>
      </c>
      <c r="C10" t="s">
        <v>63</v>
      </c>
      <c r="D10" t="s">
        <v>1771</v>
      </c>
      <c r="E10" t="s">
        <v>1772</v>
      </c>
      <c r="F10" t="s">
        <v>39</v>
      </c>
    </row>
    <row r="11" spans="1:6" x14ac:dyDescent="0.25">
      <c r="A11" t="s">
        <v>648</v>
      </c>
      <c r="B11">
        <v>1</v>
      </c>
      <c r="C11" t="s">
        <v>1773</v>
      </c>
      <c r="D11" t="s">
        <v>1774</v>
      </c>
      <c r="E11" t="s">
        <v>1775</v>
      </c>
      <c r="F11" t="s">
        <v>39</v>
      </c>
    </row>
    <row r="12" spans="1:6" x14ac:dyDescent="0.25">
      <c r="A12" t="s">
        <v>1776</v>
      </c>
      <c r="B12">
        <v>5</v>
      </c>
      <c r="C12" t="s">
        <v>57</v>
      </c>
      <c r="D12" t="s">
        <v>1751</v>
      </c>
      <c r="E12" t="s">
        <v>1752</v>
      </c>
      <c r="F12" t="s">
        <v>1753</v>
      </c>
    </row>
    <row r="13" spans="1:6" x14ac:dyDescent="0.25">
      <c r="A13" t="s">
        <v>1776</v>
      </c>
      <c r="B13">
        <v>78</v>
      </c>
      <c r="C13" t="s">
        <v>56</v>
      </c>
      <c r="D13" t="s">
        <v>1766</v>
      </c>
      <c r="E13" t="s">
        <v>1767</v>
      </c>
      <c r="F13" t="s">
        <v>39</v>
      </c>
    </row>
    <row r="14" spans="1:6" x14ac:dyDescent="0.25">
      <c r="A14" t="s">
        <v>1776</v>
      </c>
      <c r="B14">
        <v>21</v>
      </c>
      <c r="C14" t="s">
        <v>67</v>
      </c>
      <c r="D14" t="s">
        <v>1768</v>
      </c>
      <c r="E14" t="s">
        <v>1769</v>
      </c>
      <c r="F14" t="s">
        <v>20</v>
      </c>
    </row>
    <row r="15" spans="1:6" x14ac:dyDescent="0.25">
      <c r="A15" t="s">
        <v>1777</v>
      </c>
      <c r="B15">
        <v>13</v>
      </c>
      <c r="C15" t="s">
        <v>57</v>
      </c>
      <c r="D15" t="s">
        <v>1751</v>
      </c>
      <c r="E15" t="s">
        <v>1752</v>
      </c>
      <c r="F15" t="s">
        <v>1753</v>
      </c>
    </row>
    <row r="16" spans="1:6" x14ac:dyDescent="0.25">
      <c r="A16" t="s">
        <v>1777</v>
      </c>
      <c r="B16">
        <v>1</v>
      </c>
      <c r="C16" t="s">
        <v>1754</v>
      </c>
      <c r="D16" t="s">
        <v>1755</v>
      </c>
      <c r="E16" t="s">
        <v>1756</v>
      </c>
      <c r="F16" t="s">
        <v>1753</v>
      </c>
    </row>
    <row r="17" spans="1:6" x14ac:dyDescent="0.25">
      <c r="A17" t="s">
        <v>1777</v>
      </c>
      <c r="B17">
        <v>25</v>
      </c>
      <c r="C17" t="s">
        <v>56</v>
      </c>
      <c r="D17" t="s">
        <v>1766</v>
      </c>
      <c r="E17" t="s">
        <v>1767</v>
      </c>
      <c r="F17" t="s">
        <v>39</v>
      </c>
    </row>
    <row r="18" spans="1:6" x14ac:dyDescent="0.25">
      <c r="A18" t="s">
        <v>1777</v>
      </c>
      <c r="B18">
        <v>311</v>
      </c>
      <c r="C18" t="s">
        <v>67</v>
      </c>
      <c r="D18" t="s">
        <v>1768</v>
      </c>
      <c r="E18" t="s">
        <v>1769</v>
      </c>
      <c r="F18" t="s">
        <v>20</v>
      </c>
    </row>
    <row r="19" spans="1:6" x14ac:dyDescent="0.25">
      <c r="A19" t="s">
        <v>1777</v>
      </c>
      <c r="B19">
        <v>114</v>
      </c>
      <c r="C19" t="s">
        <v>65</v>
      </c>
      <c r="D19" t="s">
        <v>1778</v>
      </c>
      <c r="E19" t="s">
        <v>1779</v>
      </c>
      <c r="F19" t="s">
        <v>1760</v>
      </c>
    </row>
    <row r="20" spans="1:6" x14ac:dyDescent="0.25">
      <c r="A20" t="s">
        <v>1213</v>
      </c>
      <c r="B20">
        <v>1</v>
      </c>
      <c r="C20" t="s">
        <v>57</v>
      </c>
      <c r="D20" t="s">
        <v>1751</v>
      </c>
      <c r="E20" t="s">
        <v>1752</v>
      </c>
      <c r="F20" t="s">
        <v>1753</v>
      </c>
    </row>
    <row r="21" spans="1:6" x14ac:dyDescent="0.25">
      <c r="A21" t="s">
        <v>1213</v>
      </c>
      <c r="B21">
        <v>3</v>
      </c>
      <c r="C21" t="s">
        <v>56</v>
      </c>
      <c r="D21" t="s">
        <v>1766</v>
      </c>
      <c r="E21" t="s">
        <v>1767</v>
      </c>
      <c r="F21" t="s">
        <v>39</v>
      </c>
    </row>
    <row r="22" spans="1:6" x14ac:dyDescent="0.25">
      <c r="A22" t="s">
        <v>1213</v>
      </c>
      <c r="B22">
        <v>45</v>
      </c>
      <c r="C22" t="s">
        <v>67</v>
      </c>
      <c r="D22" t="s">
        <v>1768</v>
      </c>
      <c r="E22" t="s">
        <v>1769</v>
      </c>
      <c r="F22" t="s">
        <v>20</v>
      </c>
    </row>
    <row r="23" spans="1:6" x14ac:dyDescent="0.25">
      <c r="A23" t="s">
        <v>1213</v>
      </c>
      <c r="B23">
        <v>3</v>
      </c>
      <c r="C23" t="s">
        <v>65</v>
      </c>
      <c r="D23" t="s">
        <v>1778</v>
      </c>
      <c r="E23" t="s">
        <v>1779</v>
      </c>
      <c r="F23" t="s">
        <v>1760</v>
      </c>
    </row>
    <row r="24" spans="1:6" x14ac:dyDescent="0.25">
      <c r="A24" t="s">
        <v>1780</v>
      </c>
      <c r="B24">
        <v>14</v>
      </c>
      <c r="C24" t="s">
        <v>1781</v>
      </c>
      <c r="D24" t="s">
        <v>1782</v>
      </c>
      <c r="E24" t="s">
        <v>1783</v>
      </c>
      <c r="F24" t="s">
        <v>39</v>
      </c>
    </row>
    <row r="25" spans="1:6" x14ac:dyDescent="0.25">
      <c r="A25" t="s">
        <v>1780</v>
      </c>
      <c r="B25">
        <v>24</v>
      </c>
      <c r="C25" t="s">
        <v>57</v>
      </c>
      <c r="D25" t="s">
        <v>1751</v>
      </c>
      <c r="E25" t="s">
        <v>1752</v>
      </c>
      <c r="F25" t="s">
        <v>1753</v>
      </c>
    </row>
    <row r="26" spans="1:6" x14ac:dyDescent="0.25">
      <c r="A26" t="s">
        <v>1780</v>
      </c>
      <c r="B26">
        <v>3</v>
      </c>
      <c r="C26" t="s">
        <v>1784</v>
      </c>
      <c r="D26" t="s">
        <v>1785</v>
      </c>
      <c r="E26" t="s">
        <v>1786</v>
      </c>
      <c r="F26" t="s">
        <v>20</v>
      </c>
    </row>
    <row r="27" spans="1:6" x14ac:dyDescent="0.25">
      <c r="A27" t="s">
        <v>1780</v>
      </c>
      <c r="B27">
        <v>4</v>
      </c>
      <c r="C27" t="s">
        <v>60</v>
      </c>
      <c r="D27" t="s">
        <v>1764</v>
      </c>
      <c r="E27" t="s">
        <v>1765</v>
      </c>
      <c r="F27" t="s">
        <v>1760</v>
      </c>
    </row>
    <row r="28" spans="1:6" x14ac:dyDescent="0.25">
      <c r="A28" t="s">
        <v>1780</v>
      </c>
      <c r="B28">
        <v>6</v>
      </c>
      <c r="C28" t="s">
        <v>67</v>
      </c>
      <c r="D28" t="s">
        <v>1768</v>
      </c>
      <c r="E28" t="s">
        <v>1769</v>
      </c>
      <c r="F28" t="s">
        <v>20</v>
      </c>
    </row>
    <row r="29" spans="1:6" x14ac:dyDescent="0.25">
      <c r="A29" t="s">
        <v>1780</v>
      </c>
      <c r="B29">
        <v>6</v>
      </c>
      <c r="C29" t="s">
        <v>65</v>
      </c>
      <c r="D29" t="s">
        <v>1778</v>
      </c>
      <c r="E29" t="s">
        <v>1779</v>
      </c>
      <c r="F29" t="s">
        <v>1760</v>
      </c>
    </row>
    <row r="30" spans="1:6" x14ac:dyDescent="0.25">
      <c r="A30" t="s">
        <v>1780</v>
      </c>
      <c r="B30">
        <v>1</v>
      </c>
      <c r="C30" t="s">
        <v>58</v>
      </c>
      <c r="D30" t="s">
        <v>1770</v>
      </c>
      <c r="E30" t="s">
        <v>1770</v>
      </c>
      <c r="F30" t="s">
        <v>39</v>
      </c>
    </row>
    <row r="31" spans="1:6" x14ac:dyDescent="0.25">
      <c r="A31" t="s">
        <v>1780</v>
      </c>
      <c r="B31">
        <v>2</v>
      </c>
      <c r="C31" t="s">
        <v>63</v>
      </c>
      <c r="D31" t="s">
        <v>1771</v>
      </c>
      <c r="E31" t="s">
        <v>1772</v>
      </c>
      <c r="F31" t="s">
        <v>39</v>
      </c>
    </row>
    <row r="32" spans="1:6" x14ac:dyDescent="0.25">
      <c r="A32" t="s">
        <v>427</v>
      </c>
      <c r="B32">
        <v>8</v>
      </c>
      <c r="C32" t="s">
        <v>1781</v>
      </c>
      <c r="D32" t="s">
        <v>1782</v>
      </c>
      <c r="E32" t="s">
        <v>1783</v>
      </c>
      <c r="F32" t="s">
        <v>39</v>
      </c>
    </row>
    <row r="33" spans="1:6" x14ac:dyDescent="0.25">
      <c r="A33" t="s">
        <v>427</v>
      </c>
      <c r="B33">
        <v>7</v>
      </c>
      <c r="C33" t="s">
        <v>57</v>
      </c>
      <c r="D33" t="s">
        <v>1751</v>
      </c>
      <c r="E33" t="s">
        <v>1752</v>
      </c>
      <c r="F33" t="s">
        <v>1753</v>
      </c>
    </row>
    <row r="34" spans="1:6" x14ac:dyDescent="0.25">
      <c r="A34" t="s">
        <v>427</v>
      </c>
      <c r="B34">
        <v>1</v>
      </c>
      <c r="C34" t="s">
        <v>72</v>
      </c>
      <c r="D34" t="s">
        <v>1787</v>
      </c>
      <c r="E34" t="s">
        <v>1788</v>
      </c>
      <c r="F34" t="s">
        <v>1789</v>
      </c>
    </row>
    <row r="35" spans="1:6" x14ac:dyDescent="0.25">
      <c r="A35" t="s">
        <v>427</v>
      </c>
      <c r="B35">
        <v>2</v>
      </c>
      <c r="C35" t="s">
        <v>60</v>
      </c>
      <c r="D35" t="s">
        <v>1764</v>
      </c>
      <c r="E35" t="s">
        <v>1765</v>
      </c>
      <c r="F35" t="s">
        <v>1760</v>
      </c>
    </row>
    <row r="36" spans="1:6" x14ac:dyDescent="0.25">
      <c r="A36" t="s">
        <v>427</v>
      </c>
      <c r="B36">
        <v>40</v>
      </c>
      <c r="C36" t="s">
        <v>67</v>
      </c>
      <c r="D36" t="s">
        <v>1768</v>
      </c>
      <c r="E36" t="s">
        <v>1769</v>
      </c>
      <c r="F36" t="s">
        <v>20</v>
      </c>
    </row>
    <row r="37" spans="1:6" x14ac:dyDescent="0.25">
      <c r="A37" t="s">
        <v>427</v>
      </c>
      <c r="B37">
        <v>21</v>
      </c>
      <c r="C37" t="s">
        <v>63</v>
      </c>
      <c r="D37" t="s">
        <v>1771</v>
      </c>
      <c r="E37" t="s">
        <v>1772</v>
      </c>
      <c r="F37" t="s">
        <v>39</v>
      </c>
    </row>
    <row r="38" spans="1:6" x14ac:dyDescent="0.25">
      <c r="A38" t="s">
        <v>483</v>
      </c>
      <c r="B38">
        <v>4</v>
      </c>
      <c r="C38" t="s">
        <v>57</v>
      </c>
      <c r="D38" t="s">
        <v>1751</v>
      </c>
      <c r="E38" t="s">
        <v>1752</v>
      </c>
      <c r="F38" t="s">
        <v>1753</v>
      </c>
    </row>
    <row r="39" spans="1:6" x14ac:dyDescent="0.25">
      <c r="A39" t="s">
        <v>483</v>
      </c>
      <c r="B39">
        <v>2</v>
      </c>
      <c r="C39" t="s">
        <v>1784</v>
      </c>
      <c r="D39" t="s">
        <v>1785</v>
      </c>
      <c r="E39" t="s">
        <v>1786</v>
      </c>
      <c r="F39" t="s">
        <v>20</v>
      </c>
    </row>
    <row r="40" spans="1:6" x14ac:dyDescent="0.25">
      <c r="A40" t="s">
        <v>483</v>
      </c>
      <c r="B40">
        <v>1</v>
      </c>
      <c r="C40" t="s">
        <v>67</v>
      </c>
      <c r="D40" t="s">
        <v>1768</v>
      </c>
      <c r="E40" t="s">
        <v>1769</v>
      </c>
      <c r="F40" t="s">
        <v>20</v>
      </c>
    </row>
    <row r="41" spans="1:6" x14ac:dyDescent="0.25">
      <c r="A41" t="s">
        <v>483</v>
      </c>
      <c r="B41">
        <v>17</v>
      </c>
      <c r="C41" t="s">
        <v>65</v>
      </c>
      <c r="D41" t="s">
        <v>1778</v>
      </c>
      <c r="E41" t="s">
        <v>1779</v>
      </c>
      <c r="F41" t="s">
        <v>1760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2025-06-30T10:48:14Z</cp:lastPrinted>
  <dcterms:created xsi:type="dcterms:W3CDTF">2023-06-15T13:30:00Z</dcterms:created>
  <dcterms:modified xsi:type="dcterms:W3CDTF">2025-08-08T10:42:44Z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